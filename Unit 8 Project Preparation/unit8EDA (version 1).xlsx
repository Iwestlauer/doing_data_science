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abe\Desktop\MSDS6306\MSDS_6306_DDS\doing_data_science\Unit 8 Project Preparation\"/>
    </mc:Choice>
  </mc:AlternateContent>
  <xr:revisionPtr revIDLastSave="0" documentId="13_ncr:1_{710E820D-AA07-456F-9CC4-CA41107343D7}" xr6:coauthVersionLast="47" xr6:coauthVersionMax="47" xr10:uidLastSave="{00000000-0000-0000-0000-000000000000}"/>
  <bookViews>
    <workbookView xWindow="-120" yWindow="-120" windowWidth="24240" windowHeight="13020" tabRatio="706" firstSheet="1" activeTab="2" xr2:uid="{00000000-000D-0000-FFFF-FFFF00000000}"/>
  </bookViews>
  <sheets>
    <sheet name="Sheet1" sheetId="1" r:id="rId1"/>
    <sheet name="raw_data" sheetId="13" r:id="rId2"/>
    <sheet name="replacement cost analysis" sheetId="17" r:id="rId3"/>
    <sheet name="Sheet3" sheetId="18" r:id="rId4"/>
    <sheet name="summary numerical" sheetId="5" r:id="rId5"/>
    <sheet name="attrition breakdown" sheetId="6" r:id="rId6"/>
    <sheet name="job role" sheetId="11" r:id="rId7"/>
    <sheet name="department" sheetId="9" r:id="rId8"/>
    <sheet name="marital status" sheetId="12" r:id="rId9"/>
    <sheet name="overtime" sheetId="14" r:id="rId10"/>
    <sheet name="job involvement" sheetId="15" r:id="rId11"/>
    <sheet name="stock opt" sheetId="16" r:id="rId12"/>
  </sheets>
  <definedNames>
    <definedName name="_xlnm._FilterDatabase" localSheetId="1" hidden="1">raw_data!$A$1:$AJ$871</definedName>
    <definedName name="_xlnm._FilterDatabase" localSheetId="11" hidden="1">'stock opt'!$A$1:$A$871</definedName>
    <definedName name="_xlchart.v2.0" hidden="1">'replacement cost analysis'!$E$1:$G$2</definedName>
    <definedName name="_xlchart.v2.1" hidden="1">'replacement cost analysis'!$E$3:$G$3</definedName>
    <definedName name="_xlchart.v2.2" hidden="1">'replacement cost analysis'!$A$1:$E$2</definedName>
    <definedName name="_xlchart.v2.3" hidden="1">'replacement cost analysis'!$A$3:$E$3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7" l="1"/>
  <c r="F4" i="17"/>
  <c r="C437" i="18"/>
  <c r="C436" i="18"/>
  <c r="C435" i="18"/>
  <c r="C434" i="18"/>
  <c r="C433" i="18"/>
  <c r="C432" i="18"/>
  <c r="C431" i="18"/>
  <c r="C430" i="18"/>
  <c r="C429" i="18"/>
  <c r="C428" i="18"/>
  <c r="C427" i="18"/>
  <c r="C426" i="18"/>
  <c r="C425" i="18"/>
  <c r="C424" i="18"/>
  <c r="C423" i="18"/>
  <c r="C422" i="18"/>
  <c r="C421" i="18"/>
  <c r="C420" i="18"/>
  <c r="C419" i="18"/>
  <c r="C418" i="18"/>
  <c r="C417" i="18"/>
  <c r="C416" i="18"/>
  <c r="C415" i="18"/>
  <c r="C414" i="18"/>
  <c r="C413" i="18"/>
  <c r="C412" i="18"/>
  <c r="C411" i="18"/>
  <c r="C410" i="18"/>
  <c r="C409" i="18"/>
  <c r="C408" i="18"/>
  <c r="C407" i="18"/>
  <c r="C406" i="18"/>
  <c r="C405" i="18"/>
  <c r="C404" i="18"/>
  <c r="C403" i="18"/>
  <c r="C402" i="18"/>
  <c r="C401" i="18"/>
  <c r="C400" i="18"/>
  <c r="C399" i="18"/>
  <c r="C398" i="18"/>
  <c r="C397" i="18"/>
  <c r="C396" i="18"/>
  <c r="C395" i="18"/>
  <c r="C394" i="18"/>
  <c r="C393" i="18"/>
  <c r="C392" i="18"/>
  <c r="C391" i="18"/>
  <c r="C390" i="18"/>
  <c r="C389" i="18"/>
  <c r="C388" i="18"/>
  <c r="C387" i="18"/>
  <c r="C386" i="18"/>
  <c r="C385" i="18"/>
  <c r="C384" i="18"/>
  <c r="C383" i="18"/>
  <c r="C382" i="18"/>
  <c r="C381" i="18"/>
  <c r="C380" i="18"/>
  <c r="C379" i="18"/>
  <c r="C378" i="18"/>
  <c r="C377" i="18"/>
  <c r="C376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B151" i="17"/>
  <c r="B416" i="17"/>
  <c r="B787" i="17"/>
  <c r="B808" i="17"/>
  <c r="B515" i="17"/>
  <c r="B433" i="17"/>
  <c r="B773" i="17"/>
  <c r="B419" i="17"/>
  <c r="B733" i="17"/>
  <c r="B717" i="17"/>
  <c r="B314" i="17"/>
  <c r="B632" i="17"/>
  <c r="B399" i="17"/>
  <c r="B803" i="17"/>
  <c r="B810" i="17"/>
  <c r="B854" i="17"/>
  <c r="B765" i="17"/>
  <c r="B768" i="17"/>
  <c r="B784" i="17"/>
  <c r="B728" i="17"/>
  <c r="B431" i="17"/>
  <c r="B648" i="17"/>
  <c r="B756" i="17"/>
  <c r="B762" i="17"/>
  <c r="B770" i="17"/>
  <c r="B828" i="17"/>
  <c r="B811" i="17"/>
  <c r="B783" i="17"/>
  <c r="B225" i="17"/>
  <c r="B198" i="17"/>
  <c r="B26" i="17"/>
  <c r="B571" i="17"/>
  <c r="B39" i="17"/>
  <c r="B867" i="17"/>
  <c r="B80" i="17"/>
  <c r="B380" i="17"/>
  <c r="B60" i="17"/>
  <c r="B358" i="17"/>
  <c r="B505" i="17"/>
  <c r="B523" i="17"/>
  <c r="B484" i="17"/>
  <c r="B695" i="17"/>
  <c r="B502" i="17"/>
  <c r="B444" i="17"/>
  <c r="B163" i="17"/>
  <c r="B190" i="17"/>
  <c r="B555" i="17"/>
  <c r="B607" i="17"/>
  <c r="B486" i="17"/>
  <c r="B299" i="17"/>
  <c r="B295" i="17"/>
  <c r="B447" i="17"/>
  <c r="B780" i="17"/>
  <c r="B806" i="17"/>
  <c r="B812" i="17"/>
  <c r="B171" i="17"/>
  <c r="B338" i="17"/>
  <c r="B448" i="17"/>
  <c r="B843" i="17"/>
  <c r="B75" i="17"/>
  <c r="B309" i="17"/>
  <c r="B384" i="17"/>
  <c r="B667" i="17"/>
  <c r="B503" i="17"/>
  <c r="B655" i="17"/>
  <c r="B583" i="17"/>
  <c r="B66" i="17"/>
  <c r="B259" i="17"/>
  <c r="B20" i="17"/>
  <c r="B395" i="17"/>
  <c r="B376" i="17"/>
  <c r="B575" i="17"/>
  <c r="B805" i="17"/>
  <c r="B807" i="17"/>
  <c r="B708" i="17"/>
  <c r="B428" i="17"/>
  <c r="B848" i="17"/>
  <c r="B481" i="17"/>
  <c r="B617" i="17"/>
  <c r="B499" i="17"/>
  <c r="B732" i="17"/>
  <c r="B650" i="17"/>
  <c r="B429" i="17"/>
  <c r="B519" i="17"/>
  <c r="B245" i="17"/>
  <c r="B282" i="17"/>
  <c r="B251" i="17"/>
  <c r="B814" i="17"/>
  <c r="B758" i="17"/>
  <c r="B537" i="17"/>
  <c r="B752" i="17"/>
  <c r="B100" i="17"/>
  <c r="B277" i="17"/>
  <c r="B65" i="17"/>
  <c r="B232" i="17"/>
  <c r="B323" i="17"/>
  <c r="B377" i="17"/>
  <c r="B288" i="17"/>
  <c r="B215" i="17"/>
  <c r="B271" i="17"/>
  <c r="B857" i="17"/>
  <c r="B273" i="17"/>
  <c r="B439" i="17"/>
  <c r="B522" i="17"/>
  <c r="B514" i="17"/>
  <c r="B391" i="17"/>
  <c r="B520" i="17"/>
  <c r="B336" i="17"/>
  <c r="B562" i="17"/>
  <c r="B420" i="17"/>
  <c r="B761" i="17"/>
  <c r="B647" i="17"/>
  <c r="B387" i="17"/>
  <c r="B702" i="17"/>
  <c r="B518" i="17"/>
  <c r="B290" i="17"/>
  <c r="B621" i="17"/>
  <c r="B640" i="17"/>
  <c r="B556" i="17"/>
  <c r="B544" i="17"/>
  <c r="B51" i="17"/>
  <c r="B771" i="17"/>
  <c r="B12" i="17"/>
  <c r="B219" i="17"/>
  <c r="B372" i="17"/>
  <c r="B252" i="17"/>
  <c r="B846" i="17"/>
  <c r="B835" i="17"/>
  <c r="B657" i="17"/>
  <c r="B774" i="17"/>
  <c r="B782" i="17"/>
  <c r="B87" i="17"/>
  <c r="B241" i="17"/>
  <c r="B99" i="17"/>
  <c r="B265" i="17"/>
  <c r="B13" i="17"/>
  <c r="B413" i="17"/>
  <c r="B321" i="17"/>
  <c r="B608" i="17"/>
  <c r="B682" i="17"/>
  <c r="B202" i="17"/>
  <c r="B112" i="17"/>
  <c r="B16" i="17"/>
  <c r="B586" i="17"/>
  <c r="B597" i="17"/>
  <c r="B712" i="17"/>
  <c r="B257" i="17"/>
  <c r="B472" i="17"/>
  <c r="B374" i="17"/>
  <c r="B579" i="17"/>
  <c r="B723" i="17"/>
  <c r="B425" i="17"/>
  <c r="B474" i="17"/>
  <c r="B147" i="17"/>
  <c r="B352" i="17"/>
  <c r="B44" i="17"/>
  <c r="B489" i="17"/>
  <c r="B445" i="17"/>
  <c r="B730" i="17"/>
  <c r="B217" i="17"/>
  <c r="B794" i="17"/>
  <c r="B673" i="17"/>
  <c r="B709" i="17"/>
  <c r="B350" i="17"/>
  <c r="B703" i="17"/>
  <c r="B70" i="17"/>
  <c r="B234" i="17"/>
  <c r="B711" i="17"/>
  <c r="B308" i="17"/>
  <c r="B108" i="17"/>
  <c r="B262" i="17"/>
  <c r="B329" i="17"/>
  <c r="B424" i="17"/>
  <c r="B142" i="17"/>
  <c r="B235" i="17"/>
  <c r="B214" i="17"/>
  <c r="B820" i="17"/>
  <c r="B844" i="17"/>
  <c r="B816" i="17"/>
  <c r="B818" i="17"/>
  <c r="B821" i="17"/>
  <c r="B741" i="17"/>
  <c r="B559" i="17"/>
  <c r="B634" i="17"/>
  <c r="B342" i="17"/>
  <c r="B402" i="17"/>
  <c r="B680" i="17"/>
  <c r="B602" i="17"/>
  <c r="B473" i="17"/>
  <c r="B793" i="17"/>
  <c r="B468" i="17"/>
  <c r="B737" i="17"/>
  <c r="B790" i="17"/>
  <c r="B760" i="17"/>
  <c r="B749" i="17"/>
  <c r="B124" i="17"/>
  <c r="B370" i="17"/>
  <c r="B170" i="17"/>
  <c r="B119" i="17"/>
  <c r="B463" i="17"/>
  <c r="B459" i="17"/>
  <c r="B772" i="17"/>
  <c r="B584" i="17"/>
  <c r="B491" i="17"/>
  <c r="B628" i="17"/>
  <c r="B727" i="17"/>
  <c r="B588" i="17"/>
  <c r="B516" i="17"/>
  <c r="B343" i="17"/>
  <c r="B718" i="17"/>
  <c r="B636" i="17"/>
  <c r="B366" i="17"/>
  <c r="B725" i="17"/>
  <c r="B396" i="17"/>
  <c r="B394" i="17"/>
  <c r="B659" i="17"/>
  <c r="B76" i="17"/>
  <c r="B322" i="17"/>
  <c r="B78" i="17"/>
  <c r="B153" i="17"/>
  <c r="B238" i="17"/>
  <c r="B63" i="17"/>
  <c r="B599" i="17"/>
  <c r="B747" i="17"/>
  <c r="B675" i="17"/>
  <c r="B140" i="17"/>
  <c r="B311" i="17"/>
  <c r="B328" i="17"/>
  <c r="B160" i="17"/>
  <c r="B268" i="17"/>
  <c r="B528" i="17"/>
  <c r="B869" i="17"/>
  <c r="B36" i="17"/>
  <c r="B371" i="17"/>
  <c r="B495" i="17"/>
  <c r="B789" i="17"/>
  <c r="B551" i="17"/>
  <c r="B626" i="17"/>
  <c r="B615" i="17"/>
  <c r="B840" i="17"/>
  <c r="B638" i="17"/>
  <c r="B199" i="17"/>
  <c r="B169" i="17"/>
  <c r="B155" i="17"/>
  <c r="B156" i="17"/>
  <c r="B363" i="17"/>
  <c r="B297" i="17"/>
  <c r="B462" i="17"/>
  <c r="B671" i="17"/>
  <c r="B684" i="17"/>
  <c r="B386" i="17"/>
  <c r="B566" i="17"/>
  <c r="B382" i="17"/>
  <c r="B208" i="17"/>
  <c r="B454" i="17"/>
  <c r="B29" i="17"/>
  <c r="B111" i="17"/>
  <c r="B6" i="17"/>
  <c r="B164" i="17"/>
  <c r="B86" i="17"/>
  <c r="B116" i="17"/>
  <c r="B829" i="17"/>
  <c r="B870" i="17"/>
  <c r="B458" i="17"/>
  <c r="B378" i="17"/>
  <c r="B642" i="17"/>
  <c r="B529" i="17"/>
  <c r="B776" i="17"/>
  <c r="B500" i="17"/>
  <c r="B497" i="17"/>
  <c r="B397" i="17"/>
  <c r="B61" i="17"/>
  <c r="B260" i="17"/>
  <c r="B53" i="17"/>
  <c r="B600" i="17"/>
  <c r="B421" i="17"/>
  <c r="B354" i="17"/>
  <c r="B792" i="17"/>
  <c r="B209" i="17"/>
  <c r="B330" i="17"/>
  <c r="B74" i="17"/>
  <c r="B623" i="17"/>
  <c r="B385" i="17"/>
  <c r="B629" i="17"/>
  <c r="B721" i="17"/>
  <c r="B256" i="17"/>
  <c r="B266" i="17"/>
  <c r="B239" i="17"/>
  <c r="B488" i="17"/>
  <c r="B270" i="17"/>
  <c r="B470" i="17"/>
  <c r="B302" i="17"/>
  <c r="B572" i="17"/>
  <c r="B802" i="17"/>
  <c r="B862" i="17"/>
  <c r="B842" i="17"/>
  <c r="B851" i="17"/>
  <c r="B548" i="17"/>
  <c r="B766" i="17"/>
  <c r="B581" i="17"/>
  <c r="B643" i="17"/>
  <c r="B423" i="17"/>
  <c r="B822" i="17"/>
  <c r="B864" i="17"/>
  <c r="B786" i="17"/>
  <c r="B62" i="17"/>
  <c r="B536" i="17"/>
  <c r="B200" i="17"/>
  <c r="B531" i="17"/>
  <c r="B612" i="17"/>
  <c r="B574" i="17"/>
  <c r="B620" i="17"/>
  <c r="B540" i="17"/>
  <c r="B601" i="17"/>
  <c r="B344" i="17"/>
  <c r="B412" i="17"/>
  <c r="B33" i="17"/>
  <c r="B175" i="17"/>
  <c r="B679" i="17"/>
  <c r="B28" i="17"/>
  <c r="B663" i="17"/>
  <c r="B664" i="17"/>
  <c r="B388" i="17"/>
  <c r="B339" i="17"/>
  <c r="B280" i="17"/>
  <c r="B54" i="17"/>
  <c r="B17" i="17"/>
  <c r="B128" i="17"/>
  <c r="B347" i="17"/>
  <c r="B182" i="17"/>
  <c r="B677" i="17"/>
  <c r="B471" i="17"/>
  <c r="B55" i="17"/>
  <c r="B589" i="17"/>
  <c r="B443" i="17"/>
  <c r="B231" i="17"/>
  <c r="B89" i="17"/>
  <c r="B49" i="17"/>
  <c r="B98" i="17"/>
  <c r="B40" i="17"/>
  <c r="B125" i="17"/>
  <c r="B176" i="17"/>
  <c r="B345" i="17"/>
  <c r="B546" i="17"/>
  <c r="B704" i="17"/>
  <c r="B332" i="17"/>
  <c r="B383" i="17"/>
  <c r="B716" i="17"/>
  <c r="B678" i="17"/>
  <c r="B221" i="17"/>
  <c r="B267" i="17"/>
  <c r="B103" i="17"/>
  <c r="B95" i="17"/>
  <c r="B52" i="17"/>
  <c r="B166" i="17"/>
  <c r="B466" i="17"/>
  <c r="B73" i="17"/>
  <c r="B834" i="17"/>
  <c r="B796" i="17"/>
  <c r="B763" i="17"/>
  <c r="B545" i="17"/>
  <c r="B850" i="17"/>
  <c r="B855" i="17"/>
  <c r="B109" i="17"/>
  <c r="B269" i="17"/>
  <c r="B139" i="17"/>
  <c r="B120" i="17"/>
  <c r="B15" i="17"/>
  <c r="B230" i="17"/>
  <c r="B149" i="17"/>
  <c r="B276" i="17"/>
  <c r="B289" i="17"/>
  <c r="B739" i="17"/>
  <c r="B698" i="17"/>
  <c r="B346" i="17"/>
  <c r="B359" i="17"/>
  <c r="B335" i="17"/>
  <c r="B674" i="17"/>
  <c r="B452" i="17"/>
  <c r="B211" i="17"/>
  <c r="B490" i="17"/>
  <c r="B487" i="17"/>
  <c r="B414" i="17"/>
  <c r="B596" i="17"/>
  <c r="B113" i="17"/>
  <c r="B735" i="17"/>
  <c r="B757" i="17"/>
  <c r="B284" i="17"/>
  <c r="B254" i="17"/>
  <c r="B122" i="17"/>
  <c r="B479" i="17"/>
  <c r="B369" i="17"/>
  <c r="B131" i="17"/>
  <c r="B263" i="17"/>
  <c r="B845" i="17"/>
  <c r="B836" i="17"/>
  <c r="B480" i="17"/>
  <c r="B560" i="17"/>
  <c r="B362" i="17"/>
  <c r="B833" i="17"/>
  <c r="B804" i="17"/>
  <c r="B174" i="17"/>
  <c r="B281" i="17"/>
  <c r="B216" i="17"/>
  <c r="B357" i="17"/>
  <c r="B206" i="17"/>
  <c r="B34" i="17"/>
  <c r="B278" i="17"/>
  <c r="B578" i="17"/>
  <c r="B552" i="17"/>
  <c r="B666" i="17"/>
  <c r="B565" i="17"/>
  <c r="B365" i="17"/>
  <c r="B567" i="17"/>
  <c r="B653" i="17"/>
  <c r="B504" i="17"/>
  <c r="B697" i="17"/>
  <c r="B367" i="17"/>
  <c r="B180" i="17"/>
  <c r="B249" i="17"/>
  <c r="B141" i="17"/>
  <c r="B422" i="17"/>
  <c r="B229" i="17"/>
  <c r="B644" i="17"/>
  <c r="B285" i="17"/>
  <c r="B64" i="17"/>
  <c r="B604" i="17"/>
  <c r="B118" i="17"/>
  <c r="B532" i="17"/>
  <c r="B27" i="17"/>
  <c r="B731" i="17"/>
  <c r="B455" i="17"/>
  <c r="B303" i="17"/>
  <c r="B477" i="17"/>
  <c r="B300" i="17"/>
  <c r="B788" i="17"/>
  <c r="B549" i="17"/>
  <c r="B356" i="17"/>
  <c r="B492" i="17"/>
  <c r="B135" i="17"/>
  <c r="B165" i="17"/>
  <c r="B318" i="17"/>
  <c r="B37" i="17"/>
  <c r="B237" i="17"/>
  <c r="B287" i="17"/>
  <c r="B272" i="17"/>
  <c r="B603" i="17"/>
  <c r="B639" i="17"/>
  <c r="B494" i="17"/>
  <c r="B530" i="17"/>
  <c r="B705" i="17"/>
  <c r="B641" i="17"/>
  <c r="B222" i="17"/>
  <c r="B167" i="17"/>
  <c r="B435" i="17"/>
  <c r="B349" i="17"/>
  <c r="B24" i="17"/>
  <c r="B25" i="17"/>
  <c r="B178" i="17"/>
  <c r="B203" i="17"/>
  <c r="B319" i="17"/>
  <c r="B320" i="17"/>
  <c r="B809" i="17"/>
  <c r="B676" i="17"/>
  <c r="B526" i="17"/>
  <c r="B824" i="17"/>
  <c r="B817" i="17"/>
  <c r="B418" i="17"/>
  <c r="B310" i="17"/>
  <c r="B701" i="17"/>
  <c r="B368" i="17"/>
  <c r="B554" i="17"/>
  <c r="B453" i="17"/>
  <c r="B467" i="17"/>
  <c r="B446" i="17"/>
  <c r="B512" i="17"/>
  <c r="B533" i="17"/>
  <c r="B751" i="17"/>
  <c r="B84" i="17"/>
  <c r="B56" i="17"/>
  <c r="B93" i="17"/>
  <c r="B212" i="17"/>
  <c r="B417" i="17"/>
  <c r="B50" i="17"/>
  <c r="B205" i="17"/>
  <c r="B465" i="17"/>
  <c r="B561" i="17"/>
  <c r="B31" i="17"/>
  <c r="B327" i="17"/>
  <c r="B35" i="17"/>
  <c r="B48" i="17"/>
  <c r="B837" i="17"/>
  <c r="B598" i="17"/>
  <c r="B373" i="17"/>
  <c r="B557" i="17"/>
  <c r="B449" i="17"/>
  <c r="B553" i="17"/>
  <c r="B687" i="17"/>
  <c r="B827" i="17"/>
  <c r="B764" i="17"/>
  <c r="B759" i="17"/>
  <c r="B563" i="17"/>
  <c r="B157" i="17"/>
  <c r="B507" i="17"/>
  <c r="B181" i="17"/>
  <c r="B244" i="17"/>
  <c r="B294" i="17"/>
  <c r="B224" i="17"/>
  <c r="B58" i="17"/>
  <c r="B71" i="17"/>
  <c r="B105" i="17"/>
  <c r="B194" i="17"/>
  <c r="B539" i="17"/>
  <c r="B77" i="17"/>
  <c r="B179" i="17"/>
  <c r="B434" i="17"/>
  <c r="B587" i="17"/>
  <c r="B683" i="17"/>
  <c r="B700" i="17"/>
  <c r="B652" i="17"/>
  <c r="B734" i="17"/>
  <c r="B348" i="17"/>
  <c r="B618" i="17"/>
  <c r="B605" i="17"/>
  <c r="B107" i="17"/>
  <c r="B228" i="17"/>
  <c r="B85" i="17"/>
  <c r="B729" i="17"/>
  <c r="B614" i="17"/>
  <c r="B398" i="17"/>
  <c r="B517" i="17"/>
  <c r="B316" i="17"/>
  <c r="B68" i="17"/>
  <c r="B649" i="17"/>
  <c r="B668" i="17"/>
  <c r="B4" i="17"/>
  <c r="B660" i="17"/>
  <c r="B408" i="17"/>
  <c r="B192" i="17"/>
  <c r="B2" i="17"/>
  <c r="B866" i="17"/>
  <c r="B582" i="17"/>
  <c r="B714" i="17"/>
  <c r="B595" i="17"/>
  <c r="B456" i="17"/>
  <c r="B148" i="17"/>
  <c r="B223" i="17"/>
  <c r="B132" i="17"/>
  <c r="B389" i="17"/>
  <c r="B613" i="17"/>
  <c r="B592" i="17"/>
  <c r="B777" i="17"/>
  <c r="B510" i="17"/>
  <c r="B460" i="17"/>
  <c r="B392" i="17"/>
  <c r="B405" i="17"/>
  <c r="B441" i="17"/>
  <c r="B21" i="17"/>
  <c r="B594" i="17"/>
  <c r="B461" i="17"/>
  <c r="B570" i="17"/>
  <c r="B593" i="17"/>
  <c r="B689" i="17"/>
  <c r="B694" i="17"/>
  <c r="B306" i="17"/>
  <c r="B189" i="17"/>
  <c r="B38" i="17"/>
  <c r="B185" i="17"/>
  <c r="B114" i="17"/>
  <c r="B91" i="17"/>
  <c r="B196" i="17"/>
  <c r="B286" i="17"/>
  <c r="B250" i="17"/>
  <c r="B390" i="17"/>
  <c r="B23" i="17"/>
  <c r="B94" i="17"/>
  <c r="B754" i="17"/>
  <c r="B799" i="17"/>
  <c r="B719" i="17"/>
  <c r="B736" i="17"/>
  <c r="B451" i="17"/>
  <c r="B753" i="17"/>
  <c r="B853" i="17"/>
  <c r="B187" i="17"/>
  <c r="B184" i="17"/>
  <c r="B291" i="17"/>
  <c r="B543" i="17"/>
  <c r="B115" i="17"/>
  <c r="B248" i="17"/>
  <c r="B161" i="17"/>
  <c r="B8" i="17"/>
  <c r="B201" i="17"/>
  <c r="B654" i="17"/>
  <c r="B341" i="17"/>
  <c r="B724" i="17"/>
  <c r="B670" i="17"/>
  <c r="B624" i="17"/>
  <c r="B478" i="17"/>
  <c r="B509" i="17"/>
  <c r="B740" i="17"/>
  <c r="B690" i="17"/>
  <c r="B627" i="17"/>
  <c r="B746" i="17"/>
  <c r="B246" i="17"/>
  <c r="B102" i="17"/>
  <c r="B745" i="17"/>
  <c r="B577" i="17"/>
  <c r="B750" i="17"/>
  <c r="B469" i="17"/>
  <c r="B609" i="17"/>
  <c r="B781" i="17"/>
  <c r="B133" i="17"/>
  <c r="B220" i="17"/>
  <c r="B550" i="17"/>
  <c r="B305" i="17"/>
  <c r="B767" i="17"/>
  <c r="B168" i="17"/>
  <c r="B375" i="17"/>
  <c r="B301" i="17"/>
  <c r="B9" i="17"/>
  <c r="B79" i="17"/>
  <c r="B436" i="17"/>
  <c r="B197" i="17"/>
  <c r="B152" i="17"/>
  <c r="B150" i="17"/>
  <c r="B861" i="17"/>
  <c r="B823" i="17"/>
  <c r="B871" i="17"/>
  <c r="B800" i="17"/>
  <c r="B825" i="17"/>
  <c r="B527" i="17"/>
  <c r="B707" i="17"/>
  <c r="B688" i="17"/>
  <c r="B798" i="17"/>
  <c r="B778" i="17"/>
  <c r="B847" i="17"/>
  <c r="B755" i="17"/>
  <c r="B193" i="17"/>
  <c r="B188" i="17"/>
  <c r="B240" i="17"/>
  <c r="B69" i="17"/>
  <c r="B186" i="17"/>
  <c r="B242" i="17"/>
  <c r="B129" i="17"/>
  <c r="B191" i="17"/>
  <c r="B104" i="17"/>
  <c r="B525" i="17"/>
  <c r="B501" i="17"/>
  <c r="B247" i="17"/>
  <c r="B134" i="17"/>
  <c r="B722" i="17"/>
  <c r="B706" i="17"/>
  <c r="B681" i="17"/>
  <c r="B699" i="17"/>
  <c r="B409" i="17"/>
  <c r="B476" i="17"/>
  <c r="B610" i="17"/>
  <c r="B651" i="17"/>
  <c r="B743" i="17"/>
  <c r="B351" i="17"/>
  <c r="B591" i="17"/>
  <c r="B442" i="17"/>
  <c r="B379" i="17"/>
  <c r="B576" i="17"/>
  <c r="B585" i="17"/>
  <c r="B210" i="17"/>
  <c r="B130" i="17"/>
  <c r="B144" i="17"/>
  <c r="B110" i="17"/>
  <c r="B159" i="17"/>
  <c r="B364" i="17"/>
  <c r="B255" i="17"/>
  <c r="B226" i="17"/>
  <c r="B292" i="17"/>
  <c r="B801" i="17"/>
  <c r="B813" i="17"/>
  <c r="B819" i="17"/>
  <c r="B686" i="17"/>
  <c r="B715" i="17"/>
  <c r="B859" i="17"/>
  <c r="B841" i="17"/>
  <c r="B797" i="17"/>
  <c r="B32" i="17"/>
  <c r="B227" i="17"/>
  <c r="B146" i="17"/>
  <c r="B154" i="17"/>
  <c r="B11" i="17"/>
  <c r="B22" i="17"/>
  <c r="B317" i="17"/>
  <c r="B283" i="17"/>
  <c r="B101" i="17"/>
  <c r="B90" i="17"/>
  <c r="B437" i="17"/>
  <c r="B635" i="17"/>
  <c r="B432" i="17"/>
  <c r="B534" i="17"/>
  <c r="B524" i="17"/>
  <c r="B498" i="17"/>
  <c r="B360" i="17"/>
  <c r="B535" i="17"/>
  <c r="B558" i="17"/>
  <c r="B5" i="17"/>
  <c r="B275" i="17"/>
  <c r="B172" i="17"/>
  <c r="B3" i="17"/>
  <c r="B123" i="17"/>
  <c r="B542" i="17"/>
  <c r="B625" i="17"/>
  <c r="B337" i="17"/>
  <c r="B611" i="17"/>
  <c r="B662" i="17"/>
  <c r="B785" i="17"/>
  <c r="B88" i="17"/>
  <c r="B183" i="17"/>
  <c r="B521" i="17"/>
  <c r="B326" i="17"/>
  <c r="B672" i="17"/>
  <c r="B464" i="17"/>
  <c r="B606" i="17"/>
  <c r="B742" i="17"/>
  <c r="B506" i="17"/>
  <c r="B355" i="17"/>
  <c r="B631" i="17"/>
  <c r="B856" i="17"/>
  <c r="B791" i="17"/>
  <c r="B860" i="17"/>
  <c r="B106" i="17"/>
  <c r="B496" i="17"/>
  <c r="B204" i="17"/>
  <c r="B30" i="17"/>
  <c r="B46" i="17"/>
  <c r="B312" i="17"/>
  <c r="B243" i="17"/>
  <c r="B513" i="17"/>
  <c r="B738" i="17"/>
  <c r="B658" i="17"/>
  <c r="B637" i="17"/>
  <c r="B440" i="17"/>
  <c r="B573" i="17"/>
  <c r="B619" i="17"/>
  <c r="B403" i="17"/>
  <c r="B665" i="17"/>
  <c r="B511" i="17"/>
  <c r="B334" i="17"/>
  <c r="B427" i="17"/>
  <c r="B713" i="17"/>
  <c r="B656" i="17"/>
  <c r="B126" i="17"/>
  <c r="B710" i="17"/>
  <c r="B580" i="17"/>
  <c r="B450" i="17"/>
  <c r="B213" i="17"/>
  <c r="B19" i="17"/>
  <c r="B457" i="17"/>
  <c r="B43" i="17"/>
  <c r="B315" i="17"/>
  <c r="B261" i="17"/>
  <c r="B313" i="17"/>
  <c r="B296" i="17"/>
  <c r="B274" i="17"/>
  <c r="B81" i="17"/>
  <c r="B307" i="17"/>
  <c r="B177" i="17"/>
  <c r="B298" i="17"/>
  <c r="B96" i="17"/>
  <c r="B82" i="17"/>
  <c r="B258" i="17"/>
  <c r="B726" i="17"/>
  <c r="B331" i="17"/>
  <c r="B59" i="17"/>
  <c r="B121" i="17"/>
  <c r="B852" i="17"/>
  <c r="B826" i="17"/>
  <c r="B839" i="17"/>
  <c r="B831" i="17"/>
  <c r="B616" i="17"/>
  <c r="B779" i="17"/>
  <c r="B691" i="17"/>
  <c r="B541" i="17"/>
  <c r="B590" i="17"/>
  <c r="B795" i="17"/>
  <c r="B748" i="17"/>
  <c r="B475" i="17"/>
  <c r="B633" i="17"/>
  <c r="B361" i="17"/>
  <c r="B744" i="17"/>
  <c r="B838" i="17"/>
  <c r="B832" i="17"/>
  <c r="B849" i="17"/>
  <c r="B863" i="17"/>
  <c r="B775" i="17"/>
  <c r="B236" i="17"/>
  <c r="B14" i="17"/>
  <c r="B7" i="17"/>
  <c r="B207" i="17"/>
  <c r="B411" i="17"/>
  <c r="B117" i="17"/>
  <c r="B253" i="17"/>
  <c r="B430" i="17"/>
  <c r="B233" i="17"/>
  <c r="B353" i="17"/>
  <c r="B41" i="17"/>
  <c r="B83" i="17"/>
  <c r="B868" i="17"/>
  <c r="B42" i="17"/>
  <c r="B340" i="17"/>
  <c r="B97" i="17"/>
  <c r="B401" i="17"/>
  <c r="B508" i="17"/>
  <c r="B426" i="17"/>
  <c r="B693" i="17"/>
  <c r="B720" i="17"/>
  <c r="B406" i="17"/>
  <c r="B645" i="17"/>
  <c r="B622" i="17"/>
  <c r="B769" i="17"/>
  <c r="B127" i="17"/>
  <c r="B569" i="17"/>
  <c r="B304" i="17"/>
  <c r="B485" i="17"/>
  <c r="B136" i="17"/>
  <c r="B538" i="17"/>
  <c r="B325" i="17"/>
  <c r="B293" i="17"/>
  <c r="B407" i="17"/>
  <c r="B45" i="17"/>
  <c r="B138" i="17"/>
  <c r="B162" i="17"/>
  <c r="B72" i="17"/>
  <c r="B173" i="17"/>
  <c r="B67" i="17"/>
  <c r="B158" i="17"/>
  <c r="B18" i="17"/>
  <c r="B865" i="17"/>
  <c r="B830" i="17"/>
  <c r="B858" i="17"/>
  <c r="B696" i="17"/>
  <c r="B333" i="17"/>
  <c r="B646" i="17"/>
  <c r="B547" i="17"/>
  <c r="B815" i="17"/>
  <c r="B10" i="17"/>
  <c r="B404" i="17"/>
  <c r="B92" i="17"/>
  <c r="B279" i="17"/>
  <c r="B324" i="17"/>
  <c r="B47" i="17"/>
  <c r="B264" i="17"/>
  <c r="B143" i="17"/>
  <c r="B137" i="17"/>
  <c r="B145" i="17"/>
  <c r="B669" i="17"/>
  <c r="B381" i="17"/>
  <c r="B564" i="17"/>
  <c r="B483" i="17"/>
  <c r="B438" i="17"/>
  <c r="B493" i="17"/>
  <c r="B685" i="17"/>
  <c r="B400" i="17"/>
  <c r="B630" i="17"/>
  <c r="B410" i="17"/>
  <c r="B661" i="17"/>
  <c r="B692" i="17"/>
  <c r="B482" i="17"/>
  <c r="B568" i="17"/>
  <c r="B415" i="17"/>
  <c r="B195" i="17"/>
  <c r="B393" i="17"/>
  <c r="B57" i="17"/>
  <c r="B218" i="17"/>
  <c r="N16" i="5"/>
  <c r="N15" i="5"/>
  <c r="F3" i="17"/>
  <c r="L4" i="17"/>
  <c r="P4" i="17" s="1"/>
  <c r="P3" i="17"/>
  <c r="H2" i="16"/>
  <c r="C3" i="6"/>
  <c r="B3" i="6"/>
</calcChain>
</file>

<file path=xl/sharedStrings.xml><?xml version="1.0" encoding="utf-8"?>
<sst xmlns="http://schemas.openxmlformats.org/spreadsheetml/2006/main" count="14173" uniqueCount="144">
  <si>
    <t>$Attrition</t>
  </si>
  <si>
    <t>$BusinessTravel</t>
  </si>
  <si>
    <t>$Department</t>
  </si>
  <si>
    <t>$EducationField</t>
  </si>
  <si>
    <t>$Gender</t>
  </si>
  <si>
    <t>$JobRole</t>
  </si>
  <si>
    <t>$MaritalStatus</t>
  </si>
  <si>
    <t>$Over18</t>
  </si>
  <si>
    <t>$OverTime</t>
  </si>
  <si>
    <t>No</t>
  </si>
  <si>
    <t>Yes</t>
  </si>
  <si>
    <t>Travel_Frequently</t>
  </si>
  <si>
    <t xml:space="preserve">Research &amp; Development </t>
  </si>
  <si>
    <t xml:space="preserve">Human Resources  </t>
  </si>
  <si>
    <t xml:space="preserve">Sales                  </t>
  </si>
  <si>
    <t>Travel_Rarely</t>
  </si>
  <si>
    <t>Non-Travel</t>
  </si>
  <si>
    <t>Medical</t>
  </si>
  <si>
    <t>Marketing</t>
  </si>
  <si>
    <t>Other</t>
  </si>
  <si>
    <t>Human Resources</t>
  </si>
  <si>
    <t>Life Sciences</t>
  </si>
  <si>
    <t>Technical Degree</t>
  </si>
  <si>
    <t>Male</t>
  </si>
  <si>
    <t>Female</t>
  </si>
  <si>
    <t>Sales Executive</t>
  </si>
  <si>
    <t>Divorced</t>
  </si>
  <si>
    <t>Single</t>
  </si>
  <si>
    <t>Married</t>
  </si>
  <si>
    <t>Y</t>
  </si>
  <si>
    <t>Research Director</t>
  </si>
  <si>
    <t>Manufacturing Director</t>
  </si>
  <si>
    <t>Research Scientist</t>
  </si>
  <si>
    <t>Sales Representative</t>
  </si>
  <si>
    <t>Healthcare Representative</t>
  </si>
  <si>
    <t>Manager</t>
  </si>
  <si>
    <t>Laboratory Technician</t>
  </si>
  <si>
    <t>ID</t>
  </si>
  <si>
    <t>▇▇▇▇▇</t>
  </si>
  <si>
    <t>Age</t>
  </si>
  <si>
    <t>▂▇▇▃▂</t>
  </si>
  <si>
    <t>DailyRate</t>
  </si>
  <si>
    <t>DistanceFromHome</t>
  </si>
  <si>
    <t>▇▅▂▂▂</t>
  </si>
  <si>
    <t>Education</t>
  </si>
  <si>
    <t>▂▅▇▆▁</t>
  </si>
  <si>
    <t>EmployeeCount</t>
  </si>
  <si>
    <t>▁▁▇▁▁</t>
  </si>
  <si>
    <t>EmployeeNumber</t>
  </si>
  <si>
    <t>EnvironmentSatisfaction</t>
  </si>
  <si>
    <t>▅▆▁▇▇</t>
  </si>
  <si>
    <t>HourlyRate</t>
  </si>
  <si>
    <t>▇▇▆▇▇</t>
  </si>
  <si>
    <t>JobInvolvement</t>
  </si>
  <si>
    <t>▁▃▁▇▁</t>
  </si>
  <si>
    <t>JobLevel</t>
  </si>
  <si>
    <t>▇▇▃▂▁</t>
  </si>
  <si>
    <t>JobSatisfaction</t>
  </si>
  <si>
    <t>▅▅▁▇▇</t>
  </si>
  <si>
    <t>MonthlyIncome</t>
  </si>
  <si>
    <t>▇▅▂▁▁</t>
  </si>
  <si>
    <t>MonthlyRate</t>
  </si>
  <si>
    <t>NumCompaniesWorked</t>
  </si>
  <si>
    <t>▇▃▂▂▁</t>
  </si>
  <si>
    <t>PercentSalaryHike</t>
  </si>
  <si>
    <t>▇▅▃▂▁</t>
  </si>
  <si>
    <t>PerformanceRating</t>
  </si>
  <si>
    <t>▇▁▁▁▂</t>
  </si>
  <si>
    <t>RelationshipSatisfaction</t>
  </si>
  <si>
    <t>StandardHours</t>
  </si>
  <si>
    <t>StockOptionLevel</t>
  </si>
  <si>
    <t>▇▇▁▂▁</t>
  </si>
  <si>
    <t>TotalWorkingYears</t>
  </si>
  <si>
    <t>▇▇▂▁▁</t>
  </si>
  <si>
    <t>TrainingTimesLastYear</t>
  </si>
  <si>
    <t>▂▇▇▂▃</t>
  </si>
  <si>
    <t>WorkLifeBalance</t>
  </si>
  <si>
    <t>▁▃▁▇▂</t>
  </si>
  <si>
    <t>YearsAtCompany</t>
  </si>
  <si>
    <t>▇▃▁▁▁</t>
  </si>
  <si>
    <t>YearsInCurrentRole</t>
  </si>
  <si>
    <t>▇▃▂▁▁</t>
  </si>
  <si>
    <t>YearsSinceLastPromotion</t>
  </si>
  <si>
    <t>▇▁▁▁▁</t>
  </si>
  <si>
    <t>YearsWithCurrManager</t>
  </si>
  <si>
    <t>▇▂▅▁▁</t>
  </si>
  <si>
    <t>Mean</t>
  </si>
  <si>
    <t>SD</t>
  </si>
  <si>
    <t>p0</t>
  </si>
  <si>
    <t>p25</t>
  </si>
  <si>
    <t>p50</t>
  </si>
  <si>
    <t>p75</t>
  </si>
  <si>
    <t>p100</t>
  </si>
  <si>
    <t>histogram</t>
  </si>
  <si>
    <t>Variable</t>
  </si>
  <si>
    <t>Relevant to Attrition?</t>
  </si>
  <si>
    <t>Further Inspection?</t>
  </si>
  <si>
    <t>flat</t>
  </si>
  <si>
    <t>right skew</t>
  </si>
  <si>
    <t>normal</t>
  </si>
  <si>
    <t>Estimated Distribution</t>
  </si>
  <si>
    <t>U-shaped</t>
  </si>
  <si>
    <t>zero-variance</t>
  </si>
  <si>
    <t>Attrition-Yes</t>
  </si>
  <si>
    <t>Attrition-No</t>
  </si>
  <si>
    <t>Total Count</t>
  </si>
  <si>
    <t>Percent of Total</t>
  </si>
  <si>
    <t>BusinessTravel</t>
  </si>
  <si>
    <t>Department</t>
  </si>
  <si>
    <t>EducationField</t>
  </si>
  <si>
    <t>Gender</t>
  </si>
  <si>
    <t>JobRole</t>
  </si>
  <si>
    <t>MaritalStatus</t>
  </si>
  <si>
    <t>OverTime</t>
  </si>
  <si>
    <t>Over18</t>
  </si>
  <si>
    <t>Row Labels</t>
  </si>
  <si>
    <t>Grand Total</t>
  </si>
  <si>
    <t>Attrition</t>
  </si>
  <si>
    <t>Sales</t>
  </si>
  <si>
    <t>Research &amp; Development</t>
  </si>
  <si>
    <t>Job Role</t>
  </si>
  <si>
    <t>Count</t>
  </si>
  <si>
    <t>Count of MaritalStatus</t>
  </si>
  <si>
    <t>(blank)</t>
  </si>
  <si>
    <t>Count of OverTime</t>
  </si>
  <si>
    <t>Overtime</t>
  </si>
  <si>
    <t>Count of JobInvolvement</t>
  </si>
  <si>
    <t>Job Involvement Level</t>
  </si>
  <si>
    <t>Job Involvement Breakdown</t>
  </si>
  <si>
    <t>Count of StockOptionLevel</t>
  </si>
  <si>
    <t>Stock Option Level</t>
  </si>
  <si>
    <t>Stock Option Level Breakdown</t>
  </si>
  <si>
    <t>min monthlly incom</t>
  </si>
  <si>
    <t>max monthly</t>
  </si>
  <si>
    <t>50p</t>
  </si>
  <si>
    <t>400p</t>
  </si>
  <si>
    <t>400% of mean income</t>
  </si>
  <si>
    <t>Incentives $200</t>
  </si>
  <si>
    <t>50% of mean income $38,340</t>
  </si>
  <si>
    <t>"56% of the employees in the dataset have an annual salary between 50-60,000 dollars"</t>
  </si>
  <si>
    <t>50% of employees make between 2,839 and 8,182 per month</t>
  </si>
  <si>
    <t>50% of employees make between 34,068 and 98,184per month</t>
  </si>
  <si>
    <t>Annual Income</t>
  </si>
  <si>
    <t>37% of the employees make 40-80k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</si>
</sst>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rgb="FF000000"/>
      <name val="Calibri"/>
      <family val="2"/>
      <scheme val="minor"/>
    </font>
    <font>
      <sz val="8"/>
      <color rgb="FF333333"/>
      <name val="Segoe U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9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3D3D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border outline="0">
        <top style="thick">
          <color rgb="FFA8A8A8"/>
        </top>
        <bottom style="thick">
          <color rgb="FFA8A8A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93-405C-A2C4-D5350CB729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18-4FAF-B717-EE50FFA1E95C}"/>
              </c:ext>
            </c:extLst>
          </c:dPt>
          <c:dLbls>
            <c:dLbl>
              <c:idx val="0"/>
              <c:layout>
                <c:manualLayout>
                  <c:x val="7.4732720909886266E-2"/>
                  <c:y val="9.959135316418776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3-405C-A2C4-D5350CB7292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'attrition breakdown'!$B$1:$C$1</c:f>
              <c:strCache>
                <c:ptCount val="2"/>
                <c:pt idx="0">
                  <c:v>Attrition-Yes</c:v>
                </c:pt>
                <c:pt idx="1">
                  <c:v>Attrition-No</c:v>
                </c:pt>
              </c:strCache>
            </c:strRef>
          </c:cat>
          <c:val>
            <c:numRef>
              <c:f>'attrition breakdown'!$B$2:$C$2</c:f>
              <c:numCache>
                <c:formatCode>General</c:formatCode>
                <c:ptCount val="2"/>
                <c:pt idx="0">
                  <c:v>140</c:v>
                </c:pt>
                <c:pt idx="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3-405C-A2C4-D5350CB729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Role as percent of</a:t>
            </a:r>
            <a:r>
              <a:rPr lang="en-US" baseline="0"/>
              <a:t> total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'job role'!$B$1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D9-43F2-AC26-7BE5FB6A4D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CD9-43F2-AC26-7BE5FB6A4D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D9-43F2-AC26-7BE5FB6A4D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CD9-43F2-AC26-7BE5FB6A4D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D9-43F2-AC26-7BE5FB6A4D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CD9-43F2-AC26-7BE5FB6A4D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D9-43F2-AC26-7BE5FB6A4D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CD9-43F2-AC26-7BE5FB6A4D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D9-43F2-AC26-7BE5FB6A4D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CD9-43F2-AC26-7BE5FB6A4D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CD9-43F2-AC26-7BE5FB6A4D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CD9-43F2-AC26-7BE5FB6A4D4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CD9-43F2-AC26-7BE5FB6A4D4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CD9-43F2-AC26-7BE5FB6A4D4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CD9-43F2-AC26-7BE5FB6A4D4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CD9-43F2-AC26-7BE5FB6A4D4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CD9-43F2-AC26-7BE5FB6A4D4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CD9-43F2-AC26-7BE5FB6A4D4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'job role'!$A$2:$A$10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role'!$B$2:$B$10</c:f>
              <c:numCache>
                <c:formatCode>General</c:formatCode>
                <c:ptCount val="9"/>
                <c:pt idx="0">
                  <c:v>76</c:v>
                </c:pt>
                <c:pt idx="1">
                  <c:v>27</c:v>
                </c:pt>
                <c:pt idx="2">
                  <c:v>153</c:v>
                </c:pt>
                <c:pt idx="3">
                  <c:v>51</c:v>
                </c:pt>
                <c:pt idx="4">
                  <c:v>87</c:v>
                </c:pt>
                <c:pt idx="5">
                  <c:v>51</c:v>
                </c:pt>
                <c:pt idx="6">
                  <c:v>172</c:v>
                </c:pt>
                <c:pt idx="7">
                  <c:v>200</c:v>
                </c:pt>
                <c:pt idx="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9-43F2-AC26-7BE5FB6A4D4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department!$A$871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22-467B-8BF8-4C983969F909}"/>
              </c:ext>
            </c:extLst>
          </c:dPt>
          <c:cat>
            <c:strRef>
              <c:f>department!$B$1:$B$870</c:f>
              <c:strCache>
                <c:ptCount val="870"/>
                <c:pt idx="0">
                  <c:v>Department</c:v>
                </c:pt>
                <c:pt idx="1">
                  <c:v>Sales</c:v>
                </c:pt>
                <c:pt idx="2">
                  <c:v>Research &amp; Development</c:v>
                </c:pt>
                <c:pt idx="3">
                  <c:v>Research &amp; Development</c:v>
                </c:pt>
                <c:pt idx="4">
                  <c:v>Sales</c:v>
                </c:pt>
                <c:pt idx="5">
                  <c:v>Research &amp; Development</c:v>
                </c:pt>
                <c:pt idx="6">
                  <c:v>Research &amp; Development</c:v>
                </c:pt>
                <c:pt idx="7">
                  <c:v>Research &amp; Development</c:v>
                </c:pt>
                <c:pt idx="8">
                  <c:v>Sales</c:v>
                </c:pt>
                <c:pt idx="9">
                  <c:v>Sales</c:v>
                </c:pt>
                <c:pt idx="10">
                  <c:v>Research &amp; Development</c:v>
                </c:pt>
                <c:pt idx="11">
                  <c:v>Research &amp; Development</c:v>
                </c:pt>
                <c:pt idx="12">
                  <c:v>Human Resources</c:v>
                </c:pt>
                <c:pt idx="13">
                  <c:v>Research &amp; Development</c:v>
                </c:pt>
                <c:pt idx="14">
                  <c:v>Sales</c:v>
                </c:pt>
                <c:pt idx="15">
                  <c:v>Human Resources</c:v>
                </c:pt>
                <c:pt idx="16">
                  <c:v>Sales</c:v>
                </c:pt>
                <c:pt idx="17">
                  <c:v>Research &amp; Development</c:v>
                </c:pt>
                <c:pt idx="18">
                  <c:v>Research &amp; Development</c:v>
                </c:pt>
                <c:pt idx="19">
                  <c:v>Research &amp; Development</c:v>
                </c:pt>
                <c:pt idx="20">
                  <c:v>Research &amp; Development</c:v>
                </c:pt>
                <c:pt idx="21">
                  <c:v>Research &amp; Development</c:v>
                </c:pt>
                <c:pt idx="22">
                  <c:v>Sales</c:v>
                </c:pt>
                <c:pt idx="23">
                  <c:v>Research &amp; Development</c:v>
                </c:pt>
                <c:pt idx="24">
                  <c:v>Sales</c:v>
                </c:pt>
                <c:pt idx="25">
                  <c:v>Research &amp; Development</c:v>
                </c:pt>
                <c:pt idx="26">
                  <c:v>Sales</c:v>
                </c:pt>
                <c:pt idx="27">
                  <c:v>Sales</c:v>
                </c:pt>
                <c:pt idx="28">
                  <c:v>Sales</c:v>
                </c:pt>
                <c:pt idx="29">
                  <c:v>Sales</c:v>
                </c:pt>
                <c:pt idx="30">
                  <c:v>Research &amp; Development</c:v>
                </c:pt>
                <c:pt idx="31">
                  <c:v>Sales</c:v>
                </c:pt>
                <c:pt idx="32">
                  <c:v>Research &amp; Development</c:v>
                </c:pt>
                <c:pt idx="33">
                  <c:v>Sales</c:v>
                </c:pt>
                <c:pt idx="34">
                  <c:v>Research &amp; Development</c:v>
                </c:pt>
                <c:pt idx="35">
                  <c:v>Research &amp; Development</c:v>
                </c:pt>
                <c:pt idx="36">
                  <c:v>Research &amp; Development</c:v>
                </c:pt>
                <c:pt idx="37">
                  <c:v>Sales</c:v>
                </c:pt>
                <c:pt idx="38">
                  <c:v>Sales</c:v>
                </c:pt>
                <c:pt idx="39">
                  <c:v>Human Resources</c:v>
                </c:pt>
                <c:pt idx="40">
                  <c:v>Sales</c:v>
                </c:pt>
                <c:pt idx="41">
                  <c:v>Sales</c:v>
                </c:pt>
                <c:pt idx="42">
                  <c:v>Sales</c:v>
                </c:pt>
                <c:pt idx="43">
                  <c:v>Research &amp; Development</c:v>
                </c:pt>
                <c:pt idx="44">
                  <c:v>Research &amp; Development</c:v>
                </c:pt>
                <c:pt idx="45">
                  <c:v>Research &amp; Development</c:v>
                </c:pt>
                <c:pt idx="46">
                  <c:v>Research &amp; Development</c:v>
                </c:pt>
                <c:pt idx="47">
                  <c:v>Sales</c:v>
                </c:pt>
                <c:pt idx="48">
                  <c:v>Sales</c:v>
                </c:pt>
                <c:pt idx="49">
                  <c:v>Sales</c:v>
                </c:pt>
                <c:pt idx="50">
                  <c:v>Research &amp; Development</c:v>
                </c:pt>
                <c:pt idx="51">
                  <c:v>Research &amp; Development</c:v>
                </c:pt>
                <c:pt idx="52">
                  <c:v>Research &amp; Development</c:v>
                </c:pt>
                <c:pt idx="53">
                  <c:v>Research &amp; Development</c:v>
                </c:pt>
                <c:pt idx="54">
                  <c:v>Research &amp; Development</c:v>
                </c:pt>
                <c:pt idx="55">
                  <c:v>Research &amp; Development</c:v>
                </c:pt>
                <c:pt idx="56">
                  <c:v>Research &amp; Development</c:v>
                </c:pt>
                <c:pt idx="57">
                  <c:v>Research &amp; Development</c:v>
                </c:pt>
                <c:pt idx="58">
                  <c:v>Research &amp; Development</c:v>
                </c:pt>
                <c:pt idx="59">
                  <c:v>Research &amp; Development</c:v>
                </c:pt>
                <c:pt idx="60">
                  <c:v>Sales</c:v>
                </c:pt>
                <c:pt idx="61">
                  <c:v>Sales</c:v>
                </c:pt>
                <c:pt idx="62">
                  <c:v>Research &amp; Development</c:v>
                </c:pt>
                <c:pt idx="63">
                  <c:v>Sales</c:v>
                </c:pt>
                <c:pt idx="64">
                  <c:v>Research &amp; Development</c:v>
                </c:pt>
                <c:pt idx="65">
                  <c:v>Research &amp; Development</c:v>
                </c:pt>
                <c:pt idx="66">
                  <c:v>Research &amp; Development</c:v>
                </c:pt>
                <c:pt idx="67">
                  <c:v>Research &amp; Development</c:v>
                </c:pt>
                <c:pt idx="68">
                  <c:v>Research &amp; Development</c:v>
                </c:pt>
                <c:pt idx="69">
                  <c:v>Research &amp; Development</c:v>
                </c:pt>
                <c:pt idx="70">
                  <c:v>Research &amp; Development</c:v>
                </c:pt>
                <c:pt idx="71">
                  <c:v>Research &amp; Development</c:v>
                </c:pt>
                <c:pt idx="72">
                  <c:v>Sales</c:v>
                </c:pt>
                <c:pt idx="73">
                  <c:v>Research &amp; Development</c:v>
                </c:pt>
                <c:pt idx="74">
                  <c:v>Research &amp; Development</c:v>
                </c:pt>
                <c:pt idx="75">
                  <c:v>Sales</c:v>
                </c:pt>
                <c:pt idx="76">
                  <c:v>Research &amp; Development</c:v>
                </c:pt>
                <c:pt idx="77">
                  <c:v>Sales</c:v>
                </c:pt>
                <c:pt idx="78">
                  <c:v>Sales</c:v>
                </c:pt>
                <c:pt idx="79">
                  <c:v>Sales</c:v>
                </c:pt>
                <c:pt idx="80">
                  <c:v>Research &amp; Development</c:v>
                </c:pt>
                <c:pt idx="81">
                  <c:v>Research &amp; Development</c:v>
                </c:pt>
                <c:pt idx="82">
                  <c:v>Research &amp; Development</c:v>
                </c:pt>
                <c:pt idx="83">
                  <c:v>Research &amp; Development</c:v>
                </c:pt>
                <c:pt idx="84">
                  <c:v>Research &amp; Development</c:v>
                </c:pt>
                <c:pt idx="85">
                  <c:v>Research &amp; Development</c:v>
                </c:pt>
                <c:pt idx="86">
                  <c:v>Research &amp; Development</c:v>
                </c:pt>
                <c:pt idx="87">
                  <c:v>Sales</c:v>
                </c:pt>
                <c:pt idx="88">
                  <c:v>Research &amp; Development</c:v>
                </c:pt>
                <c:pt idx="89">
                  <c:v>Sales</c:v>
                </c:pt>
                <c:pt idx="90">
                  <c:v>Sales</c:v>
                </c:pt>
                <c:pt idx="91">
                  <c:v>Research &amp; Development</c:v>
                </c:pt>
                <c:pt idx="92">
                  <c:v>Sales</c:v>
                </c:pt>
                <c:pt idx="93">
                  <c:v>Research &amp; Development</c:v>
                </c:pt>
                <c:pt idx="94">
                  <c:v>Research &amp; Development</c:v>
                </c:pt>
                <c:pt idx="95">
                  <c:v>Research &amp; Development</c:v>
                </c:pt>
                <c:pt idx="96">
                  <c:v>Sales</c:v>
                </c:pt>
                <c:pt idx="97">
                  <c:v>Sales</c:v>
                </c:pt>
                <c:pt idx="98">
                  <c:v>Research &amp; Development</c:v>
                </c:pt>
                <c:pt idx="99">
                  <c:v>Research &amp; Development</c:v>
                </c:pt>
                <c:pt idx="100">
                  <c:v>Research &amp; Development</c:v>
                </c:pt>
                <c:pt idx="101">
                  <c:v>Research &amp; Development</c:v>
                </c:pt>
                <c:pt idx="102">
                  <c:v>Sales</c:v>
                </c:pt>
                <c:pt idx="103">
                  <c:v>Sales</c:v>
                </c:pt>
                <c:pt idx="104">
                  <c:v>Research &amp; Development</c:v>
                </c:pt>
                <c:pt idx="105">
                  <c:v>Research &amp; Development</c:v>
                </c:pt>
                <c:pt idx="106">
                  <c:v>Research &amp; Development</c:v>
                </c:pt>
                <c:pt idx="107">
                  <c:v>Research &amp; Development</c:v>
                </c:pt>
                <c:pt idx="108">
                  <c:v>Human Resources</c:v>
                </c:pt>
                <c:pt idx="109">
                  <c:v>Research &amp; Development</c:v>
                </c:pt>
                <c:pt idx="110">
                  <c:v>Research &amp; Development</c:v>
                </c:pt>
                <c:pt idx="111">
                  <c:v>Research &amp; Development</c:v>
                </c:pt>
                <c:pt idx="112">
                  <c:v>Research &amp; Development</c:v>
                </c:pt>
                <c:pt idx="113">
                  <c:v>Research &amp; Development</c:v>
                </c:pt>
                <c:pt idx="114">
                  <c:v>Research &amp; Development</c:v>
                </c:pt>
                <c:pt idx="115">
                  <c:v>Sales</c:v>
                </c:pt>
                <c:pt idx="116">
                  <c:v>Sales</c:v>
                </c:pt>
                <c:pt idx="117">
                  <c:v>Sales</c:v>
                </c:pt>
                <c:pt idx="118">
                  <c:v>Research &amp; Development</c:v>
                </c:pt>
                <c:pt idx="119">
                  <c:v>Research &amp; Development</c:v>
                </c:pt>
                <c:pt idx="120">
                  <c:v>Research &amp; Development</c:v>
                </c:pt>
                <c:pt idx="121">
                  <c:v>Research &amp; Development</c:v>
                </c:pt>
                <c:pt idx="122">
                  <c:v>Sales</c:v>
                </c:pt>
                <c:pt idx="123">
                  <c:v>Sales</c:v>
                </c:pt>
                <c:pt idx="124">
                  <c:v>Sales</c:v>
                </c:pt>
                <c:pt idx="125">
                  <c:v>Sales</c:v>
                </c:pt>
                <c:pt idx="126">
                  <c:v>Sales</c:v>
                </c:pt>
                <c:pt idx="127">
                  <c:v>Research &amp; Development</c:v>
                </c:pt>
                <c:pt idx="128">
                  <c:v>Research &amp; Development</c:v>
                </c:pt>
                <c:pt idx="129">
                  <c:v>Research &amp; Development</c:v>
                </c:pt>
                <c:pt idx="130">
                  <c:v>Sales</c:v>
                </c:pt>
                <c:pt idx="131">
                  <c:v>Sales</c:v>
                </c:pt>
                <c:pt idx="132">
                  <c:v>Sales</c:v>
                </c:pt>
                <c:pt idx="133">
                  <c:v>Research &amp; Development</c:v>
                </c:pt>
                <c:pt idx="134">
                  <c:v>Research &amp; Development</c:v>
                </c:pt>
                <c:pt idx="135">
                  <c:v>Research &amp; Development</c:v>
                </c:pt>
                <c:pt idx="136">
                  <c:v>Research &amp; Development</c:v>
                </c:pt>
                <c:pt idx="137">
                  <c:v>Research &amp; Development</c:v>
                </c:pt>
                <c:pt idx="138">
                  <c:v>Research &amp; Development</c:v>
                </c:pt>
                <c:pt idx="139">
                  <c:v>Research &amp; Development</c:v>
                </c:pt>
                <c:pt idx="140">
                  <c:v>Sales</c:v>
                </c:pt>
                <c:pt idx="141">
                  <c:v>Research &amp; Development</c:v>
                </c:pt>
                <c:pt idx="142">
                  <c:v>Research &amp; Development</c:v>
                </c:pt>
                <c:pt idx="143">
                  <c:v>Research &amp; Development</c:v>
                </c:pt>
                <c:pt idx="144">
                  <c:v>Sales</c:v>
                </c:pt>
                <c:pt idx="145">
                  <c:v>Research &amp; Development</c:v>
                </c:pt>
                <c:pt idx="146">
                  <c:v>Sales</c:v>
                </c:pt>
                <c:pt idx="147">
                  <c:v>Research &amp; Development</c:v>
                </c:pt>
                <c:pt idx="148">
                  <c:v>Sales</c:v>
                </c:pt>
                <c:pt idx="149">
                  <c:v>Research &amp; Development</c:v>
                </c:pt>
                <c:pt idx="150">
                  <c:v>Research &amp; Development</c:v>
                </c:pt>
                <c:pt idx="151">
                  <c:v>Sales</c:v>
                </c:pt>
                <c:pt idx="152">
                  <c:v>Sales</c:v>
                </c:pt>
                <c:pt idx="153">
                  <c:v>Sales</c:v>
                </c:pt>
                <c:pt idx="154">
                  <c:v>Research &amp; Development</c:v>
                </c:pt>
                <c:pt idx="155">
                  <c:v>Research &amp; Development</c:v>
                </c:pt>
                <c:pt idx="156">
                  <c:v>Sales</c:v>
                </c:pt>
                <c:pt idx="157">
                  <c:v>Sales</c:v>
                </c:pt>
                <c:pt idx="158">
                  <c:v>Research &amp; Development</c:v>
                </c:pt>
                <c:pt idx="159">
                  <c:v>Research &amp; Development</c:v>
                </c:pt>
                <c:pt idx="160">
                  <c:v>Research &amp; Development</c:v>
                </c:pt>
                <c:pt idx="161">
                  <c:v>Research &amp; Development</c:v>
                </c:pt>
                <c:pt idx="162">
                  <c:v>Research &amp; Development</c:v>
                </c:pt>
                <c:pt idx="163">
                  <c:v>Sales</c:v>
                </c:pt>
                <c:pt idx="164">
                  <c:v>Research &amp; Development</c:v>
                </c:pt>
                <c:pt idx="165">
                  <c:v>Sales</c:v>
                </c:pt>
                <c:pt idx="166">
                  <c:v>Sales</c:v>
                </c:pt>
                <c:pt idx="167">
                  <c:v>Research &amp; Development</c:v>
                </c:pt>
                <c:pt idx="168">
                  <c:v>Research &amp; Development</c:v>
                </c:pt>
                <c:pt idx="169">
                  <c:v>Research &amp; Development</c:v>
                </c:pt>
                <c:pt idx="170">
                  <c:v>Research &amp; Development</c:v>
                </c:pt>
                <c:pt idx="171">
                  <c:v>Sales</c:v>
                </c:pt>
                <c:pt idx="172">
                  <c:v>Research &amp; Development</c:v>
                </c:pt>
                <c:pt idx="173">
                  <c:v>Research &amp; Development</c:v>
                </c:pt>
                <c:pt idx="174">
                  <c:v>Sales</c:v>
                </c:pt>
                <c:pt idx="175">
                  <c:v>Sales</c:v>
                </c:pt>
                <c:pt idx="176">
                  <c:v>Research &amp; Development</c:v>
                </c:pt>
                <c:pt idx="177">
                  <c:v>Research &amp; Development</c:v>
                </c:pt>
                <c:pt idx="178">
                  <c:v>Research &amp; Development</c:v>
                </c:pt>
                <c:pt idx="179">
                  <c:v>Sales</c:v>
                </c:pt>
                <c:pt idx="180">
                  <c:v>Sales</c:v>
                </c:pt>
                <c:pt idx="181">
                  <c:v>Research &amp; Development</c:v>
                </c:pt>
                <c:pt idx="182">
                  <c:v>Sales</c:v>
                </c:pt>
                <c:pt idx="183">
                  <c:v>Research &amp; Development</c:v>
                </c:pt>
                <c:pt idx="184">
                  <c:v>Research &amp; Development</c:v>
                </c:pt>
                <c:pt idx="185">
                  <c:v>Research &amp; Development</c:v>
                </c:pt>
                <c:pt idx="186">
                  <c:v>Research &amp; Development</c:v>
                </c:pt>
                <c:pt idx="187">
                  <c:v>Research &amp; Development</c:v>
                </c:pt>
                <c:pt idx="188">
                  <c:v>Sales</c:v>
                </c:pt>
                <c:pt idx="189">
                  <c:v>Research &amp; Development</c:v>
                </c:pt>
                <c:pt idx="190">
                  <c:v>Sales</c:v>
                </c:pt>
                <c:pt idx="191">
                  <c:v>Research &amp; Development</c:v>
                </c:pt>
                <c:pt idx="192">
                  <c:v>Sales</c:v>
                </c:pt>
                <c:pt idx="193">
                  <c:v>Research &amp; Development</c:v>
                </c:pt>
                <c:pt idx="194">
                  <c:v>Sales</c:v>
                </c:pt>
                <c:pt idx="195">
                  <c:v>Research &amp; Development</c:v>
                </c:pt>
                <c:pt idx="196">
                  <c:v>Research &amp; Development</c:v>
                </c:pt>
                <c:pt idx="197">
                  <c:v>Research &amp; Development</c:v>
                </c:pt>
                <c:pt idx="198">
                  <c:v>Sales</c:v>
                </c:pt>
                <c:pt idx="199">
                  <c:v>Research &amp; Development</c:v>
                </c:pt>
                <c:pt idx="200">
                  <c:v>Research &amp; Development</c:v>
                </c:pt>
                <c:pt idx="201">
                  <c:v>Sales</c:v>
                </c:pt>
                <c:pt idx="202">
                  <c:v>Research &amp; Development</c:v>
                </c:pt>
                <c:pt idx="203">
                  <c:v>Research &amp; Development</c:v>
                </c:pt>
                <c:pt idx="204">
                  <c:v>Research &amp; Development</c:v>
                </c:pt>
                <c:pt idx="205">
                  <c:v>Sales</c:v>
                </c:pt>
                <c:pt idx="206">
                  <c:v>Research &amp; Development</c:v>
                </c:pt>
                <c:pt idx="207">
                  <c:v>Sales</c:v>
                </c:pt>
                <c:pt idx="208">
                  <c:v>Research &amp; Development</c:v>
                </c:pt>
                <c:pt idx="209">
                  <c:v>Research &amp; Development</c:v>
                </c:pt>
                <c:pt idx="210">
                  <c:v>Sales</c:v>
                </c:pt>
                <c:pt idx="211">
                  <c:v>Research &amp; Development</c:v>
                </c:pt>
                <c:pt idx="212">
                  <c:v>Sales</c:v>
                </c:pt>
                <c:pt idx="213">
                  <c:v>Research &amp; Development</c:v>
                </c:pt>
                <c:pt idx="214">
                  <c:v>Research &amp; Development</c:v>
                </c:pt>
                <c:pt idx="215">
                  <c:v>Research &amp; Development</c:v>
                </c:pt>
                <c:pt idx="216">
                  <c:v>Research &amp; Development</c:v>
                </c:pt>
                <c:pt idx="217">
                  <c:v>Research &amp; Development</c:v>
                </c:pt>
                <c:pt idx="218">
                  <c:v>Research &amp; Development</c:v>
                </c:pt>
                <c:pt idx="219">
                  <c:v>Research &amp; Development</c:v>
                </c:pt>
                <c:pt idx="220">
                  <c:v>Research &amp; Development</c:v>
                </c:pt>
                <c:pt idx="221">
                  <c:v>Sales</c:v>
                </c:pt>
                <c:pt idx="222">
                  <c:v>Sales</c:v>
                </c:pt>
                <c:pt idx="223">
                  <c:v>Sales</c:v>
                </c:pt>
                <c:pt idx="224">
                  <c:v>Research &amp; Development</c:v>
                </c:pt>
                <c:pt idx="225">
                  <c:v>Research &amp; Development</c:v>
                </c:pt>
                <c:pt idx="226">
                  <c:v>Research &amp; Development</c:v>
                </c:pt>
                <c:pt idx="227">
                  <c:v>Research &amp; Development</c:v>
                </c:pt>
                <c:pt idx="228">
                  <c:v>Research &amp; Development</c:v>
                </c:pt>
                <c:pt idx="229">
                  <c:v>Sales</c:v>
                </c:pt>
                <c:pt idx="230">
                  <c:v>Research &amp; Development</c:v>
                </c:pt>
                <c:pt idx="231">
                  <c:v>Research &amp; Development</c:v>
                </c:pt>
                <c:pt idx="232">
                  <c:v>Sales</c:v>
                </c:pt>
                <c:pt idx="233">
                  <c:v>Sales</c:v>
                </c:pt>
                <c:pt idx="234">
                  <c:v>Sales</c:v>
                </c:pt>
                <c:pt idx="235">
                  <c:v>Sales</c:v>
                </c:pt>
                <c:pt idx="236">
                  <c:v>Sales</c:v>
                </c:pt>
                <c:pt idx="237">
                  <c:v>Research &amp; Development</c:v>
                </c:pt>
                <c:pt idx="238">
                  <c:v>Research &amp; Development</c:v>
                </c:pt>
                <c:pt idx="239">
                  <c:v>Human Resources</c:v>
                </c:pt>
                <c:pt idx="240">
                  <c:v>Research &amp; Development</c:v>
                </c:pt>
                <c:pt idx="241">
                  <c:v>Research &amp; Development</c:v>
                </c:pt>
                <c:pt idx="242">
                  <c:v>Research &amp; Development</c:v>
                </c:pt>
                <c:pt idx="243">
                  <c:v>Research &amp; Development</c:v>
                </c:pt>
                <c:pt idx="244">
                  <c:v>Sales</c:v>
                </c:pt>
                <c:pt idx="245">
                  <c:v>Research &amp; Development</c:v>
                </c:pt>
                <c:pt idx="246">
                  <c:v>Research &amp; Development</c:v>
                </c:pt>
                <c:pt idx="247">
                  <c:v>Research &amp; Development</c:v>
                </c:pt>
                <c:pt idx="248">
                  <c:v>Sales</c:v>
                </c:pt>
                <c:pt idx="249">
                  <c:v>Research &amp; Development</c:v>
                </c:pt>
                <c:pt idx="250">
                  <c:v>Sales</c:v>
                </c:pt>
                <c:pt idx="251">
                  <c:v>Research &amp; Development</c:v>
                </c:pt>
                <c:pt idx="252">
                  <c:v>Sales</c:v>
                </c:pt>
                <c:pt idx="253">
                  <c:v>Research &amp; Development</c:v>
                </c:pt>
                <c:pt idx="254">
                  <c:v>Human Resources</c:v>
                </c:pt>
                <c:pt idx="255">
                  <c:v>Research &amp; Development</c:v>
                </c:pt>
                <c:pt idx="256">
                  <c:v>Research &amp; Development</c:v>
                </c:pt>
                <c:pt idx="257">
                  <c:v>Sales</c:v>
                </c:pt>
                <c:pt idx="258">
                  <c:v>Sales</c:v>
                </c:pt>
                <c:pt idx="259">
                  <c:v>Sales</c:v>
                </c:pt>
                <c:pt idx="260">
                  <c:v>Research &amp; Development</c:v>
                </c:pt>
                <c:pt idx="261">
                  <c:v>Sales</c:v>
                </c:pt>
                <c:pt idx="262">
                  <c:v>Research &amp; Development</c:v>
                </c:pt>
                <c:pt idx="263">
                  <c:v>Research &amp; Development</c:v>
                </c:pt>
                <c:pt idx="264">
                  <c:v>Sales</c:v>
                </c:pt>
                <c:pt idx="265">
                  <c:v>Research &amp; Development</c:v>
                </c:pt>
                <c:pt idx="266">
                  <c:v>Research &amp; Development</c:v>
                </c:pt>
                <c:pt idx="267">
                  <c:v>Research &amp; Development</c:v>
                </c:pt>
                <c:pt idx="268">
                  <c:v>Research &amp; Development</c:v>
                </c:pt>
                <c:pt idx="269">
                  <c:v>Research &amp; Development</c:v>
                </c:pt>
                <c:pt idx="270">
                  <c:v>Research &amp; Development</c:v>
                </c:pt>
                <c:pt idx="271">
                  <c:v>Sales</c:v>
                </c:pt>
                <c:pt idx="272">
                  <c:v>Research &amp; Development</c:v>
                </c:pt>
                <c:pt idx="273">
                  <c:v>Sales</c:v>
                </c:pt>
                <c:pt idx="274">
                  <c:v>Sales</c:v>
                </c:pt>
                <c:pt idx="275">
                  <c:v>Research &amp; Development</c:v>
                </c:pt>
                <c:pt idx="276">
                  <c:v>Research &amp; Development</c:v>
                </c:pt>
                <c:pt idx="277">
                  <c:v>Research &amp; Development</c:v>
                </c:pt>
                <c:pt idx="278">
                  <c:v>Research &amp; Development</c:v>
                </c:pt>
                <c:pt idx="279">
                  <c:v>Sales</c:v>
                </c:pt>
                <c:pt idx="280">
                  <c:v>Research &amp; Development</c:v>
                </c:pt>
                <c:pt idx="281">
                  <c:v>Sales</c:v>
                </c:pt>
                <c:pt idx="282">
                  <c:v>Research &amp; Development</c:v>
                </c:pt>
                <c:pt idx="283">
                  <c:v>Research &amp; Development</c:v>
                </c:pt>
                <c:pt idx="284">
                  <c:v>Sales</c:v>
                </c:pt>
                <c:pt idx="285">
                  <c:v>Human Resources</c:v>
                </c:pt>
                <c:pt idx="286">
                  <c:v>Research &amp; Development</c:v>
                </c:pt>
                <c:pt idx="287">
                  <c:v>Research &amp; Development</c:v>
                </c:pt>
                <c:pt idx="288">
                  <c:v>Research &amp; Development</c:v>
                </c:pt>
                <c:pt idx="289">
                  <c:v>Sales</c:v>
                </c:pt>
                <c:pt idx="290">
                  <c:v>Sales</c:v>
                </c:pt>
                <c:pt idx="291">
                  <c:v>Research &amp; Development</c:v>
                </c:pt>
                <c:pt idx="292">
                  <c:v>Research &amp; Development</c:v>
                </c:pt>
                <c:pt idx="293">
                  <c:v>Research &amp; Development</c:v>
                </c:pt>
                <c:pt idx="294">
                  <c:v>Research &amp; Development</c:v>
                </c:pt>
                <c:pt idx="295">
                  <c:v>Human Resources</c:v>
                </c:pt>
                <c:pt idx="296">
                  <c:v>Research &amp; Development</c:v>
                </c:pt>
                <c:pt idx="297">
                  <c:v>Research &amp; Development</c:v>
                </c:pt>
                <c:pt idx="298">
                  <c:v>Research &amp; Development</c:v>
                </c:pt>
                <c:pt idx="299">
                  <c:v>Research &amp; Development</c:v>
                </c:pt>
                <c:pt idx="300">
                  <c:v>Research &amp; Development</c:v>
                </c:pt>
                <c:pt idx="301">
                  <c:v>Sales</c:v>
                </c:pt>
                <c:pt idx="302">
                  <c:v>Sales</c:v>
                </c:pt>
                <c:pt idx="303">
                  <c:v>Research &amp; Development</c:v>
                </c:pt>
                <c:pt idx="304">
                  <c:v>Research &amp; Development</c:v>
                </c:pt>
                <c:pt idx="305">
                  <c:v>Research &amp; Development</c:v>
                </c:pt>
                <c:pt idx="306">
                  <c:v>Research &amp; Development</c:v>
                </c:pt>
                <c:pt idx="307">
                  <c:v>Research &amp; Development</c:v>
                </c:pt>
                <c:pt idx="308">
                  <c:v>Research &amp; Development</c:v>
                </c:pt>
                <c:pt idx="309">
                  <c:v>Research &amp; Development</c:v>
                </c:pt>
                <c:pt idx="310">
                  <c:v>Sales</c:v>
                </c:pt>
                <c:pt idx="311">
                  <c:v>Research &amp; Development</c:v>
                </c:pt>
                <c:pt idx="312">
                  <c:v>Research &amp; Development</c:v>
                </c:pt>
                <c:pt idx="313">
                  <c:v>Research &amp; Development</c:v>
                </c:pt>
                <c:pt idx="314">
                  <c:v>Research &amp; Development</c:v>
                </c:pt>
                <c:pt idx="315">
                  <c:v>Sales</c:v>
                </c:pt>
                <c:pt idx="316">
                  <c:v>Sales</c:v>
                </c:pt>
                <c:pt idx="317">
                  <c:v>Sales</c:v>
                </c:pt>
                <c:pt idx="318">
                  <c:v>Research &amp; Development</c:v>
                </c:pt>
                <c:pt idx="319">
                  <c:v>Sales</c:v>
                </c:pt>
                <c:pt idx="320">
                  <c:v>Research &amp; Development</c:v>
                </c:pt>
                <c:pt idx="321">
                  <c:v>Research &amp; Development</c:v>
                </c:pt>
                <c:pt idx="322">
                  <c:v>Research &amp; Development</c:v>
                </c:pt>
                <c:pt idx="323">
                  <c:v>Research &amp; Development</c:v>
                </c:pt>
                <c:pt idx="324">
                  <c:v>Research &amp; Development</c:v>
                </c:pt>
                <c:pt idx="325">
                  <c:v>Research &amp; Development</c:v>
                </c:pt>
                <c:pt idx="326">
                  <c:v>Research &amp; Development</c:v>
                </c:pt>
                <c:pt idx="327">
                  <c:v>Research &amp; Development</c:v>
                </c:pt>
                <c:pt idx="328">
                  <c:v>Research &amp; Development</c:v>
                </c:pt>
                <c:pt idx="329">
                  <c:v>Research &amp; Development</c:v>
                </c:pt>
                <c:pt idx="330">
                  <c:v>Human Resources</c:v>
                </c:pt>
                <c:pt idx="331">
                  <c:v>Research &amp; Development</c:v>
                </c:pt>
                <c:pt idx="332">
                  <c:v>Sales</c:v>
                </c:pt>
                <c:pt idx="333">
                  <c:v>Research &amp; Development</c:v>
                </c:pt>
                <c:pt idx="334">
                  <c:v>Research &amp; Development</c:v>
                </c:pt>
                <c:pt idx="335">
                  <c:v>Human Resources</c:v>
                </c:pt>
                <c:pt idx="336">
                  <c:v>Research &amp; Development</c:v>
                </c:pt>
                <c:pt idx="337">
                  <c:v>Sales</c:v>
                </c:pt>
                <c:pt idx="338">
                  <c:v>Research &amp; Development</c:v>
                </c:pt>
                <c:pt idx="339">
                  <c:v>Sales</c:v>
                </c:pt>
                <c:pt idx="340">
                  <c:v>Research &amp; Development</c:v>
                </c:pt>
                <c:pt idx="341">
                  <c:v>Research &amp; Development</c:v>
                </c:pt>
                <c:pt idx="342">
                  <c:v>Research &amp; Development</c:v>
                </c:pt>
                <c:pt idx="343">
                  <c:v>Research &amp; Development</c:v>
                </c:pt>
                <c:pt idx="344">
                  <c:v>Research &amp; Development</c:v>
                </c:pt>
                <c:pt idx="345">
                  <c:v>Sales</c:v>
                </c:pt>
                <c:pt idx="346">
                  <c:v>Sales</c:v>
                </c:pt>
                <c:pt idx="347">
                  <c:v>Research &amp; Development</c:v>
                </c:pt>
                <c:pt idx="348">
                  <c:v>Research &amp; Development</c:v>
                </c:pt>
                <c:pt idx="349">
                  <c:v>Research &amp; Development</c:v>
                </c:pt>
                <c:pt idx="350">
                  <c:v>Research &amp; Development</c:v>
                </c:pt>
                <c:pt idx="351">
                  <c:v>Research &amp; Development</c:v>
                </c:pt>
                <c:pt idx="352">
                  <c:v>Sales</c:v>
                </c:pt>
                <c:pt idx="353">
                  <c:v>Research &amp; Development</c:v>
                </c:pt>
                <c:pt idx="354">
                  <c:v>Research &amp; Development</c:v>
                </c:pt>
                <c:pt idx="355">
                  <c:v>Sales</c:v>
                </c:pt>
                <c:pt idx="356">
                  <c:v>Sales</c:v>
                </c:pt>
                <c:pt idx="357">
                  <c:v>Research &amp; Development</c:v>
                </c:pt>
                <c:pt idx="358">
                  <c:v>Research &amp; Development</c:v>
                </c:pt>
                <c:pt idx="359">
                  <c:v>Research &amp; Development</c:v>
                </c:pt>
                <c:pt idx="360">
                  <c:v>Research &amp; Development</c:v>
                </c:pt>
                <c:pt idx="361">
                  <c:v>Research &amp; Development</c:v>
                </c:pt>
                <c:pt idx="362">
                  <c:v>Sales</c:v>
                </c:pt>
                <c:pt idx="363">
                  <c:v>Sales</c:v>
                </c:pt>
                <c:pt idx="364">
                  <c:v>Research &amp; Development</c:v>
                </c:pt>
                <c:pt idx="365">
                  <c:v>Research &amp; Development</c:v>
                </c:pt>
                <c:pt idx="366">
                  <c:v>Sales</c:v>
                </c:pt>
                <c:pt idx="367">
                  <c:v>Research &amp; Development</c:v>
                </c:pt>
                <c:pt idx="368">
                  <c:v>Sales</c:v>
                </c:pt>
                <c:pt idx="369">
                  <c:v>Research &amp; Development</c:v>
                </c:pt>
                <c:pt idx="370">
                  <c:v>Research &amp; Development</c:v>
                </c:pt>
                <c:pt idx="371">
                  <c:v>Research &amp; Development</c:v>
                </c:pt>
                <c:pt idx="372">
                  <c:v>Sales</c:v>
                </c:pt>
                <c:pt idx="373">
                  <c:v>Research &amp; Development</c:v>
                </c:pt>
                <c:pt idx="374">
                  <c:v>Research &amp; Development</c:v>
                </c:pt>
                <c:pt idx="375">
                  <c:v>Sales</c:v>
                </c:pt>
                <c:pt idx="376">
                  <c:v>Research &amp; Development</c:v>
                </c:pt>
                <c:pt idx="377">
                  <c:v>Research &amp; Development</c:v>
                </c:pt>
                <c:pt idx="378">
                  <c:v>Sales</c:v>
                </c:pt>
                <c:pt idx="379">
                  <c:v>Research &amp; Development</c:v>
                </c:pt>
                <c:pt idx="380">
                  <c:v>Research &amp; Development</c:v>
                </c:pt>
                <c:pt idx="381">
                  <c:v>Research &amp; Development</c:v>
                </c:pt>
                <c:pt idx="382">
                  <c:v>Human Resources</c:v>
                </c:pt>
                <c:pt idx="383">
                  <c:v>Sales</c:v>
                </c:pt>
                <c:pt idx="384">
                  <c:v>Sales</c:v>
                </c:pt>
                <c:pt idx="385">
                  <c:v>Research &amp; Development</c:v>
                </c:pt>
                <c:pt idx="386">
                  <c:v>Research &amp; Development</c:v>
                </c:pt>
                <c:pt idx="387">
                  <c:v>Sales</c:v>
                </c:pt>
                <c:pt idx="388">
                  <c:v>Research &amp; Development</c:v>
                </c:pt>
                <c:pt idx="389">
                  <c:v>Sales</c:v>
                </c:pt>
                <c:pt idx="390">
                  <c:v>Sales</c:v>
                </c:pt>
                <c:pt idx="391">
                  <c:v>Sales</c:v>
                </c:pt>
                <c:pt idx="392">
                  <c:v>Sales</c:v>
                </c:pt>
                <c:pt idx="393">
                  <c:v>Research &amp; Development</c:v>
                </c:pt>
                <c:pt idx="394">
                  <c:v>Sales</c:v>
                </c:pt>
                <c:pt idx="395">
                  <c:v>Research &amp; Development</c:v>
                </c:pt>
                <c:pt idx="396">
                  <c:v>Research &amp; Development</c:v>
                </c:pt>
                <c:pt idx="397">
                  <c:v>Research &amp; Development</c:v>
                </c:pt>
                <c:pt idx="398">
                  <c:v>Human Resources</c:v>
                </c:pt>
                <c:pt idx="399">
                  <c:v>Research &amp; Development</c:v>
                </c:pt>
                <c:pt idx="400">
                  <c:v>Research &amp; Development</c:v>
                </c:pt>
                <c:pt idx="401">
                  <c:v>Research &amp; Development</c:v>
                </c:pt>
                <c:pt idx="402">
                  <c:v>Research &amp; Development</c:v>
                </c:pt>
                <c:pt idx="403">
                  <c:v>Research &amp; Development</c:v>
                </c:pt>
                <c:pt idx="404">
                  <c:v>Research &amp; Development</c:v>
                </c:pt>
                <c:pt idx="405">
                  <c:v>Research &amp; Development</c:v>
                </c:pt>
                <c:pt idx="406">
                  <c:v>Research &amp; Development</c:v>
                </c:pt>
                <c:pt idx="407">
                  <c:v>Sales</c:v>
                </c:pt>
                <c:pt idx="408">
                  <c:v>Research &amp; Development</c:v>
                </c:pt>
                <c:pt idx="409">
                  <c:v>Sales</c:v>
                </c:pt>
                <c:pt idx="410">
                  <c:v>Research &amp; Development</c:v>
                </c:pt>
                <c:pt idx="411">
                  <c:v>Human Resources</c:v>
                </c:pt>
                <c:pt idx="412">
                  <c:v>Sales</c:v>
                </c:pt>
                <c:pt idx="413">
                  <c:v>Research &amp; Development</c:v>
                </c:pt>
                <c:pt idx="414">
                  <c:v>Sales</c:v>
                </c:pt>
                <c:pt idx="415">
                  <c:v>Sales</c:v>
                </c:pt>
                <c:pt idx="416">
                  <c:v>Research &amp; Development</c:v>
                </c:pt>
                <c:pt idx="417">
                  <c:v>Research &amp; Development</c:v>
                </c:pt>
                <c:pt idx="418">
                  <c:v>Research &amp; Development</c:v>
                </c:pt>
                <c:pt idx="419">
                  <c:v>Research &amp; Development</c:v>
                </c:pt>
                <c:pt idx="420">
                  <c:v>Research &amp; Development</c:v>
                </c:pt>
                <c:pt idx="421">
                  <c:v>Research &amp; Development</c:v>
                </c:pt>
                <c:pt idx="422">
                  <c:v>Research &amp; Development</c:v>
                </c:pt>
                <c:pt idx="423">
                  <c:v>Sales</c:v>
                </c:pt>
                <c:pt idx="424">
                  <c:v>Research &amp; Development</c:v>
                </c:pt>
                <c:pt idx="425">
                  <c:v>Sales</c:v>
                </c:pt>
                <c:pt idx="426">
                  <c:v>Sales</c:v>
                </c:pt>
                <c:pt idx="427">
                  <c:v>Research &amp; Development</c:v>
                </c:pt>
                <c:pt idx="428">
                  <c:v>Research &amp; Development</c:v>
                </c:pt>
                <c:pt idx="429">
                  <c:v>Research &amp; Development</c:v>
                </c:pt>
                <c:pt idx="430">
                  <c:v>Research &amp; Development</c:v>
                </c:pt>
                <c:pt idx="431">
                  <c:v>Sales</c:v>
                </c:pt>
                <c:pt idx="432">
                  <c:v>Research &amp; Development</c:v>
                </c:pt>
                <c:pt idx="433">
                  <c:v>Research &amp; Development</c:v>
                </c:pt>
                <c:pt idx="434">
                  <c:v>Research &amp; Development</c:v>
                </c:pt>
                <c:pt idx="435">
                  <c:v>Sales</c:v>
                </c:pt>
                <c:pt idx="436">
                  <c:v>Sales</c:v>
                </c:pt>
                <c:pt idx="437">
                  <c:v>Research &amp; Development</c:v>
                </c:pt>
                <c:pt idx="438">
                  <c:v>Research &amp; Development</c:v>
                </c:pt>
                <c:pt idx="439">
                  <c:v>Sales</c:v>
                </c:pt>
                <c:pt idx="440">
                  <c:v>Research &amp; Development</c:v>
                </c:pt>
                <c:pt idx="441">
                  <c:v>Research &amp; Development</c:v>
                </c:pt>
                <c:pt idx="442">
                  <c:v>Research &amp; Development</c:v>
                </c:pt>
                <c:pt idx="443">
                  <c:v>Research &amp; Development</c:v>
                </c:pt>
                <c:pt idx="444">
                  <c:v>Human Resources</c:v>
                </c:pt>
                <c:pt idx="445">
                  <c:v>Research &amp; Development</c:v>
                </c:pt>
                <c:pt idx="446">
                  <c:v>Research &amp; Development</c:v>
                </c:pt>
                <c:pt idx="447">
                  <c:v>Research &amp; Development</c:v>
                </c:pt>
                <c:pt idx="448">
                  <c:v>Research &amp; Development</c:v>
                </c:pt>
                <c:pt idx="449">
                  <c:v>Research &amp; Development</c:v>
                </c:pt>
                <c:pt idx="450">
                  <c:v>Sales</c:v>
                </c:pt>
                <c:pt idx="451">
                  <c:v>Research &amp; Development</c:v>
                </c:pt>
                <c:pt idx="452">
                  <c:v>Research &amp; Development</c:v>
                </c:pt>
                <c:pt idx="453">
                  <c:v>Sales</c:v>
                </c:pt>
                <c:pt idx="454">
                  <c:v>Sales</c:v>
                </c:pt>
                <c:pt idx="455">
                  <c:v>Research &amp; Development</c:v>
                </c:pt>
                <c:pt idx="456">
                  <c:v>Sales</c:v>
                </c:pt>
                <c:pt idx="457">
                  <c:v>Sales</c:v>
                </c:pt>
                <c:pt idx="458">
                  <c:v>Sales</c:v>
                </c:pt>
                <c:pt idx="459">
                  <c:v>Research &amp; Development</c:v>
                </c:pt>
                <c:pt idx="460">
                  <c:v>Research &amp; Development</c:v>
                </c:pt>
                <c:pt idx="461">
                  <c:v>Research &amp; Development</c:v>
                </c:pt>
                <c:pt idx="462">
                  <c:v>Research &amp; Development</c:v>
                </c:pt>
                <c:pt idx="463">
                  <c:v>Sales</c:v>
                </c:pt>
                <c:pt idx="464">
                  <c:v>Research &amp; Development</c:v>
                </c:pt>
                <c:pt idx="465">
                  <c:v>Research &amp; Development</c:v>
                </c:pt>
                <c:pt idx="466">
                  <c:v>Research &amp; Development</c:v>
                </c:pt>
                <c:pt idx="467">
                  <c:v>Sales</c:v>
                </c:pt>
                <c:pt idx="468">
                  <c:v>Research &amp; Development</c:v>
                </c:pt>
                <c:pt idx="469">
                  <c:v>Sales</c:v>
                </c:pt>
                <c:pt idx="470">
                  <c:v>Research &amp; Development</c:v>
                </c:pt>
                <c:pt idx="471">
                  <c:v>Research &amp; Development</c:v>
                </c:pt>
                <c:pt idx="472">
                  <c:v>Research &amp; Development</c:v>
                </c:pt>
                <c:pt idx="473">
                  <c:v>Research &amp; Development</c:v>
                </c:pt>
                <c:pt idx="474">
                  <c:v>Research &amp; Development</c:v>
                </c:pt>
                <c:pt idx="475">
                  <c:v>Research &amp; Development</c:v>
                </c:pt>
                <c:pt idx="476">
                  <c:v>Sales</c:v>
                </c:pt>
                <c:pt idx="477">
                  <c:v>Sales</c:v>
                </c:pt>
                <c:pt idx="478">
                  <c:v>Sales</c:v>
                </c:pt>
                <c:pt idx="479">
                  <c:v>Research &amp; Development</c:v>
                </c:pt>
                <c:pt idx="480">
                  <c:v>Research &amp; Development</c:v>
                </c:pt>
                <c:pt idx="481">
                  <c:v>Research &amp; Development</c:v>
                </c:pt>
                <c:pt idx="482">
                  <c:v>Research &amp; Development</c:v>
                </c:pt>
                <c:pt idx="483">
                  <c:v>Research &amp; Development</c:v>
                </c:pt>
                <c:pt idx="484">
                  <c:v>Research &amp; Development</c:v>
                </c:pt>
                <c:pt idx="485">
                  <c:v>Research &amp; Development</c:v>
                </c:pt>
                <c:pt idx="486">
                  <c:v>Sales</c:v>
                </c:pt>
                <c:pt idx="487">
                  <c:v>Sales</c:v>
                </c:pt>
                <c:pt idx="488">
                  <c:v>Research &amp; Development</c:v>
                </c:pt>
                <c:pt idx="489">
                  <c:v>Research &amp; Development</c:v>
                </c:pt>
                <c:pt idx="490">
                  <c:v>Research &amp; Development</c:v>
                </c:pt>
                <c:pt idx="491">
                  <c:v>Research &amp; Development</c:v>
                </c:pt>
                <c:pt idx="492">
                  <c:v>Research &amp; Development</c:v>
                </c:pt>
                <c:pt idx="493">
                  <c:v>Sales</c:v>
                </c:pt>
                <c:pt idx="494">
                  <c:v>Research &amp; Development</c:v>
                </c:pt>
                <c:pt idx="495">
                  <c:v>Sales</c:v>
                </c:pt>
                <c:pt idx="496">
                  <c:v>Sales</c:v>
                </c:pt>
                <c:pt idx="497">
                  <c:v>Research &amp; Development</c:v>
                </c:pt>
                <c:pt idx="498">
                  <c:v>Research &amp; Development</c:v>
                </c:pt>
                <c:pt idx="499">
                  <c:v>Research &amp; Development</c:v>
                </c:pt>
                <c:pt idx="500">
                  <c:v>Sales</c:v>
                </c:pt>
                <c:pt idx="501">
                  <c:v>Research &amp; Development</c:v>
                </c:pt>
                <c:pt idx="502">
                  <c:v>Research &amp; Development</c:v>
                </c:pt>
                <c:pt idx="503">
                  <c:v>Sales</c:v>
                </c:pt>
                <c:pt idx="504">
                  <c:v>Research &amp; Development</c:v>
                </c:pt>
                <c:pt idx="505">
                  <c:v>Research &amp; Development</c:v>
                </c:pt>
                <c:pt idx="506">
                  <c:v>Research &amp; Development</c:v>
                </c:pt>
                <c:pt idx="507">
                  <c:v>Sales</c:v>
                </c:pt>
                <c:pt idx="508">
                  <c:v>Sales</c:v>
                </c:pt>
                <c:pt idx="509">
                  <c:v>Sales</c:v>
                </c:pt>
                <c:pt idx="510">
                  <c:v>Research &amp; Development</c:v>
                </c:pt>
                <c:pt idx="511">
                  <c:v>Sales</c:v>
                </c:pt>
                <c:pt idx="512">
                  <c:v>Research &amp; Development</c:v>
                </c:pt>
                <c:pt idx="513">
                  <c:v>Research &amp; Development</c:v>
                </c:pt>
                <c:pt idx="514">
                  <c:v>Research &amp; Development</c:v>
                </c:pt>
                <c:pt idx="515">
                  <c:v>Sales</c:v>
                </c:pt>
                <c:pt idx="516">
                  <c:v>Research &amp; Development</c:v>
                </c:pt>
                <c:pt idx="517">
                  <c:v>Sales</c:v>
                </c:pt>
                <c:pt idx="518">
                  <c:v>Research &amp; Development</c:v>
                </c:pt>
                <c:pt idx="519">
                  <c:v>Research &amp; Development</c:v>
                </c:pt>
                <c:pt idx="520">
                  <c:v>Research &amp; Development</c:v>
                </c:pt>
                <c:pt idx="521">
                  <c:v>Research &amp; Development</c:v>
                </c:pt>
                <c:pt idx="522">
                  <c:v>Research &amp; Development</c:v>
                </c:pt>
                <c:pt idx="523">
                  <c:v>Research &amp; Development</c:v>
                </c:pt>
                <c:pt idx="524">
                  <c:v>Research &amp; Development</c:v>
                </c:pt>
                <c:pt idx="525">
                  <c:v>Research &amp; Development</c:v>
                </c:pt>
                <c:pt idx="526">
                  <c:v>Sales</c:v>
                </c:pt>
                <c:pt idx="527">
                  <c:v>Sales</c:v>
                </c:pt>
                <c:pt idx="528">
                  <c:v>Research &amp; Development</c:v>
                </c:pt>
                <c:pt idx="529">
                  <c:v>Research &amp; Development</c:v>
                </c:pt>
                <c:pt idx="530">
                  <c:v>Research &amp; Development</c:v>
                </c:pt>
                <c:pt idx="531">
                  <c:v>Research &amp; Development</c:v>
                </c:pt>
                <c:pt idx="532">
                  <c:v>Sales</c:v>
                </c:pt>
                <c:pt idx="533">
                  <c:v>Research &amp; Development</c:v>
                </c:pt>
                <c:pt idx="534">
                  <c:v>Research &amp; Development</c:v>
                </c:pt>
                <c:pt idx="535">
                  <c:v>Research &amp; Development</c:v>
                </c:pt>
                <c:pt idx="536">
                  <c:v>Research &amp; Development</c:v>
                </c:pt>
                <c:pt idx="537">
                  <c:v>Sales</c:v>
                </c:pt>
                <c:pt idx="538">
                  <c:v>Human Resources</c:v>
                </c:pt>
                <c:pt idx="539">
                  <c:v>Sales</c:v>
                </c:pt>
                <c:pt idx="540">
                  <c:v>Sales</c:v>
                </c:pt>
                <c:pt idx="541">
                  <c:v>Research &amp; Development</c:v>
                </c:pt>
                <c:pt idx="542">
                  <c:v>Research &amp; Development</c:v>
                </c:pt>
                <c:pt idx="543">
                  <c:v>Research &amp; Development</c:v>
                </c:pt>
                <c:pt idx="544">
                  <c:v>Research &amp; Development</c:v>
                </c:pt>
                <c:pt idx="545">
                  <c:v>Research &amp; Development</c:v>
                </c:pt>
                <c:pt idx="546">
                  <c:v>Research &amp; Development</c:v>
                </c:pt>
                <c:pt idx="547">
                  <c:v>Research &amp; Development</c:v>
                </c:pt>
                <c:pt idx="548">
                  <c:v>Research &amp; Development</c:v>
                </c:pt>
                <c:pt idx="549">
                  <c:v>Research &amp; Development</c:v>
                </c:pt>
                <c:pt idx="550">
                  <c:v>Human Resources</c:v>
                </c:pt>
                <c:pt idx="551">
                  <c:v>Human Resources</c:v>
                </c:pt>
                <c:pt idx="552">
                  <c:v>Human Resources</c:v>
                </c:pt>
                <c:pt idx="553">
                  <c:v>Human Resources</c:v>
                </c:pt>
                <c:pt idx="554">
                  <c:v>Research &amp; Development</c:v>
                </c:pt>
                <c:pt idx="555">
                  <c:v>Research &amp; Development</c:v>
                </c:pt>
                <c:pt idx="556">
                  <c:v>Sales</c:v>
                </c:pt>
                <c:pt idx="557">
                  <c:v>Research &amp; Development</c:v>
                </c:pt>
                <c:pt idx="558">
                  <c:v>Research &amp; Development</c:v>
                </c:pt>
                <c:pt idx="559">
                  <c:v>Research &amp; Development</c:v>
                </c:pt>
                <c:pt idx="560">
                  <c:v>Sales</c:v>
                </c:pt>
                <c:pt idx="561">
                  <c:v>Research &amp; Development</c:v>
                </c:pt>
                <c:pt idx="562">
                  <c:v>Research &amp; Development</c:v>
                </c:pt>
                <c:pt idx="563">
                  <c:v>Research &amp; Development</c:v>
                </c:pt>
                <c:pt idx="564">
                  <c:v>Research &amp; Development</c:v>
                </c:pt>
                <c:pt idx="565">
                  <c:v>Research &amp; Development</c:v>
                </c:pt>
                <c:pt idx="566">
                  <c:v>Research &amp; Development</c:v>
                </c:pt>
                <c:pt idx="567">
                  <c:v>Research &amp; Development</c:v>
                </c:pt>
                <c:pt idx="568">
                  <c:v>Sales</c:v>
                </c:pt>
                <c:pt idx="569">
                  <c:v>Sales</c:v>
                </c:pt>
                <c:pt idx="570">
                  <c:v>Research &amp; Development</c:v>
                </c:pt>
                <c:pt idx="571">
                  <c:v>Sales</c:v>
                </c:pt>
                <c:pt idx="572">
                  <c:v>Research &amp; Development</c:v>
                </c:pt>
                <c:pt idx="573">
                  <c:v>Sales</c:v>
                </c:pt>
                <c:pt idx="574">
                  <c:v>Sales</c:v>
                </c:pt>
                <c:pt idx="575">
                  <c:v>Sales</c:v>
                </c:pt>
                <c:pt idx="576">
                  <c:v>Research &amp; Development</c:v>
                </c:pt>
                <c:pt idx="577">
                  <c:v>Sales</c:v>
                </c:pt>
                <c:pt idx="578">
                  <c:v>Research &amp; Development</c:v>
                </c:pt>
                <c:pt idx="579">
                  <c:v>Research &amp; Development</c:v>
                </c:pt>
                <c:pt idx="580">
                  <c:v>Research &amp; Development</c:v>
                </c:pt>
                <c:pt idx="581">
                  <c:v>Research &amp; Development</c:v>
                </c:pt>
                <c:pt idx="582">
                  <c:v>Research &amp; Development</c:v>
                </c:pt>
                <c:pt idx="583">
                  <c:v>Research &amp; Development</c:v>
                </c:pt>
                <c:pt idx="584">
                  <c:v>Sales</c:v>
                </c:pt>
                <c:pt idx="585">
                  <c:v>Research &amp; Development</c:v>
                </c:pt>
                <c:pt idx="586">
                  <c:v>Research &amp; Development</c:v>
                </c:pt>
                <c:pt idx="587">
                  <c:v>Research &amp; Development</c:v>
                </c:pt>
                <c:pt idx="588">
                  <c:v>Sales</c:v>
                </c:pt>
                <c:pt idx="589">
                  <c:v>Research &amp; Development</c:v>
                </c:pt>
                <c:pt idx="590">
                  <c:v>Research &amp; Development</c:v>
                </c:pt>
                <c:pt idx="591">
                  <c:v>Research &amp; Development</c:v>
                </c:pt>
                <c:pt idx="592">
                  <c:v>Sales</c:v>
                </c:pt>
                <c:pt idx="593">
                  <c:v>Sales</c:v>
                </c:pt>
                <c:pt idx="594">
                  <c:v>Research &amp; Development</c:v>
                </c:pt>
                <c:pt idx="595">
                  <c:v>Research &amp; Development</c:v>
                </c:pt>
                <c:pt idx="596">
                  <c:v>Sales</c:v>
                </c:pt>
                <c:pt idx="597">
                  <c:v>Research &amp; Development</c:v>
                </c:pt>
                <c:pt idx="598">
                  <c:v>Research &amp; Development</c:v>
                </c:pt>
                <c:pt idx="599">
                  <c:v>Research &amp; Development</c:v>
                </c:pt>
                <c:pt idx="600">
                  <c:v>Research &amp; Development</c:v>
                </c:pt>
                <c:pt idx="601">
                  <c:v>Sales</c:v>
                </c:pt>
                <c:pt idx="602">
                  <c:v>Research &amp; Development</c:v>
                </c:pt>
                <c:pt idx="603">
                  <c:v>Research &amp; Development</c:v>
                </c:pt>
                <c:pt idx="604">
                  <c:v>Research &amp; Development</c:v>
                </c:pt>
                <c:pt idx="605">
                  <c:v>Sales</c:v>
                </c:pt>
                <c:pt idx="606">
                  <c:v>Research &amp; Development</c:v>
                </c:pt>
                <c:pt idx="607">
                  <c:v>Sales</c:v>
                </c:pt>
                <c:pt idx="608">
                  <c:v>Sales</c:v>
                </c:pt>
                <c:pt idx="609">
                  <c:v>Research &amp; Development</c:v>
                </c:pt>
                <c:pt idx="610">
                  <c:v>Sales</c:v>
                </c:pt>
                <c:pt idx="611">
                  <c:v>Research &amp; Development</c:v>
                </c:pt>
                <c:pt idx="612">
                  <c:v>Research &amp; Development</c:v>
                </c:pt>
                <c:pt idx="613">
                  <c:v>Research &amp; Development</c:v>
                </c:pt>
                <c:pt idx="614">
                  <c:v>Sales</c:v>
                </c:pt>
                <c:pt idx="615">
                  <c:v>Sales</c:v>
                </c:pt>
                <c:pt idx="616">
                  <c:v>Research &amp; Development</c:v>
                </c:pt>
                <c:pt idx="617">
                  <c:v>Research &amp; Development</c:v>
                </c:pt>
                <c:pt idx="618">
                  <c:v>Sales</c:v>
                </c:pt>
                <c:pt idx="619">
                  <c:v>Research &amp; Development</c:v>
                </c:pt>
                <c:pt idx="620">
                  <c:v>Research &amp; Development</c:v>
                </c:pt>
                <c:pt idx="621">
                  <c:v>Research &amp; Development</c:v>
                </c:pt>
                <c:pt idx="622">
                  <c:v>Research &amp; Development</c:v>
                </c:pt>
                <c:pt idx="623">
                  <c:v>Research &amp; Development</c:v>
                </c:pt>
                <c:pt idx="624">
                  <c:v>Human Resources</c:v>
                </c:pt>
                <c:pt idx="625">
                  <c:v>Research &amp; Development</c:v>
                </c:pt>
                <c:pt idx="626">
                  <c:v>Research &amp; Development</c:v>
                </c:pt>
                <c:pt idx="627">
                  <c:v>Sales</c:v>
                </c:pt>
                <c:pt idx="628">
                  <c:v>Research &amp; Development</c:v>
                </c:pt>
                <c:pt idx="629">
                  <c:v>Research &amp; Development</c:v>
                </c:pt>
                <c:pt idx="630">
                  <c:v>Research &amp; Development</c:v>
                </c:pt>
                <c:pt idx="631">
                  <c:v>Research &amp; Development</c:v>
                </c:pt>
                <c:pt idx="632">
                  <c:v>Sales</c:v>
                </c:pt>
                <c:pt idx="633">
                  <c:v>Sales</c:v>
                </c:pt>
                <c:pt idx="634">
                  <c:v>Research &amp; Development</c:v>
                </c:pt>
                <c:pt idx="635">
                  <c:v>Research &amp; Development</c:v>
                </c:pt>
                <c:pt idx="636">
                  <c:v>Research &amp; Development</c:v>
                </c:pt>
                <c:pt idx="637">
                  <c:v>Research &amp; Development</c:v>
                </c:pt>
                <c:pt idx="638">
                  <c:v>Sales</c:v>
                </c:pt>
                <c:pt idx="639">
                  <c:v>Research &amp; Development</c:v>
                </c:pt>
                <c:pt idx="640">
                  <c:v>Sales</c:v>
                </c:pt>
                <c:pt idx="641">
                  <c:v>Research &amp; Development</c:v>
                </c:pt>
                <c:pt idx="642">
                  <c:v>Research &amp; Development</c:v>
                </c:pt>
                <c:pt idx="643">
                  <c:v>Research &amp; Development</c:v>
                </c:pt>
                <c:pt idx="644">
                  <c:v>Research &amp; Development</c:v>
                </c:pt>
                <c:pt idx="645">
                  <c:v>Research &amp; Development</c:v>
                </c:pt>
                <c:pt idx="646">
                  <c:v>Sales</c:v>
                </c:pt>
                <c:pt idx="647">
                  <c:v>Research &amp; Development</c:v>
                </c:pt>
                <c:pt idx="648">
                  <c:v>Research &amp; Development</c:v>
                </c:pt>
                <c:pt idx="649">
                  <c:v>Sales</c:v>
                </c:pt>
                <c:pt idx="650">
                  <c:v>Research &amp; Development</c:v>
                </c:pt>
                <c:pt idx="651">
                  <c:v>Research &amp; Development</c:v>
                </c:pt>
                <c:pt idx="652">
                  <c:v>Sales</c:v>
                </c:pt>
                <c:pt idx="653">
                  <c:v>Research &amp; Development</c:v>
                </c:pt>
                <c:pt idx="654">
                  <c:v>Sales</c:v>
                </c:pt>
                <c:pt idx="655">
                  <c:v>Research &amp; Development</c:v>
                </c:pt>
                <c:pt idx="656">
                  <c:v>Research &amp; Development</c:v>
                </c:pt>
                <c:pt idx="657">
                  <c:v>Research &amp; Development</c:v>
                </c:pt>
                <c:pt idx="658">
                  <c:v>Research &amp; Development</c:v>
                </c:pt>
                <c:pt idx="659">
                  <c:v>Research &amp; Development</c:v>
                </c:pt>
                <c:pt idx="660">
                  <c:v>Research &amp; Development</c:v>
                </c:pt>
                <c:pt idx="661">
                  <c:v>Research &amp; Development</c:v>
                </c:pt>
                <c:pt idx="662">
                  <c:v>Research &amp; Development</c:v>
                </c:pt>
                <c:pt idx="663">
                  <c:v>Sales</c:v>
                </c:pt>
                <c:pt idx="664">
                  <c:v>Research &amp; Development</c:v>
                </c:pt>
                <c:pt idx="665">
                  <c:v>Sales</c:v>
                </c:pt>
                <c:pt idx="666">
                  <c:v>Research &amp; Development</c:v>
                </c:pt>
                <c:pt idx="667">
                  <c:v>Sales</c:v>
                </c:pt>
                <c:pt idx="668">
                  <c:v>Research &amp; Development</c:v>
                </c:pt>
                <c:pt idx="669">
                  <c:v>Research &amp; Development</c:v>
                </c:pt>
                <c:pt idx="670">
                  <c:v>Research &amp; Development</c:v>
                </c:pt>
                <c:pt idx="671">
                  <c:v>Research &amp; Development</c:v>
                </c:pt>
                <c:pt idx="672">
                  <c:v>Sales</c:v>
                </c:pt>
                <c:pt idx="673">
                  <c:v>Sales</c:v>
                </c:pt>
                <c:pt idx="674">
                  <c:v>Research &amp; Development</c:v>
                </c:pt>
                <c:pt idx="675">
                  <c:v>Research &amp; Development</c:v>
                </c:pt>
                <c:pt idx="676">
                  <c:v>Sales</c:v>
                </c:pt>
                <c:pt idx="677">
                  <c:v>Research &amp; Development</c:v>
                </c:pt>
                <c:pt idx="678">
                  <c:v>Research &amp; Development</c:v>
                </c:pt>
                <c:pt idx="679">
                  <c:v>Research &amp; Development</c:v>
                </c:pt>
                <c:pt idx="680">
                  <c:v>Sales</c:v>
                </c:pt>
                <c:pt idx="681">
                  <c:v>Sales</c:v>
                </c:pt>
                <c:pt idx="682">
                  <c:v>Research &amp; Development</c:v>
                </c:pt>
                <c:pt idx="683">
                  <c:v>Research &amp; Development</c:v>
                </c:pt>
                <c:pt idx="684">
                  <c:v>Research &amp; Development</c:v>
                </c:pt>
                <c:pt idx="685">
                  <c:v>Research &amp; Development</c:v>
                </c:pt>
                <c:pt idx="686">
                  <c:v>Research &amp; Development</c:v>
                </c:pt>
                <c:pt idx="687">
                  <c:v>Research &amp; Development</c:v>
                </c:pt>
                <c:pt idx="688">
                  <c:v>Research &amp; Development</c:v>
                </c:pt>
                <c:pt idx="689">
                  <c:v>Research &amp; Development</c:v>
                </c:pt>
                <c:pt idx="690">
                  <c:v>Human Resources</c:v>
                </c:pt>
                <c:pt idx="691">
                  <c:v>Human Resources</c:v>
                </c:pt>
                <c:pt idx="692">
                  <c:v>Research &amp; Development</c:v>
                </c:pt>
                <c:pt idx="693">
                  <c:v>Research &amp; Development</c:v>
                </c:pt>
                <c:pt idx="694">
                  <c:v>Research &amp; Development</c:v>
                </c:pt>
                <c:pt idx="695">
                  <c:v>Sales</c:v>
                </c:pt>
                <c:pt idx="696">
                  <c:v>Sales</c:v>
                </c:pt>
                <c:pt idx="697">
                  <c:v>Research &amp; Development</c:v>
                </c:pt>
                <c:pt idx="698">
                  <c:v>Research &amp; Development</c:v>
                </c:pt>
                <c:pt idx="699">
                  <c:v>Sales</c:v>
                </c:pt>
                <c:pt idx="700">
                  <c:v>Research &amp; Development</c:v>
                </c:pt>
                <c:pt idx="701">
                  <c:v>Human Resources</c:v>
                </c:pt>
                <c:pt idx="702">
                  <c:v>Sales</c:v>
                </c:pt>
                <c:pt idx="703">
                  <c:v>Sales</c:v>
                </c:pt>
                <c:pt idx="704">
                  <c:v>Human Resources</c:v>
                </c:pt>
                <c:pt idx="705">
                  <c:v>Human Resources</c:v>
                </c:pt>
                <c:pt idx="706">
                  <c:v>Sales</c:v>
                </c:pt>
                <c:pt idx="707">
                  <c:v>Research &amp; Development</c:v>
                </c:pt>
                <c:pt idx="708">
                  <c:v>Human Resources</c:v>
                </c:pt>
                <c:pt idx="709">
                  <c:v>Research &amp; Development</c:v>
                </c:pt>
                <c:pt idx="710">
                  <c:v>Research &amp; Development</c:v>
                </c:pt>
                <c:pt idx="711">
                  <c:v>Research &amp; Development</c:v>
                </c:pt>
                <c:pt idx="712">
                  <c:v>Sales</c:v>
                </c:pt>
                <c:pt idx="713">
                  <c:v>Research &amp; Development</c:v>
                </c:pt>
                <c:pt idx="714">
                  <c:v>Sales</c:v>
                </c:pt>
                <c:pt idx="715">
                  <c:v>Sales</c:v>
                </c:pt>
                <c:pt idx="716">
                  <c:v>Human Resources</c:v>
                </c:pt>
                <c:pt idx="717">
                  <c:v>Sales</c:v>
                </c:pt>
                <c:pt idx="718">
                  <c:v>Research &amp; Development</c:v>
                </c:pt>
                <c:pt idx="719">
                  <c:v>Sales</c:v>
                </c:pt>
                <c:pt idx="720">
                  <c:v>Research &amp; Development</c:v>
                </c:pt>
                <c:pt idx="721">
                  <c:v>Research &amp; Development</c:v>
                </c:pt>
                <c:pt idx="722">
                  <c:v>Research &amp; Development</c:v>
                </c:pt>
                <c:pt idx="723">
                  <c:v>Research &amp; Development</c:v>
                </c:pt>
                <c:pt idx="724">
                  <c:v>Research &amp; Development</c:v>
                </c:pt>
                <c:pt idx="725">
                  <c:v>Research &amp; Development</c:v>
                </c:pt>
                <c:pt idx="726">
                  <c:v>Research &amp; Development</c:v>
                </c:pt>
                <c:pt idx="727">
                  <c:v>Sales</c:v>
                </c:pt>
                <c:pt idx="728">
                  <c:v>Research &amp; Development</c:v>
                </c:pt>
                <c:pt idx="729">
                  <c:v>Research &amp; Development</c:v>
                </c:pt>
                <c:pt idx="730">
                  <c:v>Research &amp; Development</c:v>
                </c:pt>
                <c:pt idx="731">
                  <c:v>Research &amp; Development</c:v>
                </c:pt>
                <c:pt idx="732">
                  <c:v>Sales</c:v>
                </c:pt>
                <c:pt idx="733">
                  <c:v>Human Resources</c:v>
                </c:pt>
                <c:pt idx="734">
                  <c:v>Sales</c:v>
                </c:pt>
                <c:pt idx="735">
                  <c:v>Research &amp; Development</c:v>
                </c:pt>
                <c:pt idx="736">
                  <c:v>Sales</c:v>
                </c:pt>
                <c:pt idx="737">
                  <c:v>Sales</c:v>
                </c:pt>
                <c:pt idx="738">
                  <c:v>Sales</c:v>
                </c:pt>
                <c:pt idx="739">
                  <c:v>Sales</c:v>
                </c:pt>
                <c:pt idx="740">
                  <c:v>Research &amp; Development</c:v>
                </c:pt>
                <c:pt idx="741">
                  <c:v>Sales</c:v>
                </c:pt>
                <c:pt idx="742">
                  <c:v>Sales</c:v>
                </c:pt>
                <c:pt idx="743">
                  <c:v>Research &amp; Development</c:v>
                </c:pt>
                <c:pt idx="744">
                  <c:v>Research &amp; Development</c:v>
                </c:pt>
                <c:pt idx="745">
                  <c:v>Sales</c:v>
                </c:pt>
                <c:pt idx="746">
                  <c:v>Research &amp; Development</c:v>
                </c:pt>
                <c:pt idx="747">
                  <c:v>Human Resources</c:v>
                </c:pt>
                <c:pt idx="748">
                  <c:v>Research &amp; Development</c:v>
                </c:pt>
                <c:pt idx="749">
                  <c:v>Research &amp; Development</c:v>
                </c:pt>
                <c:pt idx="750">
                  <c:v>Research &amp; Development</c:v>
                </c:pt>
                <c:pt idx="751">
                  <c:v>Sales</c:v>
                </c:pt>
                <c:pt idx="752">
                  <c:v>Sales</c:v>
                </c:pt>
                <c:pt idx="753">
                  <c:v>Research &amp; Development</c:v>
                </c:pt>
                <c:pt idx="754">
                  <c:v>Sales</c:v>
                </c:pt>
                <c:pt idx="755">
                  <c:v>Research &amp; Development</c:v>
                </c:pt>
                <c:pt idx="756">
                  <c:v>Research &amp; Development</c:v>
                </c:pt>
                <c:pt idx="757">
                  <c:v>Research &amp; Development</c:v>
                </c:pt>
                <c:pt idx="758">
                  <c:v>Research &amp; Development</c:v>
                </c:pt>
                <c:pt idx="759">
                  <c:v>Research &amp; Development</c:v>
                </c:pt>
                <c:pt idx="760">
                  <c:v>Sales</c:v>
                </c:pt>
                <c:pt idx="761">
                  <c:v>Research &amp; Development</c:v>
                </c:pt>
                <c:pt idx="762">
                  <c:v>Research &amp; Development</c:v>
                </c:pt>
                <c:pt idx="763">
                  <c:v>Sales</c:v>
                </c:pt>
                <c:pt idx="764">
                  <c:v>Sales</c:v>
                </c:pt>
                <c:pt idx="765">
                  <c:v>Human Resources</c:v>
                </c:pt>
                <c:pt idx="766">
                  <c:v>Research &amp; Development</c:v>
                </c:pt>
                <c:pt idx="767">
                  <c:v>Research &amp; Development</c:v>
                </c:pt>
                <c:pt idx="768">
                  <c:v>Sales</c:v>
                </c:pt>
                <c:pt idx="769">
                  <c:v>Research &amp; Development</c:v>
                </c:pt>
                <c:pt idx="770">
                  <c:v>Sales</c:v>
                </c:pt>
                <c:pt idx="771">
                  <c:v>Sales</c:v>
                </c:pt>
                <c:pt idx="772">
                  <c:v>Sales</c:v>
                </c:pt>
                <c:pt idx="773">
                  <c:v>Research &amp; Development</c:v>
                </c:pt>
                <c:pt idx="774">
                  <c:v>Research &amp; Development</c:v>
                </c:pt>
                <c:pt idx="775">
                  <c:v>Research &amp; Development</c:v>
                </c:pt>
                <c:pt idx="776">
                  <c:v>Research &amp; Development</c:v>
                </c:pt>
                <c:pt idx="777">
                  <c:v>Human Resources</c:v>
                </c:pt>
                <c:pt idx="778">
                  <c:v>Sales</c:v>
                </c:pt>
                <c:pt idx="779">
                  <c:v>Research &amp; Development</c:v>
                </c:pt>
                <c:pt idx="780">
                  <c:v>Research &amp; Development</c:v>
                </c:pt>
                <c:pt idx="781">
                  <c:v>Sales</c:v>
                </c:pt>
                <c:pt idx="782">
                  <c:v>Research &amp; Development</c:v>
                </c:pt>
                <c:pt idx="783">
                  <c:v>Human Resources</c:v>
                </c:pt>
                <c:pt idx="784">
                  <c:v>Sales</c:v>
                </c:pt>
                <c:pt idx="785">
                  <c:v>Sales</c:v>
                </c:pt>
                <c:pt idx="786">
                  <c:v>Research &amp; Development</c:v>
                </c:pt>
                <c:pt idx="787">
                  <c:v>Research &amp; Development</c:v>
                </c:pt>
                <c:pt idx="788">
                  <c:v>Research &amp; Development</c:v>
                </c:pt>
                <c:pt idx="789">
                  <c:v>Research &amp; Development</c:v>
                </c:pt>
                <c:pt idx="790">
                  <c:v>Research &amp; Development</c:v>
                </c:pt>
                <c:pt idx="791">
                  <c:v>Research &amp; Development</c:v>
                </c:pt>
                <c:pt idx="792">
                  <c:v>Research &amp; Development</c:v>
                </c:pt>
                <c:pt idx="793">
                  <c:v>Research &amp; Development</c:v>
                </c:pt>
                <c:pt idx="794">
                  <c:v>Research &amp; Development</c:v>
                </c:pt>
                <c:pt idx="795">
                  <c:v>Research &amp; Development</c:v>
                </c:pt>
                <c:pt idx="796">
                  <c:v>Research &amp; Development</c:v>
                </c:pt>
                <c:pt idx="797">
                  <c:v>Research &amp; Development</c:v>
                </c:pt>
                <c:pt idx="798">
                  <c:v>Research &amp; Development</c:v>
                </c:pt>
                <c:pt idx="799">
                  <c:v>Research &amp; Development</c:v>
                </c:pt>
                <c:pt idx="800">
                  <c:v>Research &amp; Development</c:v>
                </c:pt>
                <c:pt idx="801">
                  <c:v>Sales</c:v>
                </c:pt>
                <c:pt idx="802">
                  <c:v>Sales</c:v>
                </c:pt>
                <c:pt idx="803">
                  <c:v>Research &amp; Development</c:v>
                </c:pt>
                <c:pt idx="804">
                  <c:v>Sales</c:v>
                </c:pt>
                <c:pt idx="805">
                  <c:v>Research &amp; Development</c:v>
                </c:pt>
                <c:pt idx="806">
                  <c:v>Research &amp; Development</c:v>
                </c:pt>
                <c:pt idx="807">
                  <c:v>Sales</c:v>
                </c:pt>
                <c:pt idx="808">
                  <c:v>Research &amp; Development</c:v>
                </c:pt>
                <c:pt idx="809">
                  <c:v>Research &amp; Development</c:v>
                </c:pt>
                <c:pt idx="810">
                  <c:v>Research &amp; Development</c:v>
                </c:pt>
                <c:pt idx="811">
                  <c:v>Research &amp; Development</c:v>
                </c:pt>
                <c:pt idx="812">
                  <c:v>Research &amp; Development</c:v>
                </c:pt>
                <c:pt idx="813">
                  <c:v>Sales</c:v>
                </c:pt>
                <c:pt idx="814">
                  <c:v>Human Resources</c:v>
                </c:pt>
                <c:pt idx="815">
                  <c:v>Sales</c:v>
                </c:pt>
                <c:pt idx="816">
                  <c:v>Research &amp; Development</c:v>
                </c:pt>
                <c:pt idx="817">
                  <c:v>Research &amp; Development</c:v>
                </c:pt>
                <c:pt idx="818">
                  <c:v>Research &amp; Development</c:v>
                </c:pt>
                <c:pt idx="819">
                  <c:v>Research &amp; Development</c:v>
                </c:pt>
                <c:pt idx="820">
                  <c:v>Sales</c:v>
                </c:pt>
                <c:pt idx="821">
                  <c:v>Research &amp; Development</c:v>
                </c:pt>
                <c:pt idx="822">
                  <c:v>Sales</c:v>
                </c:pt>
                <c:pt idx="823">
                  <c:v>Sales</c:v>
                </c:pt>
                <c:pt idx="824">
                  <c:v>Research &amp; Development</c:v>
                </c:pt>
                <c:pt idx="825">
                  <c:v>Research &amp; Development</c:v>
                </c:pt>
                <c:pt idx="826">
                  <c:v>Research &amp; Development</c:v>
                </c:pt>
                <c:pt idx="827">
                  <c:v>Sales</c:v>
                </c:pt>
                <c:pt idx="828">
                  <c:v>Sales</c:v>
                </c:pt>
                <c:pt idx="829">
                  <c:v>Research &amp; Development</c:v>
                </c:pt>
                <c:pt idx="830">
                  <c:v>Human Resources</c:v>
                </c:pt>
                <c:pt idx="831">
                  <c:v>Research &amp; Development</c:v>
                </c:pt>
                <c:pt idx="832">
                  <c:v>Sales</c:v>
                </c:pt>
                <c:pt idx="833">
                  <c:v>Research &amp; Development</c:v>
                </c:pt>
                <c:pt idx="834">
                  <c:v>Research &amp; Development</c:v>
                </c:pt>
                <c:pt idx="835">
                  <c:v>Research &amp; Development</c:v>
                </c:pt>
                <c:pt idx="836">
                  <c:v>Sales</c:v>
                </c:pt>
                <c:pt idx="837">
                  <c:v>Research &amp; Development</c:v>
                </c:pt>
                <c:pt idx="838">
                  <c:v>Sales</c:v>
                </c:pt>
                <c:pt idx="839">
                  <c:v>Research &amp; Development</c:v>
                </c:pt>
                <c:pt idx="840">
                  <c:v>Research &amp; Development</c:v>
                </c:pt>
                <c:pt idx="841">
                  <c:v>Research &amp; Development</c:v>
                </c:pt>
                <c:pt idx="842">
                  <c:v>Human Resources</c:v>
                </c:pt>
                <c:pt idx="843">
                  <c:v>Research &amp; Development</c:v>
                </c:pt>
                <c:pt idx="844">
                  <c:v>Research &amp; Development</c:v>
                </c:pt>
                <c:pt idx="845">
                  <c:v>Sales</c:v>
                </c:pt>
                <c:pt idx="846">
                  <c:v>Research &amp; Development</c:v>
                </c:pt>
                <c:pt idx="847">
                  <c:v>Research &amp; Development</c:v>
                </c:pt>
                <c:pt idx="848">
                  <c:v>Research &amp; Development</c:v>
                </c:pt>
                <c:pt idx="849">
                  <c:v>Sales</c:v>
                </c:pt>
                <c:pt idx="850">
                  <c:v>Research &amp; Development</c:v>
                </c:pt>
                <c:pt idx="851">
                  <c:v>Sales</c:v>
                </c:pt>
                <c:pt idx="852">
                  <c:v>Research &amp; Development</c:v>
                </c:pt>
                <c:pt idx="853">
                  <c:v>Research &amp; Development</c:v>
                </c:pt>
                <c:pt idx="854">
                  <c:v>Research &amp; Development</c:v>
                </c:pt>
                <c:pt idx="855">
                  <c:v>Research &amp; Development</c:v>
                </c:pt>
                <c:pt idx="856">
                  <c:v>Sales</c:v>
                </c:pt>
                <c:pt idx="857">
                  <c:v>Research &amp; Development</c:v>
                </c:pt>
                <c:pt idx="858">
                  <c:v>Research &amp; Development</c:v>
                </c:pt>
                <c:pt idx="859">
                  <c:v>Research &amp; Development</c:v>
                </c:pt>
                <c:pt idx="860">
                  <c:v>Research &amp; Development</c:v>
                </c:pt>
                <c:pt idx="861">
                  <c:v>Research &amp; Development</c:v>
                </c:pt>
                <c:pt idx="862">
                  <c:v>Sales</c:v>
                </c:pt>
                <c:pt idx="863">
                  <c:v>Sales</c:v>
                </c:pt>
                <c:pt idx="864">
                  <c:v>Sales</c:v>
                </c:pt>
                <c:pt idx="865">
                  <c:v>Research &amp; Development</c:v>
                </c:pt>
                <c:pt idx="866">
                  <c:v>Research &amp; Development</c:v>
                </c:pt>
                <c:pt idx="867">
                  <c:v>Sales</c:v>
                </c:pt>
                <c:pt idx="868">
                  <c:v>Sales</c:v>
                </c:pt>
                <c:pt idx="869">
                  <c:v>Research &amp; Development</c:v>
                </c:pt>
              </c:strCache>
            </c:strRef>
          </c:cat>
          <c:val>
            <c:numRef>
              <c:f>department!$B$871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2-429D-9898-8F362327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department!$B$1:$B$870</c:f>
              <c:strCache>
                <c:ptCount val="870"/>
                <c:pt idx="0">
                  <c:v>Department</c:v>
                </c:pt>
                <c:pt idx="1">
                  <c:v>Sales</c:v>
                </c:pt>
                <c:pt idx="2">
                  <c:v>Research &amp; Development</c:v>
                </c:pt>
                <c:pt idx="3">
                  <c:v>Research &amp; Development</c:v>
                </c:pt>
                <c:pt idx="4">
                  <c:v>Sales</c:v>
                </c:pt>
                <c:pt idx="5">
                  <c:v>Research &amp; Development</c:v>
                </c:pt>
                <c:pt idx="6">
                  <c:v>Research &amp; Development</c:v>
                </c:pt>
                <c:pt idx="7">
                  <c:v>Research &amp; Development</c:v>
                </c:pt>
                <c:pt idx="8">
                  <c:v>Sales</c:v>
                </c:pt>
                <c:pt idx="9">
                  <c:v>Sales</c:v>
                </c:pt>
                <c:pt idx="10">
                  <c:v>Research &amp; Development</c:v>
                </c:pt>
                <c:pt idx="11">
                  <c:v>Research &amp; Development</c:v>
                </c:pt>
                <c:pt idx="12">
                  <c:v>Human Resources</c:v>
                </c:pt>
                <c:pt idx="13">
                  <c:v>Research &amp; Development</c:v>
                </c:pt>
                <c:pt idx="14">
                  <c:v>Sales</c:v>
                </c:pt>
                <c:pt idx="15">
                  <c:v>Human Resources</c:v>
                </c:pt>
                <c:pt idx="16">
                  <c:v>Sales</c:v>
                </c:pt>
                <c:pt idx="17">
                  <c:v>Research &amp; Development</c:v>
                </c:pt>
                <c:pt idx="18">
                  <c:v>Research &amp; Development</c:v>
                </c:pt>
                <c:pt idx="19">
                  <c:v>Research &amp; Development</c:v>
                </c:pt>
                <c:pt idx="20">
                  <c:v>Research &amp; Development</c:v>
                </c:pt>
                <c:pt idx="21">
                  <c:v>Research &amp; Development</c:v>
                </c:pt>
                <c:pt idx="22">
                  <c:v>Sales</c:v>
                </c:pt>
                <c:pt idx="23">
                  <c:v>Research &amp; Development</c:v>
                </c:pt>
                <c:pt idx="24">
                  <c:v>Sales</c:v>
                </c:pt>
                <c:pt idx="25">
                  <c:v>Research &amp; Development</c:v>
                </c:pt>
                <c:pt idx="26">
                  <c:v>Sales</c:v>
                </c:pt>
                <c:pt idx="27">
                  <c:v>Sales</c:v>
                </c:pt>
                <c:pt idx="28">
                  <c:v>Sales</c:v>
                </c:pt>
                <c:pt idx="29">
                  <c:v>Sales</c:v>
                </c:pt>
                <c:pt idx="30">
                  <c:v>Research &amp; Development</c:v>
                </c:pt>
                <c:pt idx="31">
                  <c:v>Sales</c:v>
                </c:pt>
                <c:pt idx="32">
                  <c:v>Research &amp; Development</c:v>
                </c:pt>
                <c:pt idx="33">
                  <c:v>Sales</c:v>
                </c:pt>
                <c:pt idx="34">
                  <c:v>Research &amp; Development</c:v>
                </c:pt>
                <c:pt idx="35">
                  <c:v>Research &amp; Development</c:v>
                </c:pt>
                <c:pt idx="36">
                  <c:v>Research &amp; Development</c:v>
                </c:pt>
                <c:pt idx="37">
                  <c:v>Sales</c:v>
                </c:pt>
                <c:pt idx="38">
                  <c:v>Sales</c:v>
                </c:pt>
                <c:pt idx="39">
                  <c:v>Human Resources</c:v>
                </c:pt>
                <c:pt idx="40">
                  <c:v>Sales</c:v>
                </c:pt>
                <c:pt idx="41">
                  <c:v>Sales</c:v>
                </c:pt>
                <c:pt idx="42">
                  <c:v>Sales</c:v>
                </c:pt>
                <c:pt idx="43">
                  <c:v>Research &amp; Development</c:v>
                </c:pt>
                <c:pt idx="44">
                  <c:v>Research &amp; Development</c:v>
                </c:pt>
                <c:pt idx="45">
                  <c:v>Research &amp; Development</c:v>
                </c:pt>
                <c:pt idx="46">
                  <c:v>Research &amp; Development</c:v>
                </c:pt>
                <c:pt idx="47">
                  <c:v>Sales</c:v>
                </c:pt>
                <c:pt idx="48">
                  <c:v>Sales</c:v>
                </c:pt>
                <c:pt idx="49">
                  <c:v>Sales</c:v>
                </c:pt>
                <c:pt idx="50">
                  <c:v>Research &amp; Development</c:v>
                </c:pt>
                <c:pt idx="51">
                  <c:v>Research &amp; Development</c:v>
                </c:pt>
                <c:pt idx="52">
                  <c:v>Research &amp; Development</c:v>
                </c:pt>
                <c:pt idx="53">
                  <c:v>Research &amp; Development</c:v>
                </c:pt>
                <c:pt idx="54">
                  <c:v>Research &amp; Development</c:v>
                </c:pt>
                <c:pt idx="55">
                  <c:v>Research &amp; Development</c:v>
                </c:pt>
                <c:pt idx="56">
                  <c:v>Research &amp; Development</c:v>
                </c:pt>
                <c:pt idx="57">
                  <c:v>Research &amp; Development</c:v>
                </c:pt>
                <c:pt idx="58">
                  <c:v>Research &amp; Development</c:v>
                </c:pt>
                <c:pt idx="59">
                  <c:v>Research &amp; Development</c:v>
                </c:pt>
                <c:pt idx="60">
                  <c:v>Sales</c:v>
                </c:pt>
                <c:pt idx="61">
                  <c:v>Sales</c:v>
                </c:pt>
                <c:pt idx="62">
                  <c:v>Research &amp; Development</c:v>
                </c:pt>
                <c:pt idx="63">
                  <c:v>Sales</c:v>
                </c:pt>
                <c:pt idx="64">
                  <c:v>Research &amp; Development</c:v>
                </c:pt>
                <c:pt idx="65">
                  <c:v>Research &amp; Development</c:v>
                </c:pt>
                <c:pt idx="66">
                  <c:v>Research &amp; Development</c:v>
                </c:pt>
                <c:pt idx="67">
                  <c:v>Research &amp; Development</c:v>
                </c:pt>
                <c:pt idx="68">
                  <c:v>Research &amp; Development</c:v>
                </c:pt>
                <c:pt idx="69">
                  <c:v>Research &amp; Development</c:v>
                </c:pt>
                <c:pt idx="70">
                  <c:v>Research &amp; Development</c:v>
                </c:pt>
                <c:pt idx="71">
                  <c:v>Research &amp; Development</c:v>
                </c:pt>
                <c:pt idx="72">
                  <c:v>Sales</c:v>
                </c:pt>
                <c:pt idx="73">
                  <c:v>Research &amp; Development</c:v>
                </c:pt>
                <c:pt idx="74">
                  <c:v>Research &amp; Development</c:v>
                </c:pt>
                <c:pt idx="75">
                  <c:v>Sales</c:v>
                </c:pt>
                <c:pt idx="76">
                  <c:v>Research &amp; Development</c:v>
                </c:pt>
                <c:pt idx="77">
                  <c:v>Sales</c:v>
                </c:pt>
                <c:pt idx="78">
                  <c:v>Sales</c:v>
                </c:pt>
                <c:pt idx="79">
                  <c:v>Sales</c:v>
                </c:pt>
                <c:pt idx="80">
                  <c:v>Research &amp; Development</c:v>
                </c:pt>
                <c:pt idx="81">
                  <c:v>Research &amp; Development</c:v>
                </c:pt>
                <c:pt idx="82">
                  <c:v>Research &amp; Development</c:v>
                </c:pt>
                <c:pt idx="83">
                  <c:v>Research &amp; Development</c:v>
                </c:pt>
                <c:pt idx="84">
                  <c:v>Research &amp; Development</c:v>
                </c:pt>
                <c:pt idx="85">
                  <c:v>Research &amp; Development</c:v>
                </c:pt>
                <c:pt idx="86">
                  <c:v>Research &amp; Development</c:v>
                </c:pt>
                <c:pt idx="87">
                  <c:v>Sales</c:v>
                </c:pt>
                <c:pt idx="88">
                  <c:v>Research &amp; Development</c:v>
                </c:pt>
                <c:pt idx="89">
                  <c:v>Sales</c:v>
                </c:pt>
                <c:pt idx="90">
                  <c:v>Sales</c:v>
                </c:pt>
                <c:pt idx="91">
                  <c:v>Research &amp; Development</c:v>
                </c:pt>
                <c:pt idx="92">
                  <c:v>Sales</c:v>
                </c:pt>
                <c:pt idx="93">
                  <c:v>Research &amp; Development</c:v>
                </c:pt>
                <c:pt idx="94">
                  <c:v>Research &amp; Development</c:v>
                </c:pt>
                <c:pt idx="95">
                  <c:v>Research &amp; Development</c:v>
                </c:pt>
                <c:pt idx="96">
                  <c:v>Sales</c:v>
                </c:pt>
                <c:pt idx="97">
                  <c:v>Sales</c:v>
                </c:pt>
                <c:pt idx="98">
                  <c:v>Research &amp; Development</c:v>
                </c:pt>
                <c:pt idx="99">
                  <c:v>Research &amp; Development</c:v>
                </c:pt>
                <c:pt idx="100">
                  <c:v>Research &amp; Development</c:v>
                </c:pt>
                <c:pt idx="101">
                  <c:v>Research &amp; Development</c:v>
                </c:pt>
                <c:pt idx="102">
                  <c:v>Sales</c:v>
                </c:pt>
                <c:pt idx="103">
                  <c:v>Sales</c:v>
                </c:pt>
                <c:pt idx="104">
                  <c:v>Research &amp; Development</c:v>
                </c:pt>
                <c:pt idx="105">
                  <c:v>Research &amp; Development</c:v>
                </c:pt>
                <c:pt idx="106">
                  <c:v>Research &amp; Development</c:v>
                </c:pt>
                <c:pt idx="107">
                  <c:v>Research &amp; Development</c:v>
                </c:pt>
                <c:pt idx="108">
                  <c:v>Human Resources</c:v>
                </c:pt>
                <c:pt idx="109">
                  <c:v>Research &amp; Development</c:v>
                </c:pt>
                <c:pt idx="110">
                  <c:v>Research &amp; Development</c:v>
                </c:pt>
                <c:pt idx="111">
                  <c:v>Research &amp; Development</c:v>
                </c:pt>
                <c:pt idx="112">
                  <c:v>Research &amp; Development</c:v>
                </c:pt>
                <c:pt idx="113">
                  <c:v>Research &amp; Development</c:v>
                </c:pt>
                <c:pt idx="114">
                  <c:v>Research &amp; Development</c:v>
                </c:pt>
                <c:pt idx="115">
                  <c:v>Sales</c:v>
                </c:pt>
                <c:pt idx="116">
                  <c:v>Sales</c:v>
                </c:pt>
                <c:pt idx="117">
                  <c:v>Sales</c:v>
                </c:pt>
                <c:pt idx="118">
                  <c:v>Research &amp; Development</c:v>
                </c:pt>
                <c:pt idx="119">
                  <c:v>Research &amp; Development</c:v>
                </c:pt>
                <c:pt idx="120">
                  <c:v>Research &amp; Development</c:v>
                </c:pt>
                <c:pt idx="121">
                  <c:v>Research &amp; Development</c:v>
                </c:pt>
                <c:pt idx="122">
                  <c:v>Sales</c:v>
                </c:pt>
                <c:pt idx="123">
                  <c:v>Sales</c:v>
                </c:pt>
                <c:pt idx="124">
                  <c:v>Sales</c:v>
                </c:pt>
                <c:pt idx="125">
                  <c:v>Sales</c:v>
                </c:pt>
                <c:pt idx="126">
                  <c:v>Sales</c:v>
                </c:pt>
                <c:pt idx="127">
                  <c:v>Research &amp; Development</c:v>
                </c:pt>
                <c:pt idx="128">
                  <c:v>Research &amp; Development</c:v>
                </c:pt>
                <c:pt idx="129">
                  <c:v>Research &amp; Development</c:v>
                </c:pt>
                <c:pt idx="130">
                  <c:v>Sales</c:v>
                </c:pt>
                <c:pt idx="131">
                  <c:v>Sales</c:v>
                </c:pt>
                <c:pt idx="132">
                  <c:v>Sales</c:v>
                </c:pt>
                <c:pt idx="133">
                  <c:v>Research &amp; Development</c:v>
                </c:pt>
                <c:pt idx="134">
                  <c:v>Research &amp; Development</c:v>
                </c:pt>
                <c:pt idx="135">
                  <c:v>Research &amp; Development</c:v>
                </c:pt>
                <c:pt idx="136">
                  <c:v>Research &amp; Development</c:v>
                </c:pt>
                <c:pt idx="137">
                  <c:v>Research &amp; Development</c:v>
                </c:pt>
                <c:pt idx="138">
                  <c:v>Research &amp; Development</c:v>
                </c:pt>
                <c:pt idx="139">
                  <c:v>Research &amp; Development</c:v>
                </c:pt>
                <c:pt idx="140">
                  <c:v>Sales</c:v>
                </c:pt>
                <c:pt idx="141">
                  <c:v>Research &amp; Development</c:v>
                </c:pt>
                <c:pt idx="142">
                  <c:v>Research &amp; Development</c:v>
                </c:pt>
                <c:pt idx="143">
                  <c:v>Research &amp; Development</c:v>
                </c:pt>
                <c:pt idx="144">
                  <c:v>Sales</c:v>
                </c:pt>
                <c:pt idx="145">
                  <c:v>Research &amp; Development</c:v>
                </c:pt>
                <c:pt idx="146">
                  <c:v>Sales</c:v>
                </c:pt>
                <c:pt idx="147">
                  <c:v>Research &amp; Development</c:v>
                </c:pt>
                <c:pt idx="148">
                  <c:v>Sales</c:v>
                </c:pt>
                <c:pt idx="149">
                  <c:v>Research &amp; Development</c:v>
                </c:pt>
                <c:pt idx="150">
                  <c:v>Research &amp; Development</c:v>
                </c:pt>
                <c:pt idx="151">
                  <c:v>Sales</c:v>
                </c:pt>
                <c:pt idx="152">
                  <c:v>Sales</c:v>
                </c:pt>
                <c:pt idx="153">
                  <c:v>Sales</c:v>
                </c:pt>
                <c:pt idx="154">
                  <c:v>Research &amp; Development</c:v>
                </c:pt>
                <c:pt idx="155">
                  <c:v>Research &amp; Development</c:v>
                </c:pt>
                <c:pt idx="156">
                  <c:v>Sales</c:v>
                </c:pt>
                <c:pt idx="157">
                  <c:v>Sales</c:v>
                </c:pt>
                <c:pt idx="158">
                  <c:v>Research &amp; Development</c:v>
                </c:pt>
                <c:pt idx="159">
                  <c:v>Research &amp; Development</c:v>
                </c:pt>
                <c:pt idx="160">
                  <c:v>Research &amp; Development</c:v>
                </c:pt>
                <c:pt idx="161">
                  <c:v>Research &amp; Development</c:v>
                </c:pt>
                <c:pt idx="162">
                  <c:v>Research &amp; Development</c:v>
                </c:pt>
                <c:pt idx="163">
                  <c:v>Sales</c:v>
                </c:pt>
                <c:pt idx="164">
                  <c:v>Research &amp; Development</c:v>
                </c:pt>
                <c:pt idx="165">
                  <c:v>Sales</c:v>
                </c:pt>
                <c:pt idx="166">
                  <c:v>Sales</c:v>
                </c:pt>
                <c:pt idx="167">
                  <c:v>Research &amp; Development</c:v>
                </c:pt>
                <c:pt idx="168">
                  <c:v>Research &amp; Development</c:v>
                </c:pt>
                <c:pt idx="169">
                  <c:v>Research &amp; Development</c:v>
                </c:pt>
                <c:pt idx="170">
                  <c:v>Research &amp; Development</c:v>
                </c:pt>
                <c:pt idx="171">
                  <c:v>Sales</c:v>
                </c:pt>
                <c:pt idx="172">
                  <c:v>Research &amp; Development</c:v>
                </c:pt>
                <c:pt idx="173">
                  <c:v>Research &amp; Development</c:v>
                </c:pt>
                <c:pt idx="174">
                  <c:v>Sales</c:v>
                </c:pt>
                <c:pt idx="175">
                  <c:v>Sales</c:v>
                </c:pt>
                <c:pt idx="176">
                  <c:v>Research &amp; Development</c:v>
                </c:pt>
                <c:pt idx="177">
                  <c:v>Research &amp; Development</c:v>
                </c:pt>
                <c:pt idx="178">
                  <c:v>Research &amp; Development</c:v>
                </c:pt>
                <c:pt idx="179">
                  <c:v>Sales</c:v>
                </c:pt>
                <c:pt idx="180">
                  <c:v>Sales</c:v>
                </c:pt>
                <c:pt idx="181">
                  <c:v>Research &amp; Development</c:v>
                </c:pt>
                <c:pt idx="182">
                  <c:v>Sales</c:v>
                </c:pt>
                <c:pt idx="183">
                  <c:v>Research &amp; Development</c:v>
                </c:pt>
                <c:pt idx="184">
                  <c:v>Research &amp; Development</c:v>
                </c:pt>
                <c:pt idx="185">
                  <c:v>Research &amp; Development</c:v>
                </c:pt>
                <c:pt idx="186">
                  <c:v>Research &amp; Development</c:v>
                </c:pt>
                <c:pt idx="187">
                  <c:v>Research &amp; Development</c:v>
                </c:pt>
                <c:pt idx="188">
                  <c:v>Sales</c:v>
                </c:pt>
                <c:pt idx="189">
                  <c:v>Research &amp; Development</c:v>
                </c:pt>
                <c:pt idx="190">
                  <c:v>Sales</c:v>
                </c:pt>
                <c:pt idx="191">
                  <c:v>Research &amp; Development</c:v>
                </c:pt>
                <c:pt idx="192">
                  <c:v>Sales</c:v>
                </c:pt>
                <c:pt idx="193">
                  <c:v>Research &amp; Development</c:v>
                </c:pt>
                <c:pt idx="194">
                  <c:v>Sales</c:v>
                </c:pt>
                <c:pt idx="195">
                  <c:v>Research &amp; Development</c:v>
                </c:pt>
                <c:pt idx="196">
                  <c:v>Research &amp; Development</c:v>
                </c:pt>
                <c:pt idx="197">
                  <c:v>Research &amp; Development</c:v>
                </c:pt>
                <c:pt idx="198">
                  <c:v>Sales</c:v>
                </c:pt>
                <c:pt idx="199">
                  <c:v>Research &amp; Development</c:v>
                </c:pt>
                <c:pt idx="200">
                  <c:v>Research &amp; Development</c:v>
                </c:pt>
                <c:pt idx="201">
                  <c:v>Sales</c:v>
                </c:pt>
                <c:pt idx="202">
                  <c:v>Research &amp; Development</c:v>
                </c:pt>
                <c:pt idx="203">
                  <c:v>Research &amp; Development</c:v>
                </c:pt>
                <c:pt idx="204">
                  <c:v>Research &amp; Development</c:v>
                </c:pt>
                <c:pt idx="205">
                  <c:v>Sales</c:v>
                </c:pt>
                <c:pt idx="206">
                  <c:v>Research &amp; Development</c:v>
                </c:pt>
                <c:pt idx="207">
                  <c:v>Sales</c:v>
                </c:pt>
                <c:pt idx="208">
                  <c:v>Research &amp; Development</c:v>
                </c:pt>
                <c:pt idx="209">
                  <c:v>Research &amp; Development</c:v>
                </c:pt>
                <c:pt idx="210">
                  <c:v>Sales</c:v>
                </c:pt>
                <c:pt idx="211">
                  <c:v>Research &amp; Development</c:v>
                </c:pt>
                <c:pt idx="212">
                  <c:v>Sales</c:v>
                </c:pt>
                <c:pt idx="213">
                  <c:v>Research &amp; Development</c:v>
                </c:pt>
                <c:pt idx="214">
                  <c:v>Research &amp; Development</c:v>
                </c:pt>
                <c:pt idx="215">
                  <c:v>Research &amp; Development</c:v>
                </c:pt>
                <c:pt idx="216">
                  <c:v>Research &amp; Development</c:v>
                </c:pt>
                <c:pt idx="217">
                  <c:v>Research &amp; Development</c:v>
                </c:pt>
                <c:pt idx="218">
                  <c:v>Research &amp; Development</c:v>
                </c:pt>
                <c:pt idx="219">
                  <c:v>Research &amp; Development</c:v>
                </c:pt>
                <c:pt idx="220">
                  <c:v>Research &amp; Development</c:v>
                </c:pt>
                <c:pt idx="221">
                  <c:v>Sales</c:v>
                </c:pt>
                <c:pt idx="222">
                  <c:v>Sales</c:v>
                </c:pt>
                <c:pt idx="223">
                  <c:v>Sales</c:v>
                </c:pt>
                <c:pt idx="224">
                  <c:v>Research &amp; Development</c:v>
                </c:pt>
                <c:pt idx="225">
                  <c:v>Research &amp; Development</c:v>
                </c:pt>
                <c:pt idx="226">
                  <c:v>Research &amp; Development</c:v>
                </c:pt>
                <c:pt idx="227">
                  <c:v>Research &amp; Development</c:v>
                </c:pt>
                <c:pt idx="228">
                  <c:v>Research &amp; Development</c:v>
                </c:pt>
                <c:pt idx="229">
                  <c:v>Sales</c:v>
                </c:pt>
                <c:pt idx="230">
                  <c:v>Research &amp; Development</c:v>
                </c:pt>
                <c:pt idx="231">
                  <c:v>Research &amp; Development</c:v>
                </c:pt>
                <c:pt idx="232">
                  <c:v>Sales</c:v>
                </c:pt>
                <c:pt idx="233">
                  <c:v>Sales</c:v>
                </c:pt>
                <c:pt idx="234">
                  <c:v>Sales</c:v>
                </c:pt>
                <c:pt idx="235">
                  <c:v>Sales</c:v>
                </c:pt>
                <c:pt idx="236">
                  <c:v>Sales</c:v>
                </c:pt>
                <c:pt idx="237">
                  <c:v>Research &amp; Development</c:v>
                </c:pt>
                <c:pt idx="238">
                  <c:v>Research &amp; Development</c:v>
                </c:pt>
                <c:pt idx="239">
                  <c:v>Human Resources</c:v>
                </c:pt>
                <c:pt idx="240">
                  <c:v>Research &amp; Development</c:v>
                </c:pt>
                <c:pt idx="241">
                  <c:v>Research &amp; Development</c:v>
                </c:pt>
                <c:pt idx="242">
                  <c:v>Research &amp; Development</c:v>
                </c:pt>
                <c:pt idx="243">
                  <c:v>Research &amp; Development</c:v>
                </c:pt>
                <c:pt idx="244">
                  <c:v>Sales</c:v>
                </c:pt>
                <c:pt idx="245">
                  <c:v>Research &amp; Development</c:v>
                </c:pt>
                <c:pt idx="246">
                  <c:v>Research &amp; Development</c:v>
                </c:pt>
                <c:pt idx="247">
                  <c:v>Research &amp; Development</c:v>
                </c:pt>
                <c:pt idx="248">
                  <c:v>Sales</c:v>
                </c:pt>
                <c:pt idx="249">
                  <c:v>Research &amp; Development</c:v>
                </c:pt>
                <c:pt idx="250">
                  <c:v>Sales</c:v>
                </c:pt>
                <c:pt idx="251">
                  <c:v>Research &amp; Development</c:v>
                </c:pt>
                <c:pt idx="252">
                  <c:v>Sales</c:v>
                </c:pt>
                <c:pt idx="253">
                  <c:v>Research &amp; Development</c:v>
                </c:pt>
                <c:pt idx="254">
                  <c:v>Human Resources</c:v>
                </c:pt>
                <c:pt idx="255">
                  <c:v>Research &amp; Development</c:v>
                </c:pt>
                <c:pt idx="256">
                  <c:v>Research &amp; Development</c:v>
                </c:pt>
                <c:pt idx="257">
                  <c:v>Sales</c:v>
                </c:pt>
                <c:pt idx="258">
                  <c:v>Sales</c:v>
                </c:pt>
                <c:pt idx="259">
                  <c:v>Sales</c:v>
                </c:pt>
                <c:pt idx="260">
                  <c:v>Research &amp; Development</c:v>
                </c:pt>
                <c:pt idx="261">
                  <c:v>Sales</c:v>
                </c:pt>
                <c:pt idx="262">
                  <c:v>Research &amp; Development</c:v>
                </c:pt>
                <c:pt idx="263">
                  <c:v>Research &amp; Development</c:v>
                </c:pt>
                <c:pt idx="264">
                  <c:v>Sales</c:v>
                </c:pt>
                <c:pt idx="265">
                  <c:v>Research &amp; Development</c:v>
                </c:pt>
                <c:pt idx="266">
                  <c:v>Research &amp; Development</c:v>
                </c:pt>
                <c:pt idx="267">
                  <c:v>Research &amp; Development</c:v>
                </c:pt>
                <c:pt idx="268">
                  <c:v>Research &amp; Development</c:v>
                </c:pt>
                <c:pt idx="269">
                  <c:v>Research &amp; Development</c:v>
                </c:pt>
                <c:pt idx="270">
                  <c:v>Research &amp; Development</c:v>
                </c:pt>
                <c:pt idx="271">
                  <c:v>Sales</c:v>
                </c:pt>
                <c:pt idx="272">
                  <c:v>Research &amp; Development</c:v>
                </c:pt>
                <c:pt idx="273">
                  <c:v>Sales</c:v>
                </c:pt>
                <c:pt idx="274">
                  <c:v>Sales</c:v>
                </c:pt>
                <c:pt idx="275">
                  <c:v>Research &amp; Development</c:v>
                </c:pt>
                <c:pt idx="276">
                  <c:v>Research &amp; Development</c:v>
                </c:pt>
                <c:pt idx="277">
                  <c:v>Research &amp; Development</c:v>
                </c:pt>
                <c:pt idx="278">
                  <c:v>Research &amp; Development</c:v>
                </c:pt>
                <c:pt idx="279">
                  <c:v>Sales</c:v>
                </c:pt>
                <c:pt idx="280">
                  <c:v>Research &amp; Development</c:v>
                </c:pt>
                <c:pt idx="281">
                  <c:v>Sales</c:v>
                </c:pt>
                <c:pt idx="282">
                  <c:v>Research &amp; Development</c:v>
                </c:pt>
                <c:pt idx="283">
                  <c:v>Research &amp; Development</c:v>
                </c:pt>
                <c:pt idx="284">
                  <c:v>Sales</c:v>
                </c:pt>
                <c:pt idx="285">
                  <c:v>Human Resources</c:v>
                </c:pt>
                <c:pt idx="286">
                  <c:v>Research &amp; Development</c:v>
                </c:pt>
                <c:pt idx="287">
                  <c:v>Research &amp; Development</c:v>
                </c:pt>
                <c:pt idx="288">
                  <c:v>Research &amp; Development</c:v>
                </c:pt>
                <c:pt idx="289">
                  <c:v>Sales</c:v>
                </c:pt>
                <c:pt idx="290">
                  <c:v>Sales</c:v>
                </c:pt>
                <c:pt idx="291">
                  <c:v>Research &amp; Development</c:v>
                </c:pt>
                <c:pt idx="292">
                  <c:v>Research &amp; Development</c:v>
                </c:pt>
                <c:pt idx="293">
                  <c:v>Research &amp; Development</c:v>
                </c:pt>
                <c:pt idx="294">
                  <c:v>Research &amp; Development</c:v>
                </c:pt>
                <c:pt idx="295">
                  <c:v>Human Resources</c:v>
                </c:pt>
                <c:pt idx="296">
                  <c:v>Research &amp; Development</c:v>
                </c:pt>
                <c:pt idx="297">
                  <c:v>Research &amp; Development</c:v>
                </c:pt>
                <c:pt idx="298">
                  <c:v>Research &amp; Development</c:v>
                </c:pt>
                <c:pt idx="299">
                  <c:v>Research &amp; Development</c:v>
                </c:pt>
                <c:pt idx="300">
                  <c:v>Research &amp; Development</c:v>
                </c:pt>
                <c:pt idx="301">
                  <c:v>Sales</c:v>
                </c:pt>
                <c:pt idx="302">
                  <c:v>Sales</c:v>
                </c:pt>
                <c:pt idx="303">
                  <c:v>Research &amp; Development</c:v>
                </c:pt>
                <c:pt idx="304">
                  <c:v>Research &amp; Development</c:v>
                </c:pt>
                <c:pt idx="305">
                  <c:v>Research &amp; Development</c:v>
                </c:pt>
                <c:pt idx="306">
                  <c:v>Research &amp; Development</c:v>
                </c:pt>
                <c:pt idx="307">
                  <c:v>Research &amp; Development</c:v>
                </c:pt>
                <c:pt idx="308">
                  <c:v>Research &amp; Development</c:v>
                </c:pt>
                <c:pt idx="309">
                  <c:v>Research &amp; Development</c:v>
                </c:pt>
                <c:pt idx="310">
                  <c:v>Sales</c:v>
                </c:pt>
                <c:pt idx="311">
                  <c:v>Research &amp; Development</c:v>
                </c:pt>
                <c:pt idx="312">
                  <c:v>Research &amp; Development</c:v>
                </c:pt>
                <c:pt idx="313">
                  <c:v>Research &amp; Development</c:v>
                </c:pt>
                <c:pt idx="314">
                  <c:v>Research &amp; Development</c:v>
                </c:pt>
                <c:pt idx="315">
                  <c:v>Sales</c:v>
                </c:pt>
                <c:pt idx="316">
                  <c:v>Sales</c:v>
                </c:pt>
                <c:pt idx="317">
                  <c:v>Sales</c:v>
                </c:pt>
                <c:pt idx="318">
                  <c:v>Research &amp; Development</c:v>
                </c:pt>
                <c:pt idx="319">
                  <c:v>Sales</c:v>
                </c:pt>
                <c:pt idx="320">
                  <c:v>Research &amp; Development</c:v>
                </c:pt>
                <c:pt idx="321">
                  <c:v>Research &amp; Development</c:v>
                </c:pt>
                <c:pt idx="322">
                  <c:v>Research &amp; Development</c:v>
                </c:pt>
                <c:pt idx="323">
                  <c:v>Research &amp; Development</c:v>
                </c:pt>
                <c:pt idx="324">
                  <c:v>Research &amp; Development</c:v>
                </c:pt>
                <c:pt idx="325">
                  <c:v>Research &amp; Development</c:v>
                </c:pt>
                <c:pt idx="326">
                  <c:v>Research &amp; Development</c:v>
                </c:pt>
                <c:pt idx="327">
                  <c:v>Research &amp; Development</c:v>
                </c:pt>
                <c:pt idx="328">
                  <c:v>Research &amp; Development</c:v>
                </c:pt>
                <c:pt idx="329">
                  <c:v>Research &amp; Development</c:v>
                </c:pt>
                <c:pt idx="330">
                  <c:v>Human Resources</c:v>
                </c:pt>
                <c:pt idx="331">
                  <c:v>Research &amp; Development</c:v>
                </c:pt>
                <c:pt idx="332">
                  <c:v>Sales</c:v>
                </c:pt>
                <c:pt idx="333">
                  <c:v>Research &amp; Development</c:v>
                </c:pt>
                <c:pt idx="334">
                  <c:v>Research &amp; Development</c:v>
                </c:pt>
                <c:pt idx="335">
                  <c:v>Human Resources</c:v>
                </c:pt>
                <c:pt idx="336">
                  <c:v>Research &amp; Development</c:v>
                </c:pt>
                <c:pt idx="337">
                  <c:v>Sales</c:v>
                </c:pt>
                <c:pt idx="338">
                  <c:v>Research &amp; Development</c:v>
                </c:pt>
                <c:pt idx="339">
                  <c:v>Sales</c:v>
                </c:pt>
                <c:pt idx="340">
                  <c:v>Research &amp; Development</c:v>
                </c:pt>
                <c:pt idx="341">
                  <c:v>Research &amp; Development</c:v>
                </c:pt>
                <c:pt idx="342">
                  <c:v>Research &amp; Development</c:v>
                </c:pt>
                <c:pt idx="343">
                  <c:v>Research &amp; Development</c:v>
                </c:pt>
                <c:pt idx="344">
                  <c:v>Research &amp; Development</c:v>
                </c:pt>
                <c:pt idx="345">
                  <c:v>Sales</c:v>
                </c:pt>
                <c:pt idx="346">
                  <c:v>Sales</c:v>
                </c:pt>
                <c:pt idx="347">
                  <c:v>Research &amp; Development</c:v>
                </c:pt>
                <c:pt idx="348">
                  <c:v>Research &amp; Development</c:v>
                </c:pt>
                <c:pt idx="349">
                  <c:v>Research &amp; Development</c:v>
                </c:pt>
                <c:pt idx="350">
                  <c:v>Research &amp; Development</c:v>
                </c:pt>
                <c:pt idx="351">
                  <c:v>Research &amp; Development</c:v>
                </c:pt>
                <c:pt idx="352">
                  <c:v>Sales</c:v>
                </c:pt>
                <c:pt idx="353">
                  <c:v>Research &amp; Development</c:v>
                </c:pt>
                <c:pt idx="354">
                  <c:v>Research &amp; Development</c:v>
                </c:pt>
                <c:pt idx="355">
                  <c:v>Sales</c:v>
                </c:pt>
                <c:pt idx="356">
                  <c:v>Sales</c:v>
                </c:pt>
                <c:pt idx="357">
                  <c:v>Research &amp; Development</c:v>
                </c:pt>
                <c:pt idx="358">
                  <c:v>Research &amp; Development</c:v>
                </c:pt>
                <c:pt idx="359">
                  <c:v>Research &amp; Development</c:v>
                </c:pt>
                <c:pt idx="360">
                  <c:v>Research &amp; Development</c:v>
                </c:pt>
                <c:pt idx="361">
                  <c:v>Research &amp; Development</c:v>
                </c:pt>
                <c:pt idx="362">
                  <c:v>Sales</c:v>
                </c:pt>
                <c:pt idx="363">
                  <c:v>Sales</c:v>
                </c:pt>
                <c:pt idx="364">
                  <c:v>Research &amp; Development</c:v>
                </c:pt>
                <c:pt idx="365">
                  <c:v>Research &amp; Development</c:v>
                </c:pt>
                <c:pt idx="366">
                  <c:v>Sales</c:v>
                </c:pt>
                <c:pt idx="367">
                  <c:v>Research &amp; Development</c:v>
                </c:pt>
                <c:pt idx="368">
                  <c:v>Sales</c:v>
                </c:pt>
                <c:pt idx="369">
                  <c:v>Research &amp; Development</c:v>
                </c:pt>
                <c:pt idx="370">
                  <c:v>Research &amp; Development</c:v>
                </c:pt>
                <c:pt idx="371">
                  <c:v>Research &amp; Development</c:v>
                </c:pt>
                <c:pt idx="372">
                  <c:v>Sales</c:v>
                </c:pt>
                <c:pt idx="373">
                  <c:v>Research &amp; Development</c:v>
                </c:pt>
                <c:pt idx="374">
                  <c:v>Research &amp; Development</c:v>
                </c:pt>
                <c:pt idx="375">
                  <c:v>Sales</c:v>
                </c:pt>
                <c:pt idx="376">
                  <c:v>Research &amp; Development</c:v>
                </c:pt>
                <c:pt idx="377">
                  <c:v>Research &amp; Development</c:v>
                </c:pt>
                <c:pt idx="378">
                  <c:v>Sales</c:v>
                </c:pt>
                <c:pt idx="379">
                  <c:v>Research &amp; Development</c:v>
                </c:pt>
                <c:pt idx="380">
                  <c:v>Research &amp; Development</c:v>
                </c:pt>
                <c:pt idx="381">
                  <c:v>Research &amp; Development</c:v>
                </c:pt>
                <c:pt idx="382">
                  <c:v>Human Resources</c:v>
                </c:pt>
                <c:pt idx="383">
                  <c:v>Sales</c:v>
                </c:pt>
                <c:pt idx="384">
                  <c:v>Sales</c:v>
                </c:pt>
                <c:pt idx="385">
                  <c:v>Research &amp; Development</c:v>
                </c:pt>
                <c:pt idx="386">
                  <c:v>Research &amp; Development</c:v>
                </c:pt>
                <c:pt idx="387">
                  <c:v>Sales</c:v>
                </c:pt>
                <c:pt idx="388">
                  <c:v>Research &amp; Development</c:v>
                </c:pt>
                <c:pt idx="389">
                  <c:v>Sales</c:v>
                </c:pt>
                <c:pt idx="390">
                  <c:v>Sales</c:v>
                </c:pt>
                <c:pt idx="391">
                  <c:v>Sales</c:v>
                </c:pt>
                <c:pt idx="392">
                  <c:v>Sales</c:v>
                </c:pt>
                <c:pt idx="393">
                  <c:v>Research &amp; Development</c:v>
                </c:pt>
                <c:pt idx="394">
                  <c:v>Sales</c:v>
                </c:pt>
                <c:pt idx="395">
                  <c:v>Research &amp; Development</c:v>
                </c:pt>
                <c:pt idx="396">
                  <c:v>Research &amp; Development</c:v>
                </c:pt>
                <c:pt idx="397">
                  <c:v>Research &amp; Development</c:v>
                </c:pt>
                <c:pt idx="398">
                  <c:v>Human Resources</c:v>
                </c:pt>
                <c:pt idx="399">
                  <c:v>Research &amp; Development</c:v>
                </c:pt>
                <c:pt idx="400">
                  <c:v>Research &amp; Development</c:v>
                </c:pt>
                <c:pt idx="401">
                  <c:v>Research &amp; Development</c:v>
                </c:pt>
                <c:pt idx="402">
                  <c:v>Research &amp; Development</c:v>
                </c:pt>
                <c:pt idx="403">
                  <c:v>Research &amp; Development</c:v>
                </c:pt>
                <c:pt idx="404">
                  <c:v>Research &amp; Development</c:v>
                </c:pt>
                <c:pt idx="405">
                  <c:v>Research &amp; Development</c:v>
                </c:pt>
                <c:pt idx="406">
                  <c:v>Research &amp; Development</c:v>
                </c:pt>
                <c:pt idx="407">
                  <c:v>Sales</c:v>
                </c:pt>
                <c:pt idx="408">
                  <c:v>Research &amp; Development</c:v>
                </c:pt>
                <c:pt idx="409">
                  <c:v>Sales</c:v>
                </c:pt>
                <c:pt idx="410">
                  <c:v>Research &amp; Development</c:v>
                </c:pt>
                <c:pt idx="411">
                  <c:v>Human Resources</c:v>
                </c:pt>
                <c:pt idx="412">
                  <c:v>Sales</c:v>
                </c:pt>
                <c:pt idx="413">
                  <c:v>Research &amp; Development</c:v>
                </c:pt>
                <c:pt idx="414">
                  <c:v>Sales</c:v>
                </c:pt>
                <c:pt idx="415">
                  <c:v>Sales</c:v>
                </c:pt>
                <c:pt idx="416">
                  <c:v>Research &amp; Development</c:v>
                </c:pt>
                <c:pt idx="417">
                  <c:v>Research &amp; Development</c:v>
                </c:pt>
                <c:pt idx="418">
                  <c:v>Research &amp; Development</c:v>
                </c:pt>
                <c:pt idx="419">
                  <c:v>Research &amp; Development</c:v>
                </c:pt>
                <c:pt idx="420">
                  <c:v>Research &amp; Development</c:v>
                </c:pt>
                <c:pt idx="421">
                  <c:v>Research &amp; Development</c:v>
                </c:pt>
                <c:pt idx="422">
                  <c:v>Research &amp; Development</c:v>
                </c:pt>
                <c:pt idx="423">
                  <c:v>Sales</c:v>
                </c:pt>
                <c:pt idx="424">
                  <c:v>Research &amp; Development</c:v>
                </c:pt>
                <c:pt idx="425">
                  <c:v>Sales</c:v>
                </c:pt>
                <c:pt idx="426">
                  <c:v>Sales</c:v>
                </c:pt>
                <c:pt idx="427">
                  <c:v>Research &amp; Development</c:v>
                </c:pt>
                <c:pt idx="428">
                  <c:v>Research &amp; Development</c:v>
                </c:pt>
                <c:pt idx="429">
                  <c:v>Research &amp; Development</c:v>
                </c:pt>
                <c:pt idx="430">
                  <c:v>Research &amp; Development</c:v>
                </c:pt>
                <c:pt idx="431">
                  <c:v>Sales</c:v>
                </c:pt>
                <c:pt idx="432">
                  <c:v>Research &amp; Development</c:v>
                </c:pt>
                <c:pt idx="433">
                  <c:v>Research &amp; Development</c:v>
                </c:pt>
                <c:pt idx="434">
                  <c:v>Research &amp; Development</c:v>
                </c:pt>
                <c:pt idx="435">
                  <c:v>Sales</c:v>
                </c:pt>
                <c:pt idx="436">
                  <c:v>Sales</c:v>
                </c:pt>
                <c:pt idx="437">
                  <c:v>Research &amp; Development</c:v>
                </c:pt>
                <c:pt idx="438">
                  <c:v>Research &amp; Development</c:v>
                </c:pt>
                <c:pt idx="439">
                  <c:v>Sales</c:v>
                </c:pt>
                <c:pt idx="440">
                  <c:v>Research &amp; Development</c:v>
                </c:pt>
                <c:pt idx="441">
                  <c:v>Research &amp; Development</c:v>
                </c:pt>
                <c:pt idx="442">
                  <c:v>Research &amp; Development</c:v>
                </c:pt>
                <c:pt idx="443">
                  <c:v>Research &amp; Development</c:v>
                </c:pt>
                <c:pt idx="444">
                  <c:v>Human Resources</c:v>
                </c:pt>
                <c:pt idx="445">
                  <c:v>Research &amp; Development</c:v>
                </c:pt>
                <c:pt idx="446">
                  <c:v>Research &amp; Development</c:v>
                </c:pt>
                <c:pt idx="447">
                  <c:v>Research &amp; Development</c:v>
                </c:pt>
                <c:pt idx="448">
                  <c:v>Research &amp; Development</c:v>
                </c:pt>
                <c:pt idx="449">
                  <c:v>Research &amp; Development</c:v>
                </c:pt>
                <c:pt idx="450">
                  <c:v>Sales</c:v>
                </c:pt>
                <c:pt idx="451">
                  <c:v>Research &amp; Development</c:v>
                </c:pt>
                <c:pt idx="452">
                  <c:v>Research &amp; Development</c:v>
                </c:pt>
                <c:pt idx="453">
                  <c:v>Sales</c:v>
                </c:pt>
                <c:pt idx="454">
                  <c:v>Sales</c:v>
                </c:pt>
                <c:pt idx="455">
                  <c:v>Research &amp; Development</c:v>
                </c:pt>
                <c:pt idx="456">
                  <c:v>Sales</c:v>
                </c:pt>
                <c:pt idx="457">
                  <c:v>Sales</c:v>
                </c:pt>
                <c:pt idx="458">
                  <c:v>Sales</c:v>
                </c:pt>
                <c:pt idx="459">
                  <c:v>Research &amp; Development</c:v>
                </c:pt>
                <c:pt idx="460">
                  <c:v>Research &amp; Development</c:v>
                </c:pt>
                <c:pt idx="461">
                  <c:v>Research &amp; Development</c:v>
                </c:pt>
                <c:pt idx="462">
                  <c:v>Research &amp; Development</c:v>
                </c:pt>
                <c:pt idx="463">
                  <c:v>Sales</c:v>
                </c:pt>
                <c:pt idx="464">
                  <c:v>Research &amp; Development</c:v>
                </c:pt>
                <c:pt idx="465">
                  <c:v>Research &amp; Development</c:v>
                </c:pt>
                <c:pt idx="466">
                  <c:v>Research &amp; Development</c:v>
                </c:pt>
                <c:pt idx="467">
                  <c:v>Sales</c:v>
                </c:pt>
                <c:pt idx="468">
                  <c:v>Research &amp; Development</c:v>
                </c:pt>
                <c:pt idx="469">
                  <c:v>Sales</c:v>
                </c:pt>
                <c:pt idx="470">
                  <c:v>Research &amp; Development</c:v>
                </c:pt>
                <c:pt idx="471">
                  <c:v>Research &amp; Development</c:v>
                </c:pt>
                <c:pt idx="472">
                  <c:v>Research &amp; Development</c:v>
                </c:pt>
                <c:pt idx="473">
                  <c:v>Research &amp; Development</c:v>
                </c:pt>
                <c:pt idx="474">
                  <c:v>Research &amp; Development</c:v>
                </c:pt>
                <c:pt idx="475">
                  <c:v>Research &amp; Development</c:v>
                </c:pt>
                <c:pt idx="476">
                  <c:v>Sales</c:v>
                </c:pt>
                <c:pt idx="477">
                  <c:v>Sales</c:v>
                </c:pt>
                <c:pt idx="478">
                  <c:v>Sales</c:v>
                </c:pt>
                <c:pt idx="479">
                  <c:v>Research &amp; Development</c:v>
                </c:pt>
                <c:pt idx="480">
                  <c:v>Research &amp; Development</c:v>
                </c:pt>
                <c:pt idx="481">
                  <c:v>Research &amp; Development</c:v>
                </c:pt>
                <c:pt idx="482">
                  <c:v>Research &amp; Development</c:v>
                </c:pt>
                <c:pt idx="483">
                  <c:v>Research &amp; Development</c:v>
                </c:pt>
                <c:pt idx="484">
                  <c:v>Research &amp; Development</c:v>
                </c:pt>
                <c:pt idx="485">
                  <c:v>Research &amp; Development</c:v>
                </c:pt>
                <c:pt idx="486">
                  <c:v>Sales</c:v>
                </c:pt>
                <c:pt idx="487">
                  <c:v>Sales</c:v>
                </c:pt>
                <c:pt idx="488">
                  <c:v>Research &amp; Development</c:v>
                </c:pt>
                <c:pt idx="489">
                  <c:v>Research &amp; Development</c:v>
                </c:pt>
                <c:pt idx="490">
                  <c:v>Research &amp; Development</c:v>
                </c:pt>
                <c:pt idx="491">
                  <c:v>Research &amp; Development</c:v>
                </c:pt>
                <c:pt idx="492">
                  <c:v>Research &amp; Development</c:v>
                </c:pt>
                <c:pt idx="493">
                  <c:v>Sales</c:v>
                </c:pt>
                <c:pt idx="494">
                  <c:v>Research &amp; Development</c:v>
                </c:pt>
                <c:pt idx="495">
                  <c:v>Sales</c:v>
                </c:pt>
                <c:pt idx="496">
                  <c:v>Sales</c:v>
                </c:pt>
                <c:pt idx="497">
                  <c:v>Research &amp; Development</c:v>
                </c:pt>
                <c:pt idx="498">
                  <c:v>Research &amp; Development</c:v>
                </c:pt>
                <c:pt idx="499">
                  <c:v>Research &amp; Development</c:v>
                </c:pt>
                <c:pt idx="500">
                  <c:v>Sales</c:v>
                </c:pt>
                <c:pt idx="501">
                  <c:v>Research &amp; Development</c:v>
                </c:pt>
                <c:pt idx="502">
                  <c:v>Research &amp; Development</c:v>
                </c:pt>
                <c:pt idx="503">
                  <c:v>Sales</c:v>
                </c:pt>
                <c:pt idx="504">
                  <c:v>Research &amp; Development</c:v>
                </c:pt>
                <c:pt idx="505">
                  <c:v>Research &amp; Development</c:v>
                </c:pt>
                <c:pt idx="506">
                  <c:v>Research &amp; Development</c:v>
                </c:pt>
                <c:pt idx="507">
                  <c:v>Sales</c:v>
                </c:pt>
                <c:pt idx="508">
                  <c:v>Sales</c:v>
                </c:pt>
                <c:pt idx="509">
                  <c:v>Sales</c:v>
                </c:pt>
                <c:pt idx="510">
                  <c:v>Research &amp; Development</c:v>
                </c:pt>
                <c:pt idx="511">
                  <c:v>Sales</c:v>
                </c:pt>
                <c:pt idx="512">
                  <c:v>Research &amp; Development</c:v>
                </c:pt>
                <c:pt idx="513">
                  <c:v>Research &amp; Development</c:v>
                </c:pt>
                <c:pt idx="514">
                  <c:v>Research &amp; Development</c:v>
                </c:pt>
                <c:pt idx="515">
                  <c:v>Sales</c:v>
                </c:pt>
                <c:pt idx="516">
                  <c:v>Research &amp; Development</c:v>
                </c:pt>
                <c:pt idx="517">
                  <c:v>Sales</c:v>
                </c:pt>
                <c:pt idx="518">
                  <c:v>Research &amp; Development</c:v>
                </c:pt>
                <c:pt idx="519">
                  <c:v>Research &amp; Development</c:v>
                </c:pt>
                <c:pt idx="520">
                  <c:v>Research &amp; Development</c:v>
                </c:pt>
                <c:pt idx="521">
                  <c:v>Research &amp; Development</c:v>
                </c:pt>
                <c:pt idx="522">
                  <c:v>Research &amp; Development</c:v>
                </c:pt>
                <c:pt idx="523">
                  <c:v>Research &amp; Development</c:v>
                </c:pt>
                <c:pt idx="524">
                  <c:v>Research &amp; Development</c:v>
                </c:pt>
                <c:pt idx="525">
                  <c:v>Research &amp; Development</c:v>
                </c:pt>
                <c:pt idx="526">
                  <c:v>Sales</c:v>
                </c:pt>
                <c:pt idx="527">
                  <c:v>Sales</c:v>
                </c:pt>
                <c:pt idx="528">
                  <c:v>Research &amp; Development</c:v>
                </c:pt>
                <c:pt idx="529">
                  <c:v>Research &amp; Development</c:v>
                </c:pt>
                <c:pt idx="530">
                  <c:v>Research &amp; Development</c:v>
                </c:pt>
                <c:pt idx="531">
                  <c:v>Research &amp; Development</c:v>
                </c:pt>
                <c:pt idx="532">
                  <c:v>Sales</c:v>
                </c:pt>
                <c:pt idx="533">
                  <c:v>Research &amp; Development</c:v>
                </c:pt>
                <c:pt idx="534">
                  <c:v>Research &amp; Development</c:v>
                </c:pt>
                <c:pt idx="535">
                  <c:v>Research &amp; Development</c:v>
                </c:pt>
                <c:pt idx="536">
                  <c:v>Research &amp; Development</c:v>
                </c:pt>
                <c:pt idx="537">
                  <c:v>Sales</c:v>
                </c:pt>
                <c:pt idx="538">
                  <c:v>Human Resources</c:v>
                </c:pt>
                <c:pt idx="539">
                  <c:v>Sales</c:v>
                </c:pt>
                <c:pt idx="540">
                  <c:v>Sales</c:v>
                </c:pt>
                <c:pt idx="541">
                  <c:v>Research &amp; Development</c:v>
                </c:pt>
                <c:pt idx="542">
                  <c:v>Research &amp; Development</c:v>
                </c:pt>
                <c:pt idx="543">
                  <c:v>Research &amp; Development</c:v>
                </c:pt>
                <c:pt idx="544">
                  <c:v>Research &amp; Development</c:v>
                </c:pt>
                <c:pt idx="545">
                  <c:v>Research &amp; Development</c:v>
                </c:pt>
                <c:pt idx="546">
                  <c:v>Research &amp; Development</c:v>
                </c:pt>
                <c:pt idx="547">
                  <c:v>Research &amp; Development</c:v>
                </c:pt>
                <c:pt idx="548">
                  <c:v>Research &amp; Development</c:v>
                </c:pt>
                <c:pt idx="549">
                  <c:v>Research &amp; Development</c:v>
                </c:pt>
                <c:pt idx="550">
                  <c:v>Human Resources</c:v>
                </c:pt>
                <c:pt idx="551">
                  <c:v>Human Resources</c:v>
                </c:pt>
                <c:pt idx="552">
                  <c:v>Human Resources</c:v>
                </c:pt>
                <c:pt idx="553">
                  <c:v>Human Resources</c:v>
                </c:pt>
                <c:pt idx="554">
                  <c:v>Research &amp; Development</c:v>
                </c:pt>
                <c:pt idx="555">
                  <c:v>Research &amp; Development</c:v>
                </c:pt>
                <c:pt idx="556">
                  <c:v>Sales</c:v>
                </c:pt>
                <c:pt idx="557">
                  <c:v>Research &amp; Development</c:v>
                </c:pt>
                <c:pt idx="558">
                  <c:v>Research &amp; Development</c:v>
                </c:pt>
                <c:pt idx="559">
                  <c:v>Research &amp; Development</c:v>
                </c:pt>
                <c:pt idx="560">
                  <c:v>Sales</c:v>
                </c:pt>
                <c:pt idx="561">
                  <c:v>Research &amp; Development</c:v>
                </c:pt>
                <c:pt idx="562">
                  <c:v>Research &amp; Development</c:v>
                </c:pt>
                <c:pt idx="563">
                  <c:v>Research &amp; Development</c:v>
                </c:pt>
                <c:pt idx="564">
                  <c:v>Research &amp; Development</c:v>
                </c:pt>
                <c:pt idx="565">
                  <c:v>Research &amp; Development</c:v>
                </c:pt>
                <c:pt idx="566">
                  <c:v>Research &amp; Development</c:v>
                </c:pt>
                <c:pt idx="567">
                  <c:v>Research &amp; Development</c:v>
                </c:pt>
                <c:pt idx="568">
                  <c:v>Sales</c:v>
                </c:pt>
                <c:pt idx="569">
                  <c:v>Sales</c:v>
                </c:pt>
                <c:pt idx="570">
                  <c:v>Research &amp; Development</c:v>
                </c:pt>
                <c:pt idx="571">
                  <c:v>Sales</c:v>
                </c:pt>
                <c:pt idx="572">
                  <c:v>Research &amp; Development</c:v>
                </c:pt>
                <c:pt idx="573">
                  <c:v>Sales</c:v>
                </c:pt>
                <c:pt idx="574">
                  <c:v>Sales</c:v>
                </c:pt>
                <c:pt idx="575">
                  <c:v>Sales</c:v>
                </c:pt>
                <c:pt idx="576">
                  <c:v>Research &amp; Development</c:v>
                </c:pt>
                <c:pt idx="577">
                  <c:v>Sales</c:v>
                </c:pt>
                <c:pt idx="578">
                  <c:v>Research &amp; Development</c:v>
                </c:pt>
                <c:pt idx="579">
                  <c:v>Research &amp; Development</c:v>
                </c:pt>
                <c:pt idx="580">
                  <c:v>Research &amp; Development</c:v>
                </c:pt>
                <c:pt idx="581">
                  <c:v>Research &amp; Development</c:v>
                </c:pt>
                <c:pt idx="582">
                  <c:v>Research &amp; Development</c:v>
                </c:pt>
                <c:pt idx="583">
                  <c:v>Research &amp; Development</c:v>
                </c:pt>
                <c:pt idx="584">
                  <c:v>Sales</c:v>
                </c:pt>
                <c:pt idx="585">
                  <c:v>Research &amp; Development</c:v>
                </c:pt>
                <c:pt idx="586">
                  <c:v>Research &amp; Development</c:v>
                </c:pt>
                <c:pt idx="587">
                  <c:v>Research &amp; Development</c:v>
                </c:pt>
                <c:pt idx="588">
                  <c:v>Sales</c:v>
                </c:pt>
                <c:pt idx="589">
                  <c:v>Research &amp; Development</c:v>
                </c:pt>
                <c:pt idx="590">
                  <c:v>Research &amp; Development</c:v>
                </c:pt>
                <c:pt idx="591">
                  <c:v>Research &amp; Development</c:v>
                </c:pt>
                <c:pt idx="592">
                  <c:v>Sales</c:v>
                </c:pt>
                <c:pt idx="593">
                  <c:v>Sales</c:v>
                </c:pt>
                <c:pt idx="594">
                  <c:v>Research &amp; Development</c:v>
                </c:pt>
                <c:pt idx="595">
                  <c:v>Research &amp; Development</c:v>
                </c:pt>
                <c:pt idx="596">
                  <c:v>Sales</c:v>
                </c:pt>
                <c:pt idx="597">
                  <c:v>Research &amp; Development</c:v>
                </c:pt>
                <c:pt idx="598">
                  <c:v>Research &amp; Development</c:v>
                </c:pt>
                <c:pt idx="599">
                  <c:v>Research &amp; Development</c:v>
                </c:pt>
                <c:pt idx="600">
                  <c:v>Research &amp; Development</c:v>
                </c:pt>
                <c:pt idx="601">
                  <c:v>Sales</c:v>
                </c:pt>
                <c:pt idx="602">
                  <c:v>Research &amp; Development</c:v>
                </c:pt>
                <c:pt idx="603">
                  <c:v>Research &amp; Development</c:v>
                </c:pt>
                <c:pt idx="604">
                  <c:v>Research &amp; Development</c:v>
                </c:pt>
                <c:pt idx="605">
                  <c:v>Sales</c:v>
                </c:pt>
                <c:pt idx="606">
                  <c:v>Research &amp; Development</c:v>
                </c:pt>
                <c:pt idx="607">
                  <c:v>Sales</c:v>
                </c:pt>
                <c:pt idx="608">
                  <c:v>Sales</c:v>
                </c:pt>
                <c:pt idx="609">
                  <c:v>Research &amp; Development</c:v>
                </c:pt>
                <c:pt idx="610">
                  <c:v>Sales</c:v>
                </c:pt>
                <c:pt idx="611">
                  <c:v>Research &amp; Development</c:v>
                </c:pt>
                <c:pt idx="612">
                  <c:v>Research &amp; Development</c:v>
                </c:pt>
                <c:pt idx="613">
                  <c:v>Research &amp; Development</c:v>
                </c:pt>
                <c:pt idx="614">
                  <c:v>Sales</c:v>
                </c:pt>
                <c:pt idx="615">
                  <c:v>Sales</c:v>
                </c:pt>
                <c:pt idx="616">
                  <c:v>Research &amp; Development</c:v>
                </c:pt>
                <c:pt idx="617">
                  <c:v>Research &amp; Development</c:v>
                </c:pt>
                <c:pt idx="618">
                  <c:v>Sales</c:v>
                </c:pt>
                <c:pt idx="619">
                  <c:v>Research &amp; Development</c:v>
                </c:pt>
                <c:pt idx="620">
                  <c:v>Research &amp; Development</c:v>
                </c:pt>
                <c:pt idx="621">
                  <c:v>Research &amp; Development</c:v>
                </c:pt>
                <c:pt idx="622">
                  <c:v>Research &amp; Development</c:v>
                </c:pt>
                <c:pt idx="623">
                  <c:v>Research &amp; Development</c:v>
                </c:pt>
                <c:pt idx="624">
                  <c:v>Human Resources</c:v>
                </c:pt>
                <c:pt idx="625">
                  <c:v>Research &amp; Development</c:v>
                </c:pt>
                <c:pt idx="626">
                  <c:v>Research &amp; Development</c:v>
                </c:pt>
                <c:pt idx="627">
                  <c:v>Sales</c:v>
                </c:pt>
                <c:pt idx="628">
                  <c:v>Research &amp; Development</c:v>
                </c:pt>
                <c:pt idx="629">
                  <c:v>Research &amp; Development</c:v>
                </c:pt>
                <c:pt idx="630">
                  <c:v>Research &amp; Development</c:v>
                </c:pt>
                <c:pt idx="631">
                  <c:v>Research &amp; Development</c:v>
                </c:pt>
                <c:pt idx="632">
                  <c:v>Sales</c:v>
                </c:pt>
                <c:pt idx="633">
                  <c:v>Sales</c:v>
                </c:pt>
                <c:pt idx="634">
                  <c:v>Research &amp; Development</c:v>
                </c:pt>
                <c:pt idx="635">
                  <c:v>Research &amp; Development</c:v>
                </c:pt>
                <c:pt idx="636">
                  <c:v>Research &amp; Development</c:v>
                </c:pt>
                <c:pt idx="637">
                  <c:v>Research &amp; Development</c:v>
                </c:pt>
                <c:pt idx="638">
                  <c:v>Sales</c:v>
                </c:pt>
                <c:pt idx="639">
                  <c:v>Research &amp; Development</c:v>
                </c:pt>
                <c:pt idx="640">
                  <c:v>Sales</c:v>
                </c:pt>
                <c:pt idx="641">
                  <c:v>Research &amp; Development</c:v>
                </c:pt>
                <c:pt idx="642">
                  <c:v>Research &amp; Development</c:v>
                </c:pt>
                <c:pt idx="643">
                  <c:v>Research &amp; Development</c:v>
                </c:pt>
                <c:pt idx="644">
                  <c:v>Research &amp; Development</c:v>
                </c:pt>
                <c:pt idx="645">
                  <c:v>Research &amp; Development</c:v>
                </c:pt>
                <c:pt idx="646">
                  <c:v>Sales</c:v>
                </c:pt>
                <c:pt idx="647">
                  <c:v>Research &amp; Development</c:v>
                </c:pt>
                <c:pt idx="648">
                  <c:v>Research &amp; Development</c:v>
                </c:pt>
                <c:pt idx="649">
                  <c:v>Sales</c:v>
                </c:pt>
                <c:pt idx="650">
                  <c:v>Research &amp; Development</c:v>
                </c:pt>
                <c:pt idx="651">
                  <c:v>Research &amp; Development</c:v>
                </c:pt>
                <c:pt idx="652">
                  <c:v>Sales</c:v>
                </c:pt>
                <c:pt idx="653">
                  <c:v>Research &amp; Development</c:v>
                </c:pt>
                <c:pt idx="654">
                  <c:v>Sales</c:v>
                </c:pt>
                <c:pt idx="655">
                  <c:v>Research &amp; Development</c:v>
                </c:pt>
                <c:pt idx="656">
                  <c:v>Research &amp; Development</c:v>
                </c:pt>
                <c:pt idx="657">
                  <c:v>Research &amp; Development</c:v>
                </c:pt>
                <c:pt idx="658">
                  <c:v>Research &amp; Development</c:v>
                </c:pt>
                <c:pt idx="659">
                  <c:v>Research &amp; Development</c:v>
                </c:pt>
                <c:pt idx="660">
                  <c:v>Research &amp; Development</c:v>
                </c:pt>
                <c:pt idx="661">
                  <c:v>Research &amp; Development</c:v>
                </c:pt>
                <c:pt idx="662">
                  <c:v>Research &amp; Development</c:v>
                </c:pt>
                <c:pt idx="663">
                  <c:v>Sales</c:v>
                </c:pt>
                <c:pt idx="664">
                  <c:v>Research &amp; Development</c:v>
                </c:pt>
                <c:pt idx="665">
                  <c:v>Sales</c:v>
                </c:pt>
                <c:pt idx="666">
                  <c:v>Research &amp; Development</c:v>
                </c:pt>
                <c:pt idx="667">
                  <c:v>Sales</c:v>
                </c:pt>
                <c:pt idx="668">
                  <c:v>Research &amp; Development</c:v>
                </c:pt>
                <c:pt idx="669">
                  <c:v>Research &amp; Development</c:v>
                </c:pt>
                <c:pt idx="670">
                  <c:v>Research &amp; Development</c:v>
                </c:pt>
                <c:pt idx="671">
                  <c:v>Research &amp; Development</c:v>
                </c:pt>
                <c:pt idx="672">
                  <c:v>Sales</c:v>
                </c:pt>
                <c:pt idx="673">
                  <c:v>Sales</c:v>
                </c:pt>
                <c:pt idx="674">
                  <c:v>Research &amp; Development</c:v>
                </c:pt>
                <c:pt idx="675">
                  <c:v>Research &amp; Development</c:v>
                </c:pt>
                <c:pt idx="676">
                  <c:v>Sales</c:v>
                </c:pt>
                <c:pt idx="677">
                  <c:v>Research &amp; Development</c:v>
                </c:pt>
                <c:pt idx="678">
                  <c:v>Research &amp; Development</c:v>
                </c:pt>
                <c:pt idx="679">
                  <c:v>Research &amp; Development</c:v>
                </c:pt>
                <c:pt idx="680">
                  <c:v>Sales</c:v>
                </c:pt>
                <c:pt idx="681">
                  <c:v>Sales</c:v>
                </c:pt>
                <c:pt idx="682">
                  <c:v>Research &amp; Development</c:v>
                </c:pt>
                <c:pt idx="683">
                  <c:v>Research &amp; Development</c:v>
                </c:pt>
                <c:pt idx="684">
                  <c:v>Research &amp; Development</c:v>
                </c:pt>
                <c:pt idx="685">
                  <c:v>Research &amp; Development</c:v>
                </c:pt>
                <c:pt idx="686">
                  <c:v>Research &amp; Development</c:v>
                </c:pt>
                <c:pt idx="687">
                  <c:v>Research &amp; Development</c:v>
                </c:pt>
                <c:pt idx="688">
                  <c:v>Research &amp; Development</c:v>
                </c:pt>
                <c:pt idx="689">
                  <c:v>Research &amp; Development</c:v>
                </c:pt>
                <c:pt idx="690">
                  <c:v>Human Resources</c:v>
                </c:pt>
                <c:pt idx="691">
                  <c:v>Human Resources</c:v>
                </c:pt>
                <c:pt idx="692">
                  <c:v>Research &amp; Development</c:v>
                </c:pt>
                <c:pt idx="693">
                  <c:v>Research &amp; Development</c:v>
                </c:pt>
                <c:pt idx="694">
                  <c:v>Research &amp; Development</c:v>
                </c:pt>
                <c:pt idx="695">
                  <c:v>Sales</c:v>
                </c:pt>
                <c:pt idx="696">
                  <c:v>Sales</c:v>
                </c:pt>
                <c:pt idx="697">
                  <c:v>Research &amp; Development</c:v>
                </c:pt>
                <c:pt idx="698">
                  <c:v>Research &amp; Development</c:v>
                </c:pt>
                <c:pt idx="699">
                  <c:v>Sales</c:v>
                </c:pt>
                <c:pt idx="700">
                  <c:v>Research &amp; Development</c:v>
                </c:pt>
                <c:pt idx="701">
                  <c:v>Human Resources</c:v>
                </c:pt>
                <c:pt idx="702">
                  <c:v>Sales</c:v>
                </c:pt>
                <c:pt idx="703">
                  <c:v>Sales</c:v>
                </c:pt>
                <c:pt idx="704">
                  <c:v>Human Resources</c:v>
                </c:pt>
                <c:pt idx="705">
                  <c:v>Human Resources</c:v>
                </c:pt>
                <c:pt idx="706">
                  <c:v>Sales</c:v>
                </c:pt>
                <c:pt idx="707">
                  <c:v>Research &amp; Development</c:v>
                </c:pt>
                <c:pt idx="708">
                  <c:v>Human Resources</c:v>
                </c:pt>
                <c:pt idx="709">
                  <c:v>Research &amp; Development</c:v>
                </c:pt>
                <c:pt idx="710">
                  <c:v>Research &amp; Development</c:v>
                </c:pt>
                <c:pt idx="711">
                  <c:v>Research &amp; Development</c:v>
                </c:pt>
                <c:pt idx="712">
                  <c:v>Sales</c:v>
                </c:pt>
                <c:pt idx="713">
                  <c:v>Research &amp; Development</c:v>
                </c:pt>
                <c:pt idx="714">
                  <c:v>Sales</c:v>
                </c:pt>
                <c:pt idx="715">
                  <c:v>Sales</c:v>
                </c:pt>
                <c:pt idx="716">
                  <c:v>Human Resources</c:v>
                </c:pt>
                <c:pt idx="717">
                  <c:v>Sales</c:v>
                </c:pt>
                <c:pt idx="718">
                  <c:v>Research &amp; Development</c:v>
                </c:pt>
                <c:pt idx="719">
                  <c:v>Sales</c:v>
                </c:pt>
                <c:pt idx="720">
                  <c:v>Research &amp; Development</c:v>
                </c:pt>
                <c:pt idx="721">
                  <c:v>Research &amp; Development</c:v>
                </c:pt>
                <c:pt idx="722">
                  <c:v>Research &amp; Development</c:v>
                </c:pt>
                <c:pt idx="723">
                  <c:v>Research &amp; Development</c:v>
                </c:pt>
                <c:pt idx="724">
                  <c:v>Research &amp; Development</c:v>
                </c:pt>
                <c:pt idx="725">
                  <c:v>Research &amp; Development</c:v>
                </c:pt>
                <c:pt idx="726">
                  <c:v>Research &amp; Development</c:v>
                </c:pt>
                <c:pt idx="727">
                  <c:v>Sales</c:v>
                </c:pt>
                <c:pt idx="728">
                  <c:v>Research &amp; Development</c:v>
                </c:pt>
                <c:pt idx="729">
                  <c:v>Research &amp; Development</c:v>
                </c:pt>
                <c:pt idx="730">
                  <c:v>Research &amp; Development</c:v>
                </c:pt>
                <c:pt idx="731">
                  <c:v>Research &amp; Development</c:v>
                </c:pt>
                <c:pt idx="732">
                  <c:v>Sales</c:v>
                </c:pt>
                <c:pt idx="733">
                  <c:v>Human Resources</c:v>
                </c:pt>
                <c:pt idx="734">
                  <c:v>Sales</c:v>
                </c:pt>
                <c:pt idx="735">
                  <c:v>Research &amp; Development</c:v>
                </c:pt>
                <c:pt idx="736">
                  <c:v>Sales</c:v>
                </c:pt>
                <c:pt idx="737">
                  <c:v>Sales</c:v>
                </c:pt>
                <c:pt idx="738">
                  <c:v>Sales</c:v>
                </c:pt>
                <c:pt idx="739">
                  <c:v>Sales</c:v>
                </c:pt>
                <c:pt idx="740">
                  <c:v>Research &amp; Development</c:v>
                </c:pt>
                <c:pt idx="741">
                  <c:v>Sales</c:v>
                </c:pt>
                <c:pt idx="742">
                  <c:v>Sales</c:v>
                </c:pt>
                <c:pt idx="743">
                  <c:v>Research &amp; Development</c:v>
                </c:pt>
                <c:pt idx="744">
                  <c:v>Research &amp; Development</c:v>
                </c:pt>
                <c:pt idx="745">
                  <c:v>Sales</c:v>
                </c:pt>
                <c:pt idx="746">
                  <c:v>Research &amp; Development</c:v>
                </c:pt>
                <c:pt idx="747">
                  <c:v>Human Resources</c:v>
                </c:pt>
                <c:pt idx="748">
                  <c:v>Research &amp; Development</c:v>
                </c:pt>
                <c:pt idx="749">
                  <c:v>Research &amp; Development</c:v>
                </c:pt>
                <c:pt idx="750">
                  <c:v>Research &amp; Development</c:v>
                </c:pt>
                <c:pt idx="751">
                  <c:v>Sales</c:v>
                </c:pt>
                <c:pt idx="752">
                  <c:v>Sales</c:v>
                </c:pt>
                <c:pt idx="753">
                  <c:v>Research &amp; Development</c:v>
                </c:pt>
                <c:pt idx="754">
                  <c:v>Sales</c:v>
                </c:pt>
                <c:pt idx="755">
                  <c:v>Research &amp; Development</c:v>
                </c:pt>
                <c:pt idx="756">
                  <c:v>Research &amp; Development</c:v>
                </c:pt>
                <c:pt idx="757">
                  <c:v>Research &amp; Development</c:v>
                </c:pt>
                <c:pt idx="758">
                  <c:v>Research &amp; Development</c:v>
                </c:pt>
                <c:pt idx="759">
                  <c:v>Research &amp; Development</c:v>
                </c:pt>
                <c:pt idx="760">
                  <c:v>Sales</c:v>
                </c:pt>
                <c:pt idx="761">
                  <c:v>Research &amp; Development</c:v>
                </c:pt>
                <c:pt idx="762">
                  <c:v>Research &amp; Development</c:v>
                </c:pt>
                <c:pt idx="763">
                  <c:v>Sales</c:v>
                </c:pt>
                <c:pt idx="764">
                  <c:v>Sales</c:v>
                </c:pt>
                <c:pt idx="765">
                  <c:v>Human Resources</c:v>
                </c:pt>
                <c:pt idx="766">
                  <c:v>Research &amp; Development</c:v>
                </c:pt>
                <c:pt idx="767">
                  <c:v>Research &amp; Development</c:v>
                </c:pt>
                <c:pt idx="768">
                  <c:v>Sales</c:v>
                </c:pt>
                <c:pt idx="769">
                  <c:v>Research &amp; Development</c:v>
                </c:pt>
                <c:pt idx="770">
                  <c:v>Sales</c:v>
                </c:pt>
                <c:pt idx="771">
                  <c:v>Sales</c:v>
                </c:pt>
                <c:pt idx="772">
                  <c:v>Sales</c:v>
                </c:pt>
                <c:pt idx="773">
                  <c:v>Research &amp; Development</c:v>
                </c:pt>
                <c:pt idx="774">
                  <c:v>Research &amp; Development</c:v>
                </c:pt>
                <c:pt idx="775">
                  <c:v>Research &amp; Development</c:v>
                </c:pt>
                <c:pt idx="776">
                  <c:v>Research &amp; Development</c:v>
                </c:pt>
                <c:pt idx="777">
                  <c:v>Human Resources</c:v>
                </c:pt>
                <c:pt idx="778">
                  <c:v>Sales</c:v>
                </c:pt>
                <c:pt idx="779">
                  <c:v>Research &amp; Development</c:v>
                </c:pt>
                <c:pt idx="780">
                  <c:v>Research &amp; Development</c:v>
                </c:pt>
                <c:pt idx="781">
                  <c:v>Sales</c:v>
                </c:pt>
                <c:pt idx="782">
                  <c:v>Research &amp; Development</c:v>
                </c:pt>
                <c:pt idx="783">
                  <c:v>Human Resources</c:v>
                </c:pt>
                <c:pt idx="784">
                  <c:v>Sales</c:v>
                </c:pt>
                <c:pt idx="785">
                  <c:v>Sales</c:v>
                </c:pt>
                <c:pt idx="786">
                  <c:v>Research &amp; Development</c:v>
                </c:pt>
                <c:pt idx="787">
                  <c:v>Research &amp; Development</c:v>
                </c:pt>
                <c:pt idx="788">
                  <c:v>Research &amp; Development</c:v>
                </c:pt>
                <c:pt idx="789">
                  <c:v>Research &amp; Development</c:v>
                </c:pt>
                <c:pt idx="790">
                  <c:v>Research &amp; Development</c:v>
                </c:pt>
                <c:pt idx="791">
                  <c:v>Research &amp; Development</c:v>
                </c:pt>
                <c:pt idx="792">
                  <c:v>Research &amp; Development</c:v>
                </c:pt>
                <c:pt idx="793">
                  <c:v>Research &amp; Development</c:v>
                </c:pt>
                <c:pt idx="794">
                  <c:v>Research &amp; Development</c:v>
                </c:pt>
                <c:pt idx="795">
                  <c:v>Research &amp; Development</c:v>
                </c:pt>
                <c:pt idx="796">
                  <c:v>Research &amp; Development</c:v>
                </c:pt>
                <c:pt idx="797">
                  <c:v>Research &amp; Development</c:v>
                </c:pt>
                <c:pt idx="798">
                  <c:v>Research &amp; Development</c:v>
                </c:pt>
                <c:pt idx="799">
                  <c:v>Research &amp; Development</c:v>
                </c:pt>
                <c:pt idx="800">
                  <c:v>Research &amp; Development</c:v>
                </c:pt>
                <c:pt idx="801">
                  <c:v>Sales</c:v>
                </c:pt>
                <c:pt idx="802">
                  <c:v>Sales</c:v>
                </c:pt>
                <c:pt idx="803">
                  <c:v>Research &amp; Development</c:v>
                </c:pt>
                <c:pt idx="804">
                  <c:v>Sales</c:v>
                </c:pt>
                <c:pt idx="805">
                  <c:v>Research &amp; Development</c:v>
                </c:pt>
                <c:pt idx="806">
                  <c:v>Research &amp; Development</c:v>
                </c:pt>
                <c:pt idx="807">
                  <c:v>Sales</c:v>
                </c:pt>
                <c:pt idx="808">
                  <c:v>Research &amp; Development</c:v>
                </c:pt>
                <c:pt idx="809">
                  <c:v>Research &amp; Development</c:v>
                </c:pt>
                <c:pt idx="810">
                  <c:v>Research &amp; Development</c:v>
                </c:pt>
                <c:pt idx="811">
                  <c:v>Research &amp; Development</c:v>
                </c:pt>
                <c:pt idx="812">
                  <c:v>Research &amp; Development</c:v>
                </c:pt>
                <c:pt idx="813">
                  <c:v>Sales</c:v>
                </c:pt>
                <c:pt idx="814">
                  <c:v>Human Resources</c:v>
                </c:pt>
                <c:pt idx="815">
                  <c:v>Sales</c:v>
                </c:pt>
                <c:pt idx="816">
                  <c:v>Research &amp; Development</c:v>
                </c:pt>
                <c:pt idx="817">
                  <c:v>Research &amp; Development</c:v>
                </c:pt>
                <c:pt idx="818">
                  <c:v>Research &amp; Development</c:v>
                </c:pt>
                <c:pt idx="819">
                  <c:v>Research &amp; Development</c:v>
                </c:pt>
                <c:pt idx="820">
                  <c:v>Sales</c:v>
                </c:pt>
                <c:pt idx="821">
                  <c:v>Research &amp; Development</c:v>
                </c:pt>
                <c:pt idx="822">
                  <c:v>Sales</c:v>
                </c:pt>
                <c:pt idx="823">
                  <c:v>Sales</c:v>
                </c:pt>
                <c:pt idx="824">
                  <c:v>Research &amp; Development</c:v>
                </c:pt>
                <c:pt idx="825">
                  <c:v>Research &amp; Development</c:v>
                </c:pt>
                <c:pt idx="826">
                  <c:v>Research &amp; Development</c:v>
                </c:pt>
                <c:pt idx="827">
                  <c:v>Sales</c:v>
                </c:pt>
                <c:pt idx="828">
                  <c:v>Sales</c:v>
                </c:pt>
                <c:pt idx="829">
                  <c:v>Research &amp; Development</c:v>
                </c:pt>
                <c:pt idx="830">
                  <c:v>Human Resources</c:v>
                </c:pt>
                <c:pt idx="831">
                  <c:v>Research &amp; Development</c:v>
                </c:pt>
                <c:pt idx="832">
                  <c:v>Sales</c:v>
                </c:pt>
                <c:pt idx="833">
                  <c:v>Research &amp; Development</c:v>
                </c:pt>
                <c:pt idx="834">
                  <c:v>Research &amp; Development</c:v>
                </c:pt>
                <c:pt idx="835">
                  <c:v>Research &amp; Development</c:v>
                </c:pt>
                <c:pt idx="836">
                  <c:v>Sales</c:v>
                </c:pt>
                <c:pt idx="837">
                  <c:v>Research &amp; Development</c:v>
                </c:pt>
                <c:pt idx="838">
                  <c:v>Sales</c:v>
                </c:pt>
                <c:pt idx="839">
                  <c:v>Research &amp; Development</c:v>
                </c:pt>
                <c:pt idx="840">
                  <c:v>Research &amp; Development</c:v>
                </c:pt>
                <c:pt idx="841">
                  <c:v>Research &amp; Development</c:v>
                </c:pt>
                <c:pt idx="842">
                  <c:v>Human Resources</c:v>
                </c:pt>
                <c:pt idx="843">
                  <c:v>Research &amp; Development</c:v>
                </c:pt>
                <c:pt idx="844">
                  <c:v>Research &amp; Development</c:v>
                </c:pt>
                <c:pt idx="845">
                  <c:v>Sales</c:v>
                </c:pt>
                <c:pt idx="846">
                  <c:v>Research &amp; Development</c:v>
                </c:pt>
                <c:pt idx="847">
                  <c:v>Research &amp; Development</c:v>
                </c:pt>
                <c:pt idx="848">
                  <c:v>Research &amp; Development</c:v>
                </c:pt>
                <c:pt idx="849">
                  <c:v>Sales</c:v>
                </c:pt>
                <c:pt idx="850">
                  <c:v>Research &amp; Development</c:v>
                </c:pt>
                <c:pt idx="851">
                  <c:v>Sales</c:v>
                </c:pt>
                <c:pt idx="852">
                  <c:v>Research &amp; Development</c:v>
                </c:pt>
                <c:pt idx="853">
                  <c:v>Research &amp; Development</c:v>
                </c:pt>
                <c:pt idx="854">
                  <c:v>Research &amp; Development</c:v>
                </c:pt>
                <c:pt idx="855">
                  <c:v>Research &amp; Development</c:v>
                </c:pt>
                <c:pt idx="856">
                  <c:v>Sales</c:v>
                </c:pt>
                <c:pt idx="857">
                  <c:v>Research &amp; Development</c:v>
                </c:pt>
                <c:pt idx="858">
                  <c:v>Research &amp; Development</c:v>
                </c:pt>
                <c:pt idx="859">
                  <c:v>Research &amp; Development</c:v>
                </c:pt>
                <c:pt idx="860">
                  <c:v>Research &amp; Development</c:v>
                </c:pt>
                <c:pt idx="861">
                  <c:v>Research &amp; Development</c:v>
                </c:pt>
                <c:pt idx="862">
                  <c:v>Sales</c:v>
                </c:pt>
                <c:pt idx="863">
                  <c:v>Sales</c:v>
                </c:pt>
                <c:pt idx="864">
                  <c:v>Sales</c:v>
                </c:pt>
                <c:pt idx="865">
                  <c:v>Research &amp; Development</c:v>
                </c:pt>
                <c:pt idx="866">
                  <c:v>Research &amp; Development</c:v>
                </c:pt>
                <c:pt idx="867">
                  <c:v>Sales</c:v>
                </c:pt>
                <c:pt idx="868">
                  <c:v>Sales</c:v>
                </c:pt>
                <c:pt idx="869">
                  <c:v>Research &amp; Development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9-4402-871A-4EA2631AF700}"/>
              </c:ext>
            </c:extLst>
          </c:dPt>
          <c:val>
            <c:numRef>
              <c:f>department!$B$871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0-4DF8-87B9-16C581F0D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853-B7E7-E496C8A4CE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0F4-4853-B7E7-E496C8A4CE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853-B7E7-E496C8A4CEC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0F4-4853-B7E7-E496C8A4CEC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0F4-4853-B7E7-E496C8A4CEC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0F4-4853-B7E7-E496C8A4CEC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department!$F$9:$F$11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department!$G$9:$G$11</c:f>
              <c:numCache>
                <c:formatCode>General</c:formatCode>
                <c:ptCount val="3"/>
                <c:pt idx="0">
                  <c:v>35</c:v>
                </c:pt>
                <c:pt idx="1">
                  <c:v>562</c:v>
                </c:pt>
                <c:pt idx="2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4-4853-B7E7-E496C8A4CEC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</a:t>
            </a:r>
            <a:r>
              <a:rPr lang="en-US" baseline="0"/>
              <a:t> status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AF-491F-80DE-B39E95821E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0AF-491F-80DE-B39E95821E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AF-491F-80DE-B39E95821EE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0AF-491F-80DE-B39E95821EE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0AF-491F-80DE-B39E95821EE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0AF-491F-80DE-B39E95821EE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'marital status'!$G$8:$G$10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'marital status'!$H$8:$H$10</c:f>
              <c:numCache>
                <c:formatCode>General</c:formatCode>
                <c:ptCount val="3"/>
                <c:pt idx="0">
                  <c:v>191</c:v>
                </c:pt>
                <c:pt idx="1">
                  <c:v>410</c:v>
                </c:pt>
                <c:pt idx="2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F-491F-80DE-B39E95821EE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overtime!$G$1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CD-491C-AB9A-94DAE1823F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BCD-491C-AB9A-94DAE1823F0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BCD-491C-AB9A-94DAE1823F0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BCD-491C-AB9A-94DAE1823F0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overtime!$F$2:$F$3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overtime!$G$2:$G$3</c:f>
              <c:numCache>
                <c:formatCode>General</c:formatCode>
                <c:ptCount val="2"/>
                <c:pt idx="0">
                  <c:v>618</c:v>
                </c:pt>
                <c:pt idx="1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D-491C-AB9A-94DAE1823F0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'job involvement'!$F$1</c:f>
              <c:strCache>
                <c:ptCount val="1"/>
                <c:pt idx="0">
                  <c:v>Job Involvement Level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341-48F3-9DF8-7923430B6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41-48F3-9DF8-7923430B6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341-48F3-9DF8-7923430B6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41-48F3-9DF8-7923430B66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341-48F3-9DF8-7923430B66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341-48F3-9DF8-7923430B66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341-48F3-9DF8-7923430B66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341-48F3-9DF8-7923430B66C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'job involvement'!$F$2:$F$5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1-48F3-9DF8-7923430B66CD}"/>
            </c:ext>
          </c:extLst>
        </c:ser>
        <c:ser>
          <c:idx val="1"/>
          <c:order val="1"/>
          <c:tx>
            <c:strRef>
              <c:f>'job involvement'!$G$1</c:f>
              <c:strCache>
                <c:ptCount val="1"/>
                <c:pt idx="0">
                  <c:v>Job Involvement Breakdown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341-48F3-9DF8-7923430B66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41-48F3-9DF8-7923430B66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341-48F3-9DF8-7923430B66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41-48F3-9DF8-7923430B66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341-48F3-9DF8-7923430B66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341-48F3-9DF8-7923430B66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2341-48F3-9DF8-7923430B66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341-48F3-9DF8-7923430B66C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'job involvement'!$G$2:$G$5</c:f>
              <c:numCache>
                <c:formatCode>General</c:formatCode>
                <c:ptCount val="4"/>
                <c:pt idx="0">
                  <c:v>47</c:v>
                </c:pt>
                <c:pt idx="1">
                  <c:v>228</c:v>
                </c:pt>
                <c:pt idx="2">
                  <c:v>514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1-48F3-9DF8-7923430B66C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'stock opt'!$G$1</c:f>
              <c:strCache>
                <c:ptCount val="1"/>
                <c:pt idx="0">
                  <c:v>Stock Option Level Breakdown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BEF-40F0-A841-0C15FE6234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EF-40F0-A841-0C15FE6234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BEF-40F0-A841-0C15FE6234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EF-40F0-A841-0C15FE6234B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EBEF-40F0-A841-0C15FE6234B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BEF-40F0-A841-0C15FE6234B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EBEF-40F0-A841-0C15FE6234B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BEF-40F0-A841-0C15FE6234B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'stock opt'!$F$2:$F$5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'stock opt'!$G$2:$G$5</c:f>
              <c:numCache>
                <c:formatCode>General</c:formatCode>
                <c:ptCount val="4"/>
                <c:pt idx="0">
                  <c:v>379</c:v>
                </c:pt>
                <c:pt idx="1">
                  <c:v>355</c:v>
                </c:pt>
                <c:pt idx="2">
                  <c:v>81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F-40F0-A841-0C15FE6234B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>
      <cx:tx>
        <cx:txData>
          <cx:v>Incentive vs Replacement Per Employee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Incentive vs Replacement Per Employee</a:t>
          </a:r>
        </a:p>
      </cx:txPr>
    </cx:title>
    <cx:plotArea>
      <cx:plotAreaRegion>
        <cx:series layoutId="funnel" uniqueId="{B3BDFC14-3D29-4A6E-A0A9-B8B75321071B}">
          <cx:dataLabels>
            <cx:numFmt formatCode="$#,##0" sourceLinked="0"/>
            <cx:visibility seriesName="0" categoryName="0" value="1"/>
            <cx:separator>, </cx:separator>
          </cx:dataLabels>
          <cx:dataId val="0"/>
        </cx:series>
      </cx:plotAreaRegion>
      <cx:axis id="1">
        <cx:catScaling gapWidth="0.15999999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147636</xdr:rowOff>
    </xdr:from>
    <xdr:to>
      <xdr:col>15</xdr:col>
      <xdr:colOff>600075</xdr:colOff>
      <xdr:row>22</xdr:row>
      <xdr:rowOff>95249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10AC0AD-4848-73A2-AFEE-3DE278B6BF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5650" y="1290636"/>
              <a:ext cx="6619875" cy="2995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147637</xdr:rowOff>
    </xdr:from>
    <xdr:to>
      <xdr:col>15</xdr:col>
      <xdr:colOff>533400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71153-7EB4-192E-4F40-9E5744CD8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</xdr:row>
      <xdr:rowOff>104774</xdr:rowOff>
    </xdr:from>
    <xdr:to>
      <xdr:col>16</xdr:col>
      <xdr:colOff>514350</xdr:colOff>
      <xdr:row>26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12BFB-845D-F444-F7CE-C722E45DC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13</xdr:row>
      <xdr:rowOff>90487</xdr:rowOff>
    </xdr:from>
    <xdr:to>
      <xdr:col>10</xdr:col>
      <xdr:colOff>228600</xdr:colOff>
      <xdr:row>27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0B845-BD68-644C-BB1E-A29A1299E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849</xdr:row>
      <xdr:rowOff>147637</xdr:rowOff>
    </xdr:from>
    <xdr:to>
      <xdr:col>15</xdr:col>
      <xdr:colOff>533400</xdr:colOff>
      <xdr:row>864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56B14-4809-1FDE-EE93-DDD3F43C8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849</xdr:row>
      <xdr:rowOff>147637</xdr:rowOff>
    </xdr:from>
    <xdr:to>
      <xdr:col>15</xdr:col>
      <xdr:colOff>533400</xdr:colOff>
      <xdr:row>864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5498A6-131E-E671-865C-792C7B530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533400</xdr:colOff>
      <xdr:row>3</xdr:row>
      <xdr:rowOff>23811</xdr:rowOff>
    </xdr:from>
    <xdr:to>
      <xdr:col>18</xdr:col>
      <xdr:colOff>38100</xdr:colOff>
      <xdr:row>21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CDB734-B007-4EA8-D208-F0CAC8637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6</xdr:row>
      <xdr:rowOff>147637</xdr:rowOff>
    </xdr:from>
    <xdr:to>
      <xdr:col>12</xdr:col>
      <xdr:colOff>228600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D99F6-615C-52D7-E14E-9A3A0B2EC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261937</xdr:colOff>
      <xdr:row>6</xdr:row>
      <xdr:rowOff>147637</xdr:rowOff>
    </xdr:from>
    <xdr:to>
      <xdr:col>11</xdr:col>
      <xdr:colOff>566737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1D0B9-85BA-E5C8-C385-C2A005844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1462087</xdr:colOff>
      <xdr:row>6</xdr:row>
      <xdr:rowOff>147637</xdr:rowOff>
    </xdr:from>
    <xdr:to>
      <xdr:col>11</xdr:col>
      <xdr:colOff>185737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6A1CD-7350-B858-0616-C738A8869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1462087</xdr:colOff>
      <xdr:row>6</xdr:row>
      <xdr:rowOff>147637</xdr:rowOff>
    </xdr:from>
    <xdr:to>
      <xdr:col>11</xdr:col>
      <xdr:colOff>100012</xdr:colOff>
      <xdr:row>21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2B1BE-0EA8-5CB4-BF2A-2FA3127E3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Westlauer" refreshedDate="46078.900258796297" createdVersion="8" refreshedVersion="8" minRefreshableVersion="3" recordCount="870" xr:uid="{EAB54E79-6F39-449E-8AB4-DE98764FFB9A}">
  <cacheSource type="worksheet">
    <worksheetSource ref="A1:B871" sheet="marital status"/>
  </cacheSource>
  <cacheFields count="2">
    <cacheField name="Attrition" numFmtId="0">
      <sharedItems count="2">
        <s v="No"/>
        <s v="Yes"/>
      </sharedItems>
    </cacheField>
    <cacheField name="MaritalStatus" numFmtId="0">
      <sharedItems count="3">
        <s v="Divorced"/>
        <s v="Single"/>
        <s v="Marr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Westlauer" refreshedDate="46078.907439699076" createdVersion="8" refreshedVersion="8" minRefreshableVersion="3" recordCount="870" xr:uid="{909454DF-7708-494C-BB91-52A777CC0F84}">
  <cacheSource type="worksheet">
    <worksheetSource ref="B1:B871" sheet="marital status"/>
  </cacheSource>
  <cacheFields count="1">
    <cacheField name="MaritalStatus" numFmtId="0">
      <sharedItems count="3">
        <s v="Divorced"/>
        <s v="Single"/>
        <s v="Marr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Westlauer" refreshedDate="46079.001359027781" createdVersion="8" refreshedVersion="8" minRefreshableVersion="3" recordCount="871" xr:uid="{A90CC319-AEB6-44CC-A8BC-290576EAA329}">
  <cacheSource type="worksheet">
    <worksheetSource ref="A1:B1048576" sheet="overtime"/>
  </cacheSource>
  <cacheFields count="2">
    <cacheField name="Attrition" numFmtId="0">
      <sharedItems containsBlank="1"/>
    </cacheField>
    <cacheField name="OverTim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Westlauer" refreshedDate="46079.011033796298" createdVersion="8" refreshedVersion="8" minRefreshableVersion="3" recordCount="871" xr:uid="{47774E3F-DDEE-468D-9DAB-AE3920085DE4}">
  <cacheSource type="worksheet">
    <worksheetSource ref="B1:B1048576" sheet="job involvement"/>
  </cacheSource>
  <cacheFields count="1">
    <cacheField name="JobInvolvement" numFmtId="0">
      <sharedItems containsString="0" containsBlank="1" containsNumber="1" containsInteger="1" minValue="1" maxValue="4" count="5">
        <n v="3"/>
        <n v="2"/>
        <n v="4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a Westlauer" refreshedDate="46079.041814004631" createdVersion="8" refreshedVersion="8" minRefreshableVersion="3" recordCount="871" xr:uid="{797B67C6-3379-40CC-9B4A-C3A36BB26494}">
  <cacheSource type="worksheet">
    <worksheetSource ref="A1:A1048576" sheet="stock opt"/>
  </cacheSource>
  <cacheFields count="1">
    <cacheField name="StockOptionLevel" numFmtId="0">
      <sharedItems containsString="0" containsBlank="1" containsNumber="1" containsInteger="1" minValue="0" maxValue="3" count="5">
        <n v="1"/>
        <n v="0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x v="0"/>
    <x v="0"/>
  </r>
  <r>
    <x v="0"/>
    <x v="1"/>
  </r>
  <r>
    <x v="0"/>
    <x v="1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0"/>
    <x v="2"/>
  </r>
  <r>
    <x v="0"/>
    <x v="2"/>
  </r>
  <r>
    <x v="0"/>
    <x v="0"/>
  </r>
  <r>
    <x v="0"/>
    <x v="1"/>
  </r>
  <r>
    <x v="0"/>
    <x v="2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0"/>
    <x v="0"/>
  </r>
  <r>
    <x v="0"/>
    <x v="2"/>
  </r>
  <r>
    <x v="0"/>
    <x v="0"/>
  </r>
  <r>
    <x v="0"/>
    <x v="1"/>
  </r>
  <r>
    <x v="0"/>
    <x v="1"/>
  </r>
  <r>
    <x v="0"/>
    <x v="2"/>
  </r>
  <r>
    <x v="0"/>
    <x v="2"/>
  </r>
  <r>
    <x v="1"/>
    <x v="1"/>
  </r>
  <r>
    <x v="1"/>
    <x v="1"/>
  </r>
  <r>
    <x v="0"/>
    <x v="2"/>
  </r>
  <r>
    <x v="0"/>
    <x v="0"/>
  </r>
  <r>
    <x v="0"/>
    <x v="2"/>
  </r>
  <r>
    <x v="0"/>
    <x v="2"/>
  </r>
  <r>
    <x v="0"/>
    <x v="2"/>
  </r>
  <r>
    <x v="0"/>
    <x v="1"/>
  </r>
  <r>
    <x v="0"/>
    <x v="2"/>
  </r>
  <r>
    <x v="1"/>
    <x v="2"/>
  </r>
  <r>
    <x v="1"/>
    <x v="0"/>
  </r>
  <r>
    <x v="0"/>
    <x v="1"/>
  </r>
  <r>
    <x v="0"/>
    <x v="2"/>
  </r>
  <r>
    <x v="0"/>
    <x v="0"/>
  </r>
  <r>
    <x v="0"/>
    <x v="1"/>
  </r>
  <r>
    <x v="0"/>
    <x v="0"/>
  </r>
  <r>
    <x v="0"/>
    <x v="1"/>
  </r>
  <r>
    <x v="0"/>
    <x v="2"/>
  </r>
  <r>
    <x v="0"/>
    <x v="1"/>
  </r>
  <r>
    <x v="1"/>
    <x v="1"/>
  </r>
  <r>
    <x v="0"/>
    <x v="0"/>
  </r>
  <r>
    <x v="1"/>
    <x v="1"/>
  </r>
  <r>
    <x v="0"/>
    <x v="0"/>
  </r>
  <r>
    <x v="0"/>
    <x v="1"/>
  </r>
  <r>
    <x v="0"/>
    <x v="2"/>
  </r>
  <r>
    <x v="0"/>
    <x v="2"/>
  </r>
  <r>
    <x v="0"/>
    <x v="2"/>
  </r>
  <r>
    <x v="0"/>
    <x v="1"/>
  </r>
  <r>
    <x v="0"/>
    <x v="0"/>
  </r>
  <r>
    <x v="1"/>
    <x v="0"/>
  </r>
  <r>
    <x v="0"/>
    <x v="1"/>
  </r>
  <r>
    <x v="0"/>
    <x v="0"/>
  </r>
  <r>
    <x v="1"/>
    <x v="1"/>
  </r>
  <r>
    <x v="1"/>
    <x v="2"/>
  </r>
  <r>
    <x v="0"/>
    <x v="2"/>
  </r>
  <r>
    <x v="0"/>
    <x v="2"/>
  </r>
  <r>
    <x v="0"/>
    <x v="1"/>
  </r>
  <r>
    <x v="1"/>
    <x v="2"/>
  </r>
  <r>
    <x v="0"/>
    <x v="0"/>
  </r>
  <r>
    <x v="0"/>
    <x v="1"/>
  </r>
  <r>
    <x v="0"/>
    <x v="1"/>
  </r>
  <r>
    <x v="0"/>
    <x v="2"/>
  </r>
  <r>
    <x v="0"/>
    <x v="1"/>
  </r>
  <r>
    <x v="0"/>
    <x v="2"/>
  </r>
  <r>
    <x v="0"/>
    <x v="1"/>
  </r>
  <r>
    <x v="1"/>
    <x v="2"/>
  </r>
  <r>
    <x v="0"/>
    <x v="2"/>
  </r>
  <r>
    <x v="1"/>
    <x v="1"/>
  </r>
  <r>
    <x v="0"/>
    <x v="1"/>
  </r>
  <r>
    <x v="0"/>
    <x v="2"/>
  </r>
  <r>
    <x v="0"/>
    <x v="1"/>
  </r>
  <r>
    <x v="0"/>
    <x v="1"/>
  </r>
  <r>
    <x v="0"/>
    <x v="0"/>
  </r>
  <r>
    <x v="1"/>
    <x v="2"/>
  </r>
  <r>
    <x v="0"/>
    <x v="2"/>
  </r>
  <r>
    <x v="0"/>
    <x v="2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2"/>
  </r>
  <r>
    <x v="1"/>
    <x v="2"/>
  </r>
  <r>
    <x v="1"/>
    <x v="1"/>
  </r>
  <r>
    <x v="0"/>
    <x v="1"/>
  </r>
  <r>
    <x v="0"/>
    <x v="1"/>
  </r>
  <r>
    <x v="0"/>
    <x v="2"/>
  </r>
  <r>
    <x v="0"/>
    <x v="2"/>
  </r>
  <r>
    <x v="0"/>
    <x v="0"/>
  </r>
  <r>
    <x v="0"/>
    <x v="2"/>
  </r>
  <r>
    <x v="0"/>
    <x v="2"/>
  </r>
  <r>
    <x v="0"/>
    <x v="2"/>
  </r>
  <r>
    <x v="0"/>
    <x v="0"/>
  </r>
  <r>
    <x v="0"/>
    <x v="2"/>
  </r>
  <r>
    <x v="0"/>
    <x v="2"/>
  </r>
  <r>
    <x v="0"/>
    <x v="1"/>
  </r>
  <r>
    <x v="0"/>
    <x v="2"/>
  </r>
  <r>
    <x v="0"/>
    <x v="2"/>
  </r>
  <r>
    <x v="0"/>
    <x v="2"/>
  </r>
  <r>
    <x v="1"/>
    <x v="2"/>
  </r>
  <r>
    <x v="0"/>
    <x v="1"/>
  </r>
  <r>
    <x v="0"/>
    <x v="0"/>
  </r>
  <r>
    <x v="0"/>
    <x v="2"/>
  </r>
  <r>
    <x v="0"/>
    <x v="1"/>
  </r>
  <r>
    <x v="0"/>
    <x v="0"/>
  </r>
  <r>
    <x v="0"/>
    <x v="2"/>
  </r>
  <r>
    <x v="0"/>
    <x v="1"/>
  </r>
  <r>
    <x v="0"/>
    <x v="1"/>
  </r>
  <r>
    <x v="0"/>
    <x v="2"/>
  </r>
  <r>
    <x v="0"/>
    <x v="0"/>
  </r>
  <r>
    <x v="0"/>
    <x v="1"/>
  </r>
  <r>
    <x v="0"/>
    <x v="2"/>
  </r>
  <r>
    <x v="0"/>
    <x v="1"/>
  </r>
  <r>
    <x v="0"/>
    <x v="0"/>
  </r>
  <r>
    <x v="0"/>
    <x v="1"/>
  </r>
  <r>
    <x v="0"/>
    <x v="1"/>
  </r>
  <r>
    <x v="0"/>
    <x v="2"/>
  </r>
  <r>
    <x v="1"/>
    <x v="1"/>
  </r>
  <r>
    <x v="0"/>
    <x v="2"/>
  </r>
  <r>
    <x v="0"/>
    <x v="1"/>
  </r>
  <r>
    <x v="0"/>
    <x v="0"/>
  </r>
  <r>
    <x v="0"/>
    <x v="0"/>
  </r>
  <r>
    <x v="0"/>
    <x v="1"/>
  </r>
  <r>
    <x v="0"/>
    <x v="2"/>
  </r>
  <r>
    <x v="0"/>
    <x v="2"/>
  </r>
  <r>
    <x v="0"/>
    <x v="0"/>
  </r>
  <r>
    <x v="0"/>
    <x v="2"/>
  </r>
  <r>
    <x v="1"/>
    <x v="2"/>
  </r>
  <r>
    <x v="0"/>
    <x v="2"/>
  </r>
  <r>
    <x v="1"/>
    <x v="2"/>
  </r>
  <r>
    <x v="0"/>
    <x v="1"/>
  </r>
  <r>
    <x v="0"/>
    <x v="2"/>
  </r>
  <r>
    <x v="0"/>
    <x v="0"/>
  </r>
  <r>
    <x v="0"/>
    <x v="0"/>
  </r>
  <r>
    <x v="0"/>
    <x v="2"/>
  </r>
  <r>
    <x v="0"/>
    <x v="0"/>
  </r>
  <r>
    <x v="0"/>
    <x v="2"/>
  </r>
  <r>
    <x v="0"/>
    <x v="2"/>
  </r>
  <r>
    <x v="0"/>
    <x v="2"/>
  </r>
  <r>
    <x v="0"/>
    <x v="1"/>
  </r>
  <r>
    <x v="0"/>
    <x v="0"/>
  </r>
  <r>
    <x v="1"/>
    <x v="0"/>
  </r>
  <r>
    <x v="0"/>
    <x v="1"/>
  </r>
  <r>
    <x v="0"/>
    <x v="2"/>
  </r>
  <r>
    <x v="0"/>
    <x v="1"/>
  </r>
  <r>
    <x v="0"/>
    <x v="0"/>
  </r>
  <r>
    <x v="0"/>
    <x v="2"/>
  </r>
  <r>
    <x v="0"/>
    <x v="2"/>
  </r>
  <r>
    <x v="1"/>
    <x v="0"/>
  </r>
  <r>
    <x v="0"/>
    <x v="2"/>
  </r>
  <r>
    <x v="0"/>
    <x v="2"/>
  </r>
  <r>
    <x v="0"/>
    <x v="2"/>
  </r>
  <r>
    <x v="1"/>
    <x v="1"/>
  </r>
  <r>
    <x v="0"/>
    <x v="0"/>
  </r>
  <r>
    <x v="0"/>
    <x v="1"/>
  </r>
  <r>
    <x v="0"/>
    <x v="2"/>
  </r>
  <r>
    <x v="1"/>
    <x v="1"/>
  </r>
  <r>
    <x v="0"/>
    <x v="2"/>
  </r>
  <r>
    <x v="0"/>
    <x v="0"/>
  </r>
  <r>
    <x v="0"/>
    <x v="0"/>
  </r>
  <r>
    <x v="0"/>
    <x v="0"/>
  </r>
  <r>
    <x v="0"/>
    <x v="0"/>
  </r>
  <r>
    <x v="0"/>
    <x v="2"/>
  </r>
  <r>
    <x v="0"/>
    <x v="2"/>
  </r>
  <r>
    <x v="0"/>
    <x v="0"/>
  </r>
  <r>
    <x v="0"/>
    <x v="0"/>
  </r>
  <r>
    <x v="0"/>
    <x v="1"/>
  </r>
  <r>
    <x v="1"/>
    <x v="2"/>
  </r>
  <r>
    <x v="1"/>
    <x v="2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2"/>
  </r>
  <r>
    <x v="0"/>
    <x v="2"/>
  </r>
  <r>
    <x v="0"/>
    <x v="0"/>
  </r>
  <r>
    <x v="0"/>
    <x v="0"/>
  </r>
  <r>
    <x v="0"/>
    <x v="0"/>
  </r>
  <r>
    <x v="0"/>
    <x v="2"/>
  </r>
  <r>
    <x v="0"/>
    <x v="2"/>
  </r>
  <r>
    <x v="0"/>
    <x v="2"/>
  </r>
  <r>
    <x v="0"/>
    <x v="0"/>
  </r>
  <r>
    <x v="0"/>
    <x v="2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1"/>
    <x v="1"/>
  </r>
  <r>
    <x v="0"/>
    <x v="2"/>
  </r>
  <r>
    <x v="0"/>
    <x v="2"/>
  </r>
  <r>
    <x v="1"/>
    <x v="1"/>
  </r>
  <r>
    <x v="0"/>
    <x v="2"/>
  </r>
  <r>
    <x v="0"/>
    <x v="2"/>
  </r>
  <r>
    <x v="1"/>
    <x v="1"/>
  </r>
  <r>
    <x v="1"/>
    <x v="2"/>
  </r>
  <r>
    <x v="0"/>
    <x v="0"/>
  </r>
  <r>
    <x v="0"/>
    <x v="0"/>
  </r>
  <r>
    <x v="0"/>
    <x v="2"/>
  </r>
  <r>
    <x v="0"/>
    <x v="2"/>
  </r>
  <r>
    <x v="0"/>
    <x v="1"/>
  </r>
  <r>
    <x v="0"/>
    <x v="2"/>
  </r>
  <r>
    <x v="0"/>
    <x v="1"/>
  </r>
  <r>
    <x v="0"/>
    <x v="0"/>
  </r>
  <r>
    <x v="0"/>
    <x v="2"/>
  </r>
  <r>
    <x v="0"/>
    <x v="0"/>
  </r>
  <r>
    <x v="0"/>
    <x v="1"/>
  </r>
  <r>
    <x v="0"/>
    <x v="1"/>
  </r>
  <r>
    <x v="0"/>
    <x v="1"/>
  </r>
  <r>
    <x v="1"/>
    <x v="2"/>
  </r>
  <r>
    <x v="0"/>
    <x v="0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0"/>
    <x v="2"/>
  </r>
  <r>
    <x v="0"/>
    <x v="0"/>
  </r>
  <r>
    <x v="0"/>
    <x v="2"/>
  </r>
  <r>
    <x v="1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0"/>
    <x v="0"/>
  </r>
  <r>
    <x v="0"/>
    <x v="2"/>
  </r>
  <r>
    <x v="0"/>
    <x v="1"/>
  </r>
  <r>
    <x v="0"/>
    <x v="2"/>
  </r>
  <r>
    <x v="1"/>
    <x v="2"/>
  </r>
  <r>
    <x v="0"/>
    <x v="2"/>
  </r>
  <r>
    <x v="0"/>
    <x v="0"/>
  </r>
  <r>
    <x v="0"/>
    <x v="1"/>
  </r>
  <r>
    <x v="0"/>
    <x v="2"/>
  </r>
  <r>
    <x v="0"/>
    <x v="0"/>
  </r>
  <r>
    <x v="0"/>
    <x v="2"/>
  </r>
  <r>
    <x v="0"/>
    <x v="0"/>
  </r>
  <r>
    <x v="0"/>
    <x v="0"/>
  </r>
  <r>
    <x v="0"/>
    <x v="1"/>
  </r>
  <r>
    <x v="1"/>
    <x v="2"/>
  </r>
  <r>
    <x v="0"/>
    <x v="0"/>
  </r>
  <r>
    <x v="0"/>
    <x v="1"/>
  </r>
  <r>
    <x v="0"/>
    <x v="0"/>
  </r>
  <r>
    <x v="0"/>
    <x v="0"/>
  </r>
  <r>
    <x v="0"/>
    <x v="2"/>
  </r>
  <r>
    <x v="0"/>
    <x v="0"/>
  </r>
  <r>
    <x v="1"/>
    <x v="1"/>
  </r>
  <r>
    <x v="1"/>
    <x v="1"/>
  </r>
  <r>
    <x v="1"/>
    <x v="2"/>
  </r>
  <r>
    <x v="0"/>
    <x v="2"/>
  </r>
  <r>
    <x v="0"/>
    <x v="2"/>
  </r>
  <r>
    <x v="0"/>
    <x v="2"/>
  </r>
  <r>
    <x v="0"/>
    <x v="0"/>
  </r>
  <r>
    <x v="1"/>
    <x v="1"/>
  </r>
  <r>
    <x v="0"/>
    <x v="0"/>
  </r>
  <r>
    <x v="0"/>
    <x v="2"/>
  </r>
  <r>
    <x v="0"/>
    <x v="2"/>
  </r>
  <r>
    <x v="0"/>
    <x v="0"/>
  </r>
  <r>
    <x v="0"/>
    <x v="2"/>
  </r>
  <r>
    <x v="0"/>
    <x v="2"/>
  </r>
  <r>
    <x v="0"/>
    <x v="1"/>
  </r>
  <r>
    <x v="0"/>
    <x v="0"/>
  </r>
  <r>
    <x v="0"/>
    <x v="2"/>
  </r>
  <r>
    <x v="0"/>
    <x v="1"/>
  </r>
  <r>
    <x v="1"/>
    <x v="1"/>
  </r>
  <r>
    <x v="0"/>
    <x v="2"/>
  </r>
  <r>
    <x v="0"/>
    <x v="2"/>
  </r>
  <r>
    <x v="0"/>
    <x v="1"/>
  </r>
  <r>
    <x v="0"/>
    <x v="0"/>
  </r>
  <r>
    <x v="0"/>
    <x v="0"/>
  </r>
  <r>
    <x v="0"/>
    <x v="2"/>
  </r>
  <r>
    <x v="0"/>
    <x v="2"/>
  </r>
  <r>
    <x v="1"/>
    <x v="1"/>
  </r>
  <r>
    <x v="0"/>
    <x v="0"/>
  </r>
  <r>
    <x v="0"/>
    <x v="2"/>
  </r>
  <r>
    <x v="0"/>
    <x v="2"/>
  </r>
  <r>
    <x v="0"/>
    <x v="0"/>
  </r>
  <r>
    <x v="0"/>
    <x v="2"/>
  </r>
  <r>
    <x v="0"/>
    <x v="1"/>
  </r>
  <r>
    <x v="0"/>
    <x v="2"/>
  </r>
  <r>
    <x v="0"/>
    <x v="1"/>
  </r>
  <r>
    <x v="0"/>
    <x v="2"/>
  </r>
  <r>
    <x v="0"/>
    <x v="2"/>
  </r>
  <r>
    <x v="1"/>
    <x v="1"/>
  </r>
  <r>
    <x v="1"/>
    <x v="1"/>
  </r>
  <r>
    <x v="1"/>
    <x v="2"/>
  </r>
  <r>
    <x v="0"/>
    <x v="2"/>
  </r>
  <r>
    <x v="0"/>
    <x v="2"/>
  </r>
  <r>
    <x v="0"/>
    <x v="0"/>
  </r>
  <r>
    <x v="0"/>
    <x v="1"/>
  </r>
  <r>
    <x v="1"/>
    <x v="1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1"/>
  </r>
  <r>
    <x v="1"/>
    <x v="1"/>
  </r>
  <r>
    <x v="0"/>
    <x v="2"/>
  </r>
  <r>
    <x v="0"/>
    <x v="1"/>
  </r>
  <r>
    <x v="0"/>
    <x v="1"/>
  </r>
  <r>
    <x v="0"/>
    <x v="2"/>
  </r>
  <r>
    <x v="0"/>
    <x v="1"/>
  </r>
  <r>
    <x v="0"/>
    <x v="2"/>
  </r>
  <r>
    <x v="0"/>
    <x v="1"/>
  </r>
  <r>
    <x v="0"/>
    <x v="2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0"/>
    <x v="0"/>
  </r>
  <r>
    <x v="0"/>
    <x v="0"/>
  </r>
  <r>
    <x v="0"/>
    <x v="2"/>
  </r>
  <r>
    <x v="0"/>
    <x v="1"/>
  </r>
  <r>
    <x v="1"/>
    <x v="2"/>
  </r>
  <r>
    <x v="1"/>
    <x v="0"/>
  </r>
  <r>
    <x v="0"/>
    <x v="2"/>
  </r>
  <r>
    <x v="0"/>
    <x v="2"/>
  </r>
  <r>
    <x v="1"/>
    <x v="1"/>
  </r>
  <r>
    <x v="0"/>
    <x v="0"/>
  </r>
  <r>
    <x v="0"/>
    <x v="1"/>
  </r>
  <r>
    <x v="1"/>
    <x v="1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2"/>
  </r>
  <r>
    <x v="0"/>
    <x v="2"/>
  </r>
  <r>
    <x v="0"/>
    <x v="2"/>
  </r>
  <r>
    <x v="0"/>
    <x v="2"/>
  </r>
  <r>
    <x v="0"/>
    <x v="0"/>
  </r>
  <r>
    <x v="0"/>
    <x v="0"/>
  </r>
  <r>
    <x v="0"/>
    <x v="1"/>
  </r>
  <r>
    <x v="0"/>
    <x v="2"/>
  </r>
  <r>
    <x v="1"/>
    <x v="2"/>
  </r>
  <r>
    <x v="0"/>
    <x v="2"/>
  </r>
  <r>
    <x v="0"/>
    <x v="2"/>
  </r>
  <r>
    <x v="0"/>
    <x v="2"/>
  </r>
  <r>
    <x v="1"/>
    <x v="1"/>
  </r>
  <r>
    <x v="1"/>
    <x v="2"/>
  </r>
  <r>
    <x v="0"/>
    <x v="0"/>
  </r>
  <r>
    <x v="0"/>
    <x v="2"/>
  </r>
  <r>
    <x v="0"/>
    <x v="2"/>
  </r>
  <r>
    <x v="0"/>
    <x v="0"/>
  </r>
  <r>
    <x v="0"/>
    <x v="2"/>
  </r>
  <r>
    <x v="0"/>
    <x v="2"/>
  </r>
  <r>
    <x v="0"/>
    <x v="1"/>
  </r>
  <r>
    <x v="0"/>
    <x v="2"/>
  </r>
  <r>
    <x v="0"/>
    <x v="2"/>
  </r>
  <r>
    <x v="0"/>
    <x v="0"/>
  </r>
  <r>
    <x v="0"/>
    <x v="2"/>
  </r>
  <r>
    <x v="0"/>
    <x v="1"/>
  </r>
  <r>
    <x v="0"/>
    <x v="1"/>
  </r>
  <r>
    <x v="1"/>
    <x v="1"/>
  </r>
  <r>
    <x v="0"/>
    <x v="0"/>
  </r>
  <r>
    <x v="0"/>
    <x v="2"/>
  </r>
  <r>
    <x v="1"/>
    <x v="2"/>
  </r>
  <r>
    <x v="0"/>
    <x v="2"/>
  </r>
  <r>
    <x v="0"/>
    <x v="2"/>
  </r>
  <r>
    <x v="0"/>
    <x v="0"/>
  </r>
  <r>
    <x v="0"/>
    <x v="0"/>
  </r>
  <r>
    <x v="1"/>
    <x v="2"/>
  </r>
  <r>
    <x v="0"/>
    <x v="2"/>
  </r>
  <r>
    <x v="0"/>
    <x v="1"/>
  </r>
  <r>
    <x v="0"/>
    <x v="0"/>
  </r>
  <r>
    <x v="0"/>
    <x v="1"/>
  </r>
  <r>
    <x v="1"/>
    <x v="1"/>
  </r>
  <r>
    <x v="0"/>
    <x v="2"/>
  </r>
  <r>
    <x v="0"/>
    <x v="2"/>
  </r>
  <r>
    <x v="0"/>
    <x v="0"/>
  </r>
  <r>
    <x v="0"/>
    <x v="2"/>
  </r>
  <r>
    <x v="0"/>
    <x v="1"/>
  </r>
  <r>
    <x v="0"/>
    <x v="0"/>
  </r>
  <r>
    <x v="0"/>
    <x v="2"/>
  </r>
  <r>
    <x v="1"/>
    <x v="2"/>
  </r>
  <r>
    <x v="0"/>
    <x v="0"/>
  </r>
  <r>
    <x v="0"/>
    <x v="1"/>
  </r>
  <r>
    <x v="0"/>
    <x v="1"/>
  </r>
  <r>
    <x v="0"/>
    <x v="0"/>
  </r>
  <r>
    <x v="0"/>
    <x v="1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0"/>
    <x v="2"/>
  </r>
  <r>
    <x v="0"/>
    <x v="2"/>
  </r>
  <r>
    <x v="0"/>
    <x v="1"/>
  </r>
  <r>
    <x v="0"/>
    <x v="2"/>
  </r>
  <r>
    <x v="0"/>
    <x v="1"/>
  </r>
  <r>
    <x v="1"/>
    <x v="0"/>
  </r>
  <r>
    <x v="0"/>
    <x v="0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0"/>
    <x v="1"/>
  </r>
  <r>
    <x v="0"/>
    <x v="2"/>
  </r>
  <r>
    <x v="0"/>
    <x v="0"/>
  </r>
  <r>
    <x v="0"/>
    <x v="0"/>
  </r>
  <r>
    <x v="0"/>
    <x v="1"/>
  </r>
  <r>
    <x v="1"/>
    <x v="1"/>
  </r>
  <r>
    <x v="0"/>
    <x v="2"/>
  </r>
  <r>
    <x v="0"/>
    <x v="1"/>
  </r>
  <r>
    <x v="0"/>
    <x v="0"/>
  </r>
  <r>
    <x v="1"/>
    <x v="1"/>
  </r>
  <r>
    <x v="0"/>
    <x v="0"/>
  </r>
  <r>
    <x v="0"/>
    <x v="0"/>
  </r>
  <r>
    <x v="0"/>
    <x v="2"/>
  </r>
  <r>
    <x v="1"/>
    <x v="1"/>
  </r>
  <r>
    <x v="0"/>
    <x v="1"/>
  </r>
  <r>
    <x v="1"/>
    <x v="2"/>
  </r>
  <r>
    <x v="0"/>
    <x v="1"/>
  </r>
  <r>
    <x v="0"/>
    <x v="1"/>
  </r>
  <r>
    <x v="0"/>
    <x v="2"/>
  </r>
  <r>
    <x v="1"/>
    <x v="1"/>
  </r>
  <r>
    <x v="0"/>
    <x v="0"/>
  </r>
  <r>
    <x v="0"/>
    <x v="0"/>
  </r>
  <r>
    <x v="0"/>
    <x v="2"/>
  </r>
  <r>
    <x v="0"/>
    <x v="2"/>
  </r>
  <r>
    <x v="0"/>
    <x v="2"/>
  </r>
  <r>
    <x v="0"/>
    <x v="1"/>
  </r>
  <r>
    <x v="0"/>
    <x v="2"/>
  </r>
  <r>
    <x v="0"/>
    <x v="2"/>
  </r>
  <r>
    <x v="0"/>
    <x v="1"/>
  </r>
  <r>
    <x v="1"/>
    <x v="1"/>
  </r>
  <r>
    <x v="0"/>
    <x v="1"/>
  </r>
  <r>
    <x v="0"/>
    <x v="2"/>
  </r>
  <r>
    <x v="0"/>
    <x v="1"/>
  </r>
  <r>
    <x v="0"/>
    <x v="2"/>
  </r>
  <r>
    <x v="0"/>
    <x v="1"/>
  </r>
  <r>
    <x v="0"/>
    <x v="2"/>
  </r>
  <r>
    <x v="0"/>
    <x v="1"/>
  </r>
  <r>
    <x v="0"/>
    <x v="2"/>
  </r>
  <r>
    <x v="0"/>
    <x v="1"/>
  </r>
  <r>
    <x v="0"/>
    <x v="1"/>
  </r>
  <r>
    <x v="0"/>
    <x v="1"/>
  </r>
  <r>
    <x v="1"/>
    <x v="2"/>
  </r>
  <r>
    <x v="0"/>
    <x v="1"/>
  </r>
  <r>
    <x v="0"/>
    <x v="1"/>
  </r>
  <r>
    <x v="0"/>
    <x v="2"/>
  </r>
  <r>
    <x v="1"/>
    <x v="1"/>
  </r>
  <r>
    <x v="0"/>
    <x v="0"/>
  </r>
  <r>
    <x v="0"/>
    <x v="2"/>
  </r>
  <r>
    <x v="1"/>
    <x v="1"/>
  </r>
  <r>
    <x v="0"/>
    <x v="2"/>
  </r>
  <r>
    <x v="0"/>
    <x v="1"/>
  </r>
  <r>
    <x v="0"/>
    <x v="0"/>
  </r>
  <r>
    <x v="0"/>
    <x v="1"/>
  </r>
  <r>
    <x v="0"/>
    <x v="0"/>
  </r>
  <r>
    <x v="0"/>
    <x v="0"/>
  </r>
  <r>
    <x v="0"/>
    <x v="2"/>
  </r>
  <r>
    <x v="0"/>
    <x v="2"/>
  </r>
  <r>
    <x v="0"/>
    <x v="2"/>
  </r>
  <r>
    <x v="0"/>
    <x v="2"/>
  </r>
  <r>
    <x v="0"/>
    <x v="2"/>
  </r>
  <r>
    <x v="0"/>
    <x v="0"/>
  </r>
  <r>
    <x v="1"/>
    <x v="2"/>
  </r>
  <r>
    <x v="1"/>
    <x v="1"/>
  </r>
  <r>
    <x v="1"/>
    <x v="1"/>
  </r>
  <r>
    <x v="0"/>
    <x v="0"/>
  </r>
  <r>
    <x v="1"/>
    <x v="1"/>
  </r>
  <r>
    <x v="0"/>
    <x v="1"/>
  </r>
  <r>
    <x v="0"/>
    <x v="1"/>
  </r>
  <r>
    <x v="0"/>
    <x v="2"/>
  </r>
  <r>
    <x v="0"/>
    <x v="1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1"/>
    <x v="1"/>
  </r>
  <r>
    <x v="1"/>
    <x v="2"/>
  </r>
  <r>
    <x v="0"/>
    <x v="0"/>
  </r>
  <r>
    <x v="0"/>
    <x v="2"/>
  </r>
  <r>
    <x v="0"/>
    <x v="2"/>
  </r>
  <r>
    <x v="1"/>
    <x v="1"/>
  </r>
  <r>
    <x v="0"/>
    <x v="2"/>
  </r>
  <r>
    <x v="0"/>
    <x v="0"/>
  </r>
  <r>
    <x v="1"/>
    <x v="2"/>
  </r>
  <r>
    <x v="0"/>
    <x v="2"/>
  </r>
  <r>
    <x v="0"/>
    <x v="2"/>
  </r>
  <r>
    <x v="0"/>
    <x v="2"/>
  </r>
  <r>
    <x v="0"/>
    <x v="1"/>
  </r>
  <r>
    <x v="0"/>
    <x v="1"/>
  </r>
  <r>
    <x v="0"/>
    <x v="0"/>
  </r>
  <r>
    <x v="1"/>
    <x v="2"/>
  </r>
  <r>
    <x v="0"/>
    <x v="0"/>
  </r>
  <r>
    <x v="0"/>
    <x v="2"/>
  </r>
  <r>
    <x v="1"/>
    <x v="1"/>
  </r>
  <r>
    <x v="0"/>
    <x v="1"/>
  </r>
  <r>
    <x v="1"/>
    <x v="2"/>
  </r>
  <r>
    <x v="0"/>
    <x v="0"/>
  </r>
  <r>
    <x v="0"/>
    <x v="0"/>
  </r>
  <r>
    <x v="0"/>
    <x v="2"/>
  </r>
  <r>
    <x v="0"/>
    <x v="2"/>
  </r>
  <r>
    <x v="0"/>
    <x v="0"/>
  </r>
  <r>
    <x v="0"/>
    <x v="2"/>
  </r>
  <r>
    <x v="0"/>
    <x v="1"/>
  </r>
  <r>
    <x v="1"/>
    <x v="2"/>
  </r>
  <r>
    <x v="0"/>
    <x v="2"/>
  </r>
  <r>
    <x v="0"/>
    <x v="1"/>
  </r>
  <r>
    <x v="0"/>
    <x v="2"/>
  </r>
  <r>
    <x v="0"/>
    <x v="0"/>
  </r>
  <r>
    <x v="1"/>
    <x v="2"/>
  </r>
  <r>
    <x v="0"/>
    <x v="0"/>
  </r>
  <r>
    <x v="0"/>
    <x v="1"/>
  </r>
  <r>
    <x v="0"/>
    <x v="0"/>
  </r>
  <r>
    <x v="1"/>
    <x v="1"/>
  </r>
  <r>
    <x v="0"/>
    <x v="1"/>
  </r>
  <r>
    <x v="0"/>
    <x v="0"/>
  </r>
  <r>
    <x v="0"/>
    <x v="2"/>
  </r>
  <r>
    <x v="0"/>
    <x v="0"/>
  </r>
  <r>
    <x v="0"/>
    <x v="2"/>
  </r>
  <r>
    <x v="0"/>
    <x v="1"/>
  </r>
  <r>
    <x v="0"/>
    <x v="2"/>
  </r>
  <r>
    <x v="0"/>
    <x v="2"/>
  </r>
  <r>
    <x v="0"/>
    <x v="1"/>
  </r>
  <r>
    <x v="0"/>
    <x v="2"/>
  </r>
  <r>
    <x v="0"/>
    <x v="1"/>
  </r>
  <r>
    <x v="0"/>
    <x v="2"/>
  </r>
  <r>
    <x v="0"/>
    <x v="0"/>
  </r>
  <r>
    <x v="0"/>
    <x v="1"/>
  </r>
  <r>
    <x v="0"/>
    <x v="2"/>
  </r>
  <r>
    <x v="0"/>
    <x v="2"/>
  </r>
  <r>
    <x v="0"/>
    <x v="2"/>
  </r>
  <r>
    <x v="0"/>
    <x v="1"/>
  </r>
  <r>
    <x v="0"/>
    <x v="2"/>
  </r>
  <r>
    <x v="0"/>
    <x v="2"/>
  </r>
  <r>
    <x v="0"/>
    <x v="2"/>
  </r>
  <r>
    <x v="0"/>
    <x v="1"/>
  </r>
  <r>
    <x v="0"/>
    <x v="2"/>
  </r>
  <r>
    <x v="0"/>
    <x v="2"/>
  </r>
  <r>
    <x v="0"/>
    <x v="2"/>
  </r>
  <r>
    <x v="0"/>
    <x v="2"/>
  </r>
  <r>
    <x v="0"/>
    <x v="1"/>
  </r>
  <r>
    <x v="0"/>
    <x v="1"/>
  </r>
  <r>
    <x v="1"/>
    <x v="2"/>
  </r>
  <r>
    <x v="0"/>
    <x v="1"/>
  </r>
  <r>
    <x v="0"/>
    <x v="2"/>
  </r>
  <r>
    <x v="0"/>
    <x v="2"/>
  </r>
  <r>
    <x v="1"/>
    <x v="1"/>
  </r>
  <r>
    <x v="0"/>
    <x v="2"/>
  </r>
  <r>
    <x v="0"/>
    <x v="2"/>
  </r>
  <r>
    <x v="0"/>
    <x v="2"/>
  </r>
  <r>
    <x v="0"/>
    <x v="0"/>
  </r>
  <r>
    <x v="0"/>
    <x v="1"/>
  </r>
  <r>
    <x v="0"/>
    <x v="1"/>
  </r>
  <r>
    <x v="0"/>
    <x v="1"/>
  </r>
  <r>
    <x v="0"/>
    <x v="0"/>
  </r>
  <r>
    <x v="0"/>
    <x v="2"/>
  </r>
  <r>
    <x v="0"/>
    <x v="1"/>
  </r>
  <r>
    <x v="0"/>
    <x v="2"/>
  </r>
  <r>
    <x v="0"/>
    <x v="2"/>
  </r>
  <r>
    <x v="0"/>
    <x v="2"/>
  </r>
  <r>
    <x v="0"/>
    <x v="2"/>
  </r>
  <r>
    <x v="0"/>
    <x v="0"/>
  </r>
  <r>
    <x v="1"/>
    <x v="1"/>
  </r>
  <r>
    <x v="0"/>
    <x v="1"/>
  </r>
  <r>
    <x v="0"/>
    <x v="2"/>
  </r>
  <r>
    <x v="0"/>
    <x v="2"/>
  </r>
  <r>
    <x v="1"/>
    <x v="1"/>
  </r>
  <r>
    <x v="1"/>
    <x v="2"/>
  </r>
  <r>
    <x v="0"/>
    <x v="2"/>
  </r>
  <r>
    <x v="0"/>
    <x v="2"/>
  </r>
  <r>
    <x v="0"/>
    <x v="0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0"/>
    <x v="2"/>
  </r>
  <r>
    <x v="1"/>
    <x v="1"/>
  </r>
  <r>
    <x v="0"/>
    <x v="2"/>
  </r>
  <r>
    <x v="0"/>
    <x v="1"/>
  </r>
  <r>
    <x v="0"/>
    <x v="0"/>
  </r>
  <r>
    <x v="0"/>
    <x v="1"/>
  </r>
  <r>
    <x v="0"/>
    <x v="1"/>
  </r>
  <r>
    <x v="0"/>
    <x v="2"/>
  </r>
  <r>
    <x v="0"/>
    <x v="1"/>
  </r>
  <r>
    <x v="1"/>
    <x v="2"/>
  </r>
  <r>
    <x v="1"/>
    <x v="1"/>
  </r>
  <r>
    <x v="0"/>
    <x v="0"/>
  </r>
  <r>
    <x v="0"/>
    <x v="2"/>
  </r>
  <r>
    <x v="0"/>
    <x v="2"/>
  </r>
  <r>
    <x v="0"/>
    <x v="0"/>
  </r>
  <r>
    <x v="0"/>
    <x v="2"/>
  </r>
  <r>
    <x v="0"/>
    <x v="2"/>
  </r>
  <r>
    <x v="1"/>
    <x v="1"/>
  </r>
  <r>
    <x v="0"/>
    <x v="0"/>
  </r>
  <r>
    <x v="0"/>
    <x v="1"/>
  </r>
  <r>
    <x v="0"/>
    <x v="1"/>
  </r>
  <r>
    <x v="1"/>
    <x v="1"/>
  </r>
  <r>
    <x v="0"/>
    <x v="0"/>
  </r>
  <r>
    <x v="0"/>
    <x v="2"/>
  </r>
  <r>
    <x v="0"/>
    <x v="0"/>
  </r>
  <r>
    <x v="0"/>
    <x v="2"/>
  </r>
  <r>
    <x v="0"/>
    <x v="1"/>
  </r>
  <r>
    <x v="0"/>
    <x v="2"/>
  </r>
  <r>
    <x v="0"/>
    <x v="1"/>
  </r>
  <r>
    <x v="0"/>
    <x v="1"/>
  </r>
  <r>
    <x v="0"/>
    <x v="0"/>
  </r>
  <r>
    <x v="0"/>
    <x v="2"/>
  </r>
  <r>
    <x v="0"/>
    <x v="2"/>
  </r>
  <r>
    <x v="0"/>
    <x v="2"/>
  </r>
  <r>
    <x v="0"/>
    <x v="0"/>
  </r>
  <r>
    <x v="0"/>
    <x v="2"/>
  </r>
  <r>
    <x v="1"/>
    <x v="0"/>
  </r>
  <r>
    <x v="0"/>
    <x v="0"/>
  </r>
  <r>
    <x v="0"/>
    <x v="0"/>
  </r>
  <r>
    <x v="0"/>
    <x v="1"/>
  </r>
  <r>
    <x v="1"/>
    <x v="2"/>
  </r>
  <r>
    <x v="1"/>
    <x v="0"/>
  </r>
  <r>
    <x v="0"/>
    <x v="2"/>
  </r>
  <r>
    <x v="1"/>
    <x v="1"/>
  </r>
  <r>
    <x v="0"/>
    <x v="2"/>
  </r>
  <r>
    <x v="0"/>
    <x v="1"/>
  </r>
  <r>
    <x v="1"/>
    <x v="1"/>
  </r>
  <r>
    <x v="0"/>
    <x v="1"/>
  </r>
  <r>
    <x v="0"/>
    <x v="0"/>
  </r>
  <r>
    <x v="0"/>
    <x v="1"/>
  </r>
  <r>
    <x v="0"/>
    <x v="2"/>
  </r>
  <r>
    <x v="1"/>
    <x v="1"/>
  </r>
  <r>
    <x v="0"/>
    <x v="2"/>
  </r>
  <r>
    <x v="0"/>
    <x v="2"/>
  </r>
  <r>
    <x v="0"/>
    <x v="0"/>
  </r>
  <r>
    <x v="0"/>
    <x v="1"/>
  </r>
  <r>
    <x v="0"/>
    <x v="1"/>
  </r>
  <r>
    <x v="0"/>
    <x v="2"/>
  </r>
  <r>
    <x v="0"/>
    <x v="0"/>
  </r>
  <r>
    <x v="0"/>
    <x v="0"/>
  </r>
  <r>
    <x v="0"/>
    <x v="0"/>
  </r>
  <r>
    <x v="0"/>
    <x v="1"/>
  </r>
  <r>
    <x v="0"/>
    <x v="1"/>
  </r>
  <r>
    <x v="0"/>
    <x v="2"/>
  </r>
  <r>
    <x v="1"/>
    <x v="0"/>
  </r>
  <r>
    <x v="1"/>
    <x v="2"/>
  </r>
  <r>
    <x v="0"/>
    <x v="2"/>
  </r>
  <r>
    <x v="0"/>
    <x v="1"/>
  </r>
  <r>
    <x v="0"/>
    <x v="0"/>
  </r>
  <r>
    <x v="0"/>
    <x v="1"/>
  </r>
  <r>
    <x v="1"/>
    <x v="0"/>
  </r>
  <r>
    <x v="0"/>
    <x v="2"/>
  </r>
  <r>
    <x v="0"/>
    <x v="2"/>
  </r>
  <r>
    <x v="0"/>
    <x v="2"/>
  </r>
  <r>
    <x v="0"/>
    <x v="2"/>
  </r>
  <r>
    <x v="0"/>
    <x v="0"/>
  </r>
  <r>
    <x v="0"/>
    <x v="2"/>
  </r>
  <r>
    <x v="0"/>
    <x v="2"/>
  </r>
  <r>
    <x v="0"/>
    <x v="2"/>
  </r>
  <r>
    <x v="0"/>
    <x v="2"/>
  </r>
  <r>
    <x v="0"/>
    <x v="0"/>
  </r>
  <r>
    <x v="0"/>
    <x v="2"/>
  </r>
  <r>
    <x v="0"/>
    <x v="0"/>
  </r>
  <r>
    <x v="1"/>
    <x v="1"/>
  </r>
  <r>
    <x v="0"/>
    <x v="2"/>
  </r>
  <r>
    <x v="1"/>
    <x v="1"/>
  </r>
  <r>
    <x v="0"/>
    <x v="0"/>
  </r>
  <r>
    <x v="0"/>
    <x v="2"/>
  </r>
  <r>
    <x v="1"/>
    <x v="2"/>
  </r>
  <r>
    <x v="0"/>
    <x v="1"/>
  </r>
  <r>
    <x v="1"/>
    <x v="1"/>
  </r>
  <r>
    <x v="0"/>
    <x v="0"/>
  </r>
  <r>
    <x v="0"/>
    <x v="1"/>
  </r>
  <r>
    <x v="0"/>
    <x v="2"/>
  </r>
  <r>
    <x v="0"/>
    <x v="1"/>
  </r>
  <r>
    <x v="1"/>
    <x v="1"/>
  </r>
  <r>
    <x v="0"/>
    <x v="2"/>
  </r>
  <r>
    <x v="0"/>
    <x v="2"/>
  </r>
  <r>
    <x v="0"/>
    <x v="2"/>
  </r>
  <r>
    <x v="0"/>
    <x v="2"/>
  </r>
  <r>
    <x v="1"/>
    <x v="2"/>
  </r>
  <r>
    <x v="0"/>
    <x v="2"/>
  </r>
  <r>
    <x v="0"/>
    <x v="1"/>
  </r>
  <r>
    <x v="0"/>
    <x v="2"/>
  </r>
  <r>
    <x v="0"/>
    <x v="1"/>
  </r>
  <r>
    <x v="0"/>
    <x v="2"/>
  </r>
  <r>
    <x v="0"/>
    <x v="0"/>
  </r>
  <r>
    <x v="0"/>
    <x v="2"/>
  </r>
  <r>
    <x v="0"/>
    <x v="0"/>
  </r>
  <r>
    <x v="0"/>
    <x v="1"/>
  </r>
  <r>
    <x v="0"/>
    <x v="2"/>
  </r>
  <r>
    <x v="0"/>
    <x v="1"/>
  </r>
  <r>
    <x v="1"/>
    <x v="2"/>
  </r>
  <r>
    <x v="0"/>
    <x v="2"/>
  </r>
  <r>
    <x v="0"/>
    <x v="1"/>
  </r>
  <r>
    <x v="1"/>
    <x v="1"/>
  </r>
  <r>
    <x v="0"/>
    <x v="0"/>
  </r>
  <r>
    <x v="0"/>
    <x v="2"/>
  </r>
  <r>
    <x v="0"/>
    <x v="2"/>
  </r>
  <r>
    <x v="0"/>
    <x v="0"/>
  </r>
  <r>
    <x v="0"/>
    <x v="1"/>
  </r>
  <r>
    <x v="0"/>
    <x v="1"/>
  </r>
  <r>
    <x v="0"/>
    <x v="2"/>
  </r>
  <r>
    <x v="0"/>
    <x v="2"/>
  </r>
  <r>
    <x v="0"/>
    <x v="0"/>
  </r>
  <r>
    <x v="1"/>
    <x v="1"/>
  </r>
  <r>
    <x v="0"/>
    <x v="2"/>
  </r>
  <r>
    <x v="0"/>
    <x v="0"/>
  </r>
  <r>
    <x v="1"/>
    <x v="2"/>
  </r>
  <r>
    <x v="1"/>
    <x v="2"/>
  </r>
  <r>
    <x v="1"/>
    <x v="2"/>
  </r>
  <r>
    <x v="0"/>
    <x v="1"/>
  </r>
  <r>
    <x v="0"/>
    <x v="1"/>
  </r>
  <r>
    <x v="0"/>
    <x v="2"/>
  </r>
  <r>
    <x v="0"/>
    <x v="1"/>
  </r>
  <r>
    <x v="0"/>
    <x v="2"/>
  </r>
  <r>
    <x v="0"/>
    <x v="1"/>
  </r>
  <r>
    <x v="0"/>
    <x v="2"/>
  </r>
  <r>
    <x v="0"/>
    <x v="0"/>
  </r>
  <r>
    <x v="0"/>
    <x v="2"/>
  </r>
  <r>
    <x v="0"/>
    <x v="1"/>
  </r>
  <r>
    <x v="0"/>
    <x v="0"/>
  </r>
  <r>
    <x v="0"/>
    <x v="0"/>
  </r>
  <r>
    <x v="1"/>
    <x v="0"/>
  </r>
  <r>
    <x v="0"/>
    <x v="1"/>
  </r>
  <r>
    <x v="0"/>
    <x v="0"/>
  </r>
  <r>
    <x v="0"/>
    <x v="1"/>
  </r>
  <r>
    <x v="1"/>
    <x v="1"/>
  </r>
  <r>
    <x v="1"/>
    <x v="1"/>
  </r>
  <r>
    <x v="0"/>
    <x v="2"/>
  </r>
  <r>
    <x v="1"/>
    <x v="2"/>
  </r>
  <r>
    <x v="0"/>
    <x v="2"/>
  </r>
  <r>
    <x v="0"/>
    <x v="1"/>
  </r>
  <r>
    <x v="0"/>
    <x v="2"/>
  </r>
  <r>
    <x v="0"/>
    <x v="2"/>
  </r>
  <r>
    <x v="0"/>
    <x v="2"/>
  </r>
  <r>
    <x v="1"/>
    <x v="1"/>
  </r>
  <r>
    <x v="1"/>
    <x v="1"/>
  </r>
  <r>
    <x v="0"/>
    <x v="2"/>
  </r>
  <r>
    <x v="0"/>
    <x v="1"/>
  </r>
  <r>
    <x v="0"/>
    <x v="2"/>
  </r>
  <r>
    <x v="0"/>
    <x v="2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0"/>
    <x v="1"/>
  </r>
  <r>
    <x v="1"/>
    <x v="2"/>
  </r>
  <r>
    <x v="0"/>
    <x v="2"/>
  </r>
  <r>
    <x v="0"/>
    <x v="1"/>
  </r>
  <r>
    <x v="0"/>
    <x v="0"/>
  </r>
  <r>
    <x v="0"/>
    <x v="0"/>
  </r>
  <r>
    <x v="0"/>
    <x v="1"/>
  </r>
  <r>
    <x v="1"/>
    <x v="2"/>
  </r>
  <r>
    <x v="1"/>
    <x v="1"/>
  </r>
  <r>
    <x v="0"/>
    <x v="1"/>
  </r>
  <r>
    <x v="0"/>
    <x v="0"/>
  </r>
  <r>
    <x v="0"/>
    <x v="2"/>
  </r>
  <r>
    <x v="0"/>
    <x v="2"/>
  </r>
  <r>
    <x v="0"/>
    <x v="1"/>
  </r>
  <r>
    <x v="0"/>
    <x v="2"/>
  </r>
  <r>
    <x v="1"/>
    <x v="2"/>
  </r>
  <r>
    <x v="0"/>
    <x v="2"/>
  </r>
  <r>
    <x v="0"/>
    <x v="1"/>
  </r>
  <r>
    <x v="0"/>
    <x v="2"/>
  </r>
  <r>
    <x v="0"/>
    <x v="1"/>
  </r>
  <r>
    <x v="0"/>
    <x v="2"/>
  </r>
  <r>
    <x v="0"/>
    <x v="0"/>
  </r>
  <r>
    <x v="0"/>
    <x v="0"/>
  </r>
  <r>
    <x v="1"/>
    <x v="1"/>
  </r>
  <r>
    <x v="0"/>
    <x v="2"/>
  </r>
  <r>
    <x v="1"/>
    <x v="2"/>
  </r>
  <r>
    <x v="1"/>
    <x v="1"/>
  </r>
  <r>
    <x v="0"/>
    <x v="0"/>
  </r>
  <r>
    <x v="0"/>
    <x v="2"/>
  </r>
  <r>
    <x v="0"/>
    <x v="1"/>
  </r>
  <r>
    <x v="0"/>
    <x v="2"/>
  </r>
  <r>
    <x v="1"/>
    <x v="1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0"/>
  </r>
  <r>
    <x v="0"/>
    <x v="2"/>
  </r>
  <r>
    <x v="0"/>
    <x v="0"/>
  </r>
  <r>
    <x v="0"/>
    <x v="2"/>
  </r>
  <r>
    <x v="0"/>
    <x v="2"/>
  </r>
  <r>
    <x v="0"/>
    <x v="2"/>
  </r>
  <r>
    <x v="0"/>
    <x v="1"/>
  </r>
  <r>
    <x v="0"/>
    <x v="2"/>
  </r>
  <r>
    <x v="0"/>
    <x v="1"/>
  </r>
  <r>
    <x v="1"/>
    <x v="1"/>
  </r>
  <r>
    <x v="0"/>
    <x v="2"/>
  </r>
  <r>
    <x v="0"/>
    <x v="0"/>
  </r>
  <r>
    <x v="0"/>
    <x v="2"/>
  </r>
  <r>
    <x v="1"/>
    <x v="2"/>
  </r>
  <r>
    <x v="0"/>
    <x v="2"/>
  </r>
  <r>
    <x v="0"/>
    <x v="0"/>
  </r>
  <r>
    <x v="1"/>
    <x v="2"/>
  </r>
  <r>
    <x v="0"/>
    <x v="1"/>
  </r>
  <r>
    <x v="0"/>
    <x v="2"/>
  </r>
  <r>
    <x v="0"/>
    <x v="2"/>
  </r>
  <r>
    <x v="0"/>
    <x v="2"/>
  </r>
  <r>
    <x v="1"/>
    <x v="1"/>
  </r>
  <r>
    <x v="0"/>
    <x v="2"/>
  </r>
  <r>
    <x v="0"/>
    <x v="1"/>
  </r>
  <r>
    <x v="0"/>
    <x v="0"/>
  </r>
  <r>
    <x v="0"/>
    <x v="0"/>
  </r>
  <r>
    <x v="0"/>
    <x v="2"/>
  </r>
  <r>
    <x v="0"/>
    <x v="1"/>
  </r>
  <r>
    <x v="0"/>
    <x v="0"/>
  </r>
  <r>
    <x v="0"/>
    <x v="2"/>
  </r>
  <r>
    <x v="1"/>
    <x v="1"/>
  </r>
  <r>
    <x v="0"/>
    <x v="1"/>
  </r>
  <r>
    <x v="0"/>
    <x v="2"/>
  </r>
  <r>
    <x v="0"/>
    <x v="0"/>
  </r>
  <r>
    <x v="0"/>
    <x v="1"/>
  </r>
  <r>
    <x v="0"/>
    <x v="0"/>
  </r>
  <r>
    <x v="0"/>
    <x v="1"/>
  </r>
  <r>
    <x v="0"/>
    <x v="0"/>
  </r>
  <r>
    <x v="1"/>
    <x v="2"/>
  </r>
  <r>
    <x v="0"/>
    <x v="2"/>
  </r>
  <r>
    <x v="1"/>
    <x v="2"/>
  </r>
  <r>
    <x v="0"/>
    <x v="1"/>
  </r>
  <r>
    <x v="0"/>
    <x v="1"/>
  </r>
  <r>
    <x v="0"/>
    <x v="1"/>
  </r>
  <r>
    <x v="0"/>
    <x v="2"/>
  </r>
  <r>
    <x v="0"/>
    <x v="2"/>
  </r>
  <r>
    <x v="1"/>
    <x v="1"/>
  </r>
  <r>
    <x v="0"/>
    <x v="2"/>
  </r>
  <r>
    <x v="0"/>
    <x v="2"/>
  </r>
  <r>
    <x v="1"/>
    <x v="2"/>
  </r>
  <r>
    <x v="0"/>
    <x v="1"/>
  </r>
  <r>
    <x v="0"/>
    <x v="1"/>
  </r>
  <r>
    <x v="1"/>
    <x v="1"/>
  </r>
  <r>
    <x v="0"/>
    <x v="0"/>
  </r>
  <r>
    <x v="0"/>
    <x v="2"/>
  </r>
  <r>
    <x v="0"/>
    <x v="1"/>
  </r>
  <r>
    <x v="0"/>
    <x v="2"/>
  </r>
  <r>
    <x v="0"/>
    <x v="2"/>
  </r>
  <r>
    <x v="0"/>
    <x v="2"/>
  </r>
  <r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x v="0"/>
  </r>
  <r>
    <x v="1"/>
  </r>
  <r>
    <x v="1"/>
  </r>
  <r>
    <x v="2"/>
  </r>
  <r>
    <x v="1"/>
  </r>
  <r>
    <x v="0"/>
  </r>
  <r>
    <x v="2"/>
  </r>
  <r>
    <x v="0"/>
  </r>
  <r>
    <x v="2"/>
  </r>
  <r>
    <x v="2"/>
  </r>
  <r>
    <x v="2"/>
  </r>
  <r>
    <x v="0"/>
  </r>
  <r>
    <x v="1"/>
  </r>
  <r>
    <x v="2"/>
  </r>
  <r>
    <x v="1"/>
  </r>
  <r>
    <x v="2"/>
  </r>
  <r>
    <x v="2"/>
  </r>
  <r>
    <x v="2"/>
  </r>
  <r>
    <x v="2"/>
  </r>
  <r>
    <x v="2"/>
  </r>
  <r>
    <x v="0"/>
  </r>
  <r>
    <x v="2"/>
  </r>
  <r>
    <x v="0"/>
  </r>
  <r>
    <x v="1"/>
  </r>
  <r>
    <x v="1"/>
  </r>
  <r>
    <x v="2"/>
  </r>
  <r>
    <x v="2"/>
  </r>
  <r>
    <x v="1"/>
  </r>
  <r>
    <x v="1"/>
  </r>
  <r>
    <x v="2"/>
  </r>
  <r>
    <x v="0"/>
  </r>
  <r>
    <x v="2"/>
  </r>
  <r>
    <x v="2"/>
  </r>
  <r>
    <x v="2"/>
  </r>
  <r>
    <x v="1"/>
  </r>
  <r>
    <x v="2"/>
  </r>
  <r>
    <x v="2"/>
  </r>
  <r>
    <x v="0"/>
  </r>
  <r>
    <x v="1"/>
  </r>
  <r>
    <x v="2"/>
  </r>
  <r>
    <x v="0"/>
  </r>
  <r>
    <x v="1"/>
  </r>
  <r>
    <x v="0"/>
  </r>
  <r>
    <x v="1"/>
  </r>
  <r>
    <x v="2"/>
  </r>
  <r>
    <x v="1"/>
  </r>
  <r>
    <x v="1"/>
  </r>
  <r>
    <x v="0"/>
  </r>
  <r>
    <x v="1"/>
  </r>
  <r>
    <x v="0"/>
  </r>
  <r>
    <x v="1"/>
  </r>
  <r>
    <x v="2"/>
  </r>
  <r>
    <x v="2"/>
  </r>
  <r>
    <x v="2"/>
  </r>
  <r>
    <x v="1"/>
  </r>
  <r>
    <x v="0"/>
  </r>
  <r>
    <x v="0"/>
  </r>
  <r>
    <x v="1"/>
  </r>
  <r>
    <x v="0"/>
  </r>
  <r>
    <x v="1"/>
  </r>
  <r>
    <x v="2"/>
  </r>
  <r>
    <x v="2"/>
  </r>
  <r>
    <x v="2"/>
  </r>
  <r>
    <x v="1"/>
  </r>
  <r>
    <x v="2"/>
  </r>
  <r>
    <x v="0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2"/>
  </r>
  <r>
    <x v="1"/>
  </r>
  <r>
    <x v="1"/>
  </r>
  <r>
    <x v="0"/>
  </r>
  <r>
    <x v="2"/>
  </r>
  <r>
    <x v="2"/>
  </r>
  <r>
    <x v="2"/>
  </r>
  <r>
    <x v="0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2"/>
  </r>
  <r>
    <x v="2"/>
  </r>
  <r>
    <x v="0"/>
  </r>
  <r>
    <x v="2"/>
  </r>
  <r>
    <x v="2"/>
  </r>
  <r>
    <x v="2"/>
  </r>
  <r>
    <x v="0"/>
  </r>
  <r>
    <x v="2"/>
  </r>
  <r>
    <x v="2"/>
  </r>
  <r>
    <x v="1"/>
  </r>
  <r>
    <x v="2"/>
  </r>
  <r>
    <x v="2"/>
  </r>
  <r>
    <x v="2"/>
  </r>
  <r>
    <x v="2"/>
  </r>
  <r>
    <x v="1"/>
  </r>
  <r>
    <x v="0"/>
  </r>
  <r>
    <x v="2"/>
  </r>
  <r>
    <x v="1"/>
  </r>
  <r>
    <x v="0"/>
  </r>
  <r>
    <x v="2"/>
  </r>
  <r>
    <x v="1"/>
  </r>
  <r>
    <x v="1"/>
  </r>
  <r>
    <x v="2"/>
  </r>
  <r>
    <x v="0"/>
  </r>
  <r>
    <x v="1"/>
  </r>
  <r>
    <x v="2"/>
  </r>
  <r>
    <x v="1"/>
  </r>
  <r>
    <x v="0"/>
  </r>
  <r>
    <x v="1"/>
  </r>
  <r>
    <x v="1"/>
  </r>
  <r>
    <x v="2"/>
  </r>
  <r>
    <x v="1"/>
  </r>
  <r>
    <x v="2"/>
  </r>
  <r>
    <x v="1"/>
  </r>
  <r>
    <x v="0"/>
  </r>
  <r>
    <x v="0"/>
  </r>
  <r>
    <x v="1"/>
  </r>
  <r>
    <x v="2"/>
  </r>
  <r>
    <x v="2"/>
  </r>
  <r>
    <x v="0"/>
  </r>
  <r>
    <x v="2"/>
  </r>
  <r>
    <x v="2"/>
  </r>
  <r>
    <x v="2"/>
  </r>
  <r>
    <x v="2"/>
  </r>
  <r>
    <x v="1"/>
  </r>
  <r>
    <x v="2"/>
  </r>
  <r>
    <x v="0"/>
  </r>
  <r>
    <x v="0"/>
  </r>
  <r>
    <x v="2"/>
  </r>
  <r>
    <x v="0"/>
  </r>
  <r>
    <x v="2"/>
  </r>
  <r>
    <x v="2"/>
  </r>
  <r>
    <x v="2"/>
  </r>
  <r>
    <x v="1"/>
  </r>
  <r>
    <x v="0"/>
  </r>
  <r>
    <x v="0"/>
  </r>
  <r>
    <x v="1"/>
  </r>
  <r>
    <x v="2"/>
  </r>
  <r>
    <x v="1"/>
  </r>
  <r>
    <x v="0"/>
  </r>
  <r>
    <x v="2"/>
  </r>
  <r>
    <x v="2"/>
  </r>
  <r>
    <x v="0"/>
  </r>
  <r>
    <x v="2"/>
  </r>
  <r>
    <x v="2"/>
  </r>
  <r>
    <x v="2"/>
  </r>
  <r>
    <x v="1"/>
  </r>
  <r>
    <x v="0"/>
  </r>
  <r>
    <x v="1"/>
  </r>
  <r>
    <x v="2"/>
  </r>
  <r>
    <x v="1"/>
  </r>
  <r>
    <x v="2"/>
  </r>
  <r>
    <x v="0"/>
  </r>
  <r>
    <x v="0"/>
  </r>
  <r>
    <x v="0"/>
  </r>
  <r>
    <x v="0"/>
  </r>
  <r>
    <x v="2"/>
  </r>
  <r>
    <x v="2"/>
  </r>
  <r>
    <x v="0"/>
  </r>
  <r>
    <x v="0"/>
  </r>
  <r>
    <x v="1"/>
  </r>
  <r>
    <x v="2"/>
  </r>
  <r>
    <x v="2"/>
  </r>
  <r>
    <x v="1"/>
  </r>
  <r>
    <x v="1"/>
  </r>
  <r>
    <x v="0"/>
  </r>
  <r>
    <x v="0"/>
  </r>
  <r>
    <x v="1"/>
  </r>
  <r>
    <x v="1"/>
  </r>
  <r>
    <x v="2"/>
  </r>
  <r>
    <x v="2"/>
  </r>
  <r>
    <x v="0"/>
  </r>
  <r>
    <x v="0"/>
  </r>
  <r>
    <x v="0"/>
  </r>
  <r>
    <x v="2"/>
  </r>
  <r>
    <x v="2"/>
  </r>
  <r>
    <x v="2"/>
  </r>
  <r>
    <x v="0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2"/>
  </r>
  <r>
    <x v="1"/>
  </r>
  <r>
    <x v="2"/>
  </r>
  <r>
    <x v="0"/>
  </r>
  <r>
    <x v="0"/>
  </r>
  <r>
    <x v="2"/>
  </r>
  <r>
    <x v="2"/>
  </r>
  <r>
    <x v="1"/>
  </r>
  <r>
    <x v="2"/>
  </r>
  <r>
    <x v="1"/>
  </r>
  <r>
    <x v="0"/>
  </r>
  <r>
    <x v="2"/>
  </r>
  <r>
    <x v="0"/>
  </r>
  <r>
    <x v="1"/>
  </r>
  <r>
    <x v="1"/>
  </r>
  <r>
    <x v="1"/>
  </r>
  <r>
    <x v="2"/>
  </r>
  <r>
    <x v="0"/>
  </r>
  <r>
    <x v="0"/>
  </r>
  <r>
    <x v="0"/>
  </r>
  <r>
    <x v="2"/>
  </r>
  <r>
    <x v="0"/>
  </r>
  <r>
    <x v="0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1"/>
  </r>
  <r>
    <x v="2"/>
  </r>
  <r>
    <x v="2"/>
  </r>
  <r>
    <x v="2"/>
  </r>
  <r>
    <x v="0"/>
  </r>
  <r>
    <x v="1"/>
  </r>
  <r>
    <x v="2"/>
  </r>
  <r>
    <x v="0"/>
  </r>
  <r>
    <x v="2"/>
  </r>
  <r>
    <x v="0"/>
  </r>
  <r>
    <x v="0"/>
  </r>
  <r>
    <x v="1"/>
  </r>
  <r>
    <x v="2"/>
  </r>
  <r>
    <x v="0"/>
  </r>
  <r>
    <x v="1"/>
  </r>
  <r>
    <x v="0"/>
  </r>
  <r>
    <x v="0"/>
  </r>
  <r>
    <x v="2"/>
  </r>
  <r>
    <x v="0"/>
  </r>
  <r>
    <x v="1"/>
  </r>
  <r>
    <x v="1"/>
  </r>
  <r>
    <x v="2"/>
  </r>
  <r>
    <x v="2"/>
  </r>
  <r>
    <x v="2"/>
  </r>
  <r>
    <x v="2"/>
  </r>
  <r>
    <x v="0"/>
  </r>
  <r>
    <x v="1"/>
  </r>
  <r>
    <x v="0"/>
  </r>
  <r>
    <x v="2"/>
  </r>
  <r>
    <x v="2"/>
  </r>
  <r>
    <x v="0"/>
  </r>
  <r>
    <x v="2"/>
  </r>
  <r>
    <x v="2"/>
  </r>
  <r>
    <x v="1"/>
  </r>
  <r>
    <x v="0"/>
  </r>
  <r>
    <x v="2"/>
  </r>
  <r>
    <x v="1"/>
  </r>
  <r>
    <x v="1"/>
  </r>
  <r>
    <x v="2"/>
  </r>
  <r>
    <x v="2"/>
  </r>
  <r>
    <x v="1"/>
  </r>
  <r>
    <x v="0"/>
  </r>
  <r>
    <x v="0"/>
  </r>
  <r>
    <x v="2"/>
  </r>
  <r>
    <x v="2"/>
  </r>
  <r>
    <x v="1"/>
  </r>
  <r>
    <x v="0"/>
  </r>
  <r>
    <x v="2"/>
  </r>
  <r>
    <x v="2"/>
  </r>
  <r>
    <x v="0"/>
  </r>
  <r>
    <x v="2"/>
  </r>
  <r>
    <x v="1"/>
  </r>
  <r>
    <x v="2"/>
  </r>
  <r>
    <x v="1"/>
  </r>
  <r>
    <x v="2"/>
  </r>
  <r>
    <x v="2"/>
  </r>
  <r>
    <x v="1"/>
  </r>
  <r>
    <x v="1"/>
  </r>
  <r>
    <x v="2"/>
  </r>
  <r>
    <x v="2"/>
  </r>
  <r>
    <x v="2"/>
  </r>
  <r>
    <x v="0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2"/>
  </r>
  <r>
    <x v="0"/>
  </r>
  <r>
    <x v="0"/>
  </r>
  <r>
    <x v="2"/>
  </r>
  <r>
    <x v="1"/>
  </r>
  <r>
    <x v="0"/>
  </r>
  <r>
    <x v="0"/>
  </r>
  <r>
    <x v="0"/>
  </r>
  <r>
    <x v="2"/>
  </r>
  <r>
    <x v="1"/>
  </r>
  <r>
    <x v="2"/>
  </r>
  <r>
    <x v="0"/>
  </r>
  <r>
    <x v="2"/>
  </r>
  <r>
    <x v="2"/>
  </r>
  <r>
    <x v="1"/>
  </r>
  <r>
    <x v="0"/>
  </r>
  <r>
    <x v="1"/>
  </r>
  <r>
    <x v="1"/>
  </r>
  <r>
    <x v="0"/>
  </r>
  <r>
    <x v="2"/>
  </r>
  <r>
    <x v="2"/>
  </r>
  <r>
    <x v="0"/>
  </r>
  <r>
    <x v="0"/>
  </r>
  <r>
    <x v="0"/>
  </r>
  <r>
    <x v="1"/>
  </r>
  <r>
    <x v="1"/>
  </r>
  <r>
    <x v="0"/>
  </r>
  <r>
    <x v="1"/>
  </r>
  <r>
    <x v="2"/>
  </r>
  <r>
    <x v="2"/>
  </r>
  <r>
    <x v="2"/>
  </r>
  <r>
    <x v="2"/>
  </r>
  <r>
    <x v="0"/>
  </r>
  <r>
    <x v="0"/>
  </r>
  <r>
    <x v="1"/>
  </r>
  <r>
    <x v="2"/>
  </r>
  <r>
    <x v="2"/>
  </r>
  <r>
    <x v="2"/>
  </r>
  <r>
    <x v="2"/>
  </r>
  <r>
    <x v="2"/>
  </r>
  <r>
    <x v="1"/>
  </r>
  <r>
    <x v="2"/>
  </r>
  <r>
    <x v="0"/>
  </r>
  <r>
    <x v="2"/>
  </r>
  <r>
    <x v="2"/>
  </r>
  <r>
    <x v="0"/>
  </r>
  <r>
    <x v="2"/>
  </r>
  <r>
    <x v="2"/>
  </r>
  <r>
    <x v="1"/>
  </r>
  <r>
    <x v="2"/>
  </r>
  <r>
    <x v="2"/>
  </r>
  <r>
    <x v="0"/>
  </r>
  <r>
    <x v="2"/>
  </r>
  <r>
    <x v="1"/>
  </r>
  <r>
    <x v="1"/>
  </r>
  <r>
    <x v="1"/>
  </r>
  <r>
    <x v="0"/>
  </r>
  <r>
    <x v="2"/>
  </r>
  <r>
    <x v="2"/>
  </r>
  <r>
    <x v="2"/>
  </r>
  <r>
    <x v="2"/>
  </r>
  <r>
    <x v="0"/>
  </r>
  <r>
    <x v="0"/>
  </r>
  <r>
    <x v="2"/>
  </r>
  <r>
    <x v="2"/>
  </r>
  <r>
    <x v="1"/>
  </r>
  <r>
    <x v="0"/>
  </r>
  <r>
    <x v="1"/>
  </r>
  <r>
    <x v="1"/>
  </r>
  <r>
    <x v="2"/>
  </r>
  <r>
    <x v="2"/>
  </r>
  <r>
    <x v="0"/>
  </r>
  <r>
    <x v="2"/>
  </r>
  <r>
    <x v="1"/>
  </r>
  <r>
    <x v="0"/>
  </r>
  <r>
    <x v="2"/>
  </r>
  <r>
    <x v="2"/>
  </r>
  <r>
    <x v="0"/>
  </r>
  <r>
    <x v="1"/>
  </r>
  <r>
    <x v="1"/>
  </r>
  <r>
    <x v="0"/>
  </r>
  <r>
    <x v="1"/>
  </r>
  <r>
    <x v="2"/>
  </r>
  <r>
    <x v="1"/>
  </r>
  <r>
    <x v="0"/>
  </r>
  <r>
    <x v="2"/>
  </r>
  <r>
    <x v="0"/>
  </r>
  <r>
    <x v="2"/>
  </r>
  <r>
    <x v="2"/>
  </r>
  <r>
    <x v="2"/>
  </r>
  <r>
    <x v="1"/>
  </r>
  <r>
    <x v="2"/>
  </r>
  <r>
    <x v="1"/>
  </r>
  <r>
    <x v="0"/>
  </r>
  <r>
    <x v="0"/>
  </r>
  <r>
    <x v="1"/>
  </r>
  <r>
    <x v="2"/>
  </r>
  <r>
    <x v="2"/>
  </r>
  <r>
    <x v="2"/>
  </r>
  <r>
    <x v="2"/>
  </r>
  <r>
    <x v="2"/>
  </r>
  <r>
    <x v="2"/>
  </r>
  <r>
    <x v="1"/>
  </r>
  <r>
    <x v="2"/>
  </r>
  <r>
    <x v="0"/>
  </r>
  <r>
    <x v="0"/>
  </r>
  <r>
    <x v="1"/>
  </r>
  <r>
    <x v="1"/>
  </r>
  <r>
    <x v="2"/>
  </r>
  <r>
    <x v="1"/>
  </r>
  <r>
    <x v="0"/>
  </r>
  <r>
    <x v="1"/>
  </r>
  <r>
    <x v="0"/>
  </r>
  <r>
    <x v="0"/>
  </r>
  <r>
    <x v="2"/>
  </r>
  <r>
    <x v="1"/>
  </r>
  <r>
    <x v="1"/>
  </r>
  <r>
    <x v="2"/>
  </r>
  <r>
    <x v="1"/>
  </r>
  <r>
    <x v="1"/>
  </r>
  <r>
    <x v="2"/>
  </r>
  <r>
    <x v="1"/>
  </r>
  <r>
    <x v="0"/>
  </r>
  <r>
    <x v="0"/>
  </r>
  <r>
    <x v="2"/>
  </r>
  <r>
    <x v="2"/>
  </r>
  <r>
    <x v="2"/>
  </r>
  <r>
    <x v="1"/>
  </r>
  <r>
    <x v="2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0"/>
  </r>
  <r>
    <x v="2"/>
  </r>
  <r>
    <x v="1"/>
  </r>
  <r>
    <x v="2"/>
  </r>
  <r>
    <x v="1"/>
  </r>
  <r>
    <x v="0"/>
  </r>
  <r>
    <x v="1"/>
  </r>
  <r>
    <x v="0"/>
  </r>
  <r>
    <x v="0"/>
  </r>
  <r>
    <x v="2"/>
  </r>
  <r>
    <x v="2"/>
  </r>
  <r>
    <x v="2"/>
  </r>
  <r>
    <x v="2"/>
  </r>
  <r>
    <x v="2"/>
  </r>
  <r>
    <x v="0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0"/>
  </r>
  <r>
    <x v="2"/>
  </r>
  <r>
    <x v="2"/>
  </r>
  <r>
    <x v="1"/>
  </r>
  <r>
    <x v="2"/>
  </r>
  <r>
    <x v="0"/>
  </r>
  <r>
    <x v="2"/>
  </r>
  <r>
    <x v="2"/>
  </r>
  <r>
    <x v="2"/>
  </r>
  <r>
    <x v="2"/>
  </r>
  <r>
    <x v="1"/>
  </r>
  <r>
    <x v="1"/>
  </r>
  <r>
    <x v="0"/>
  </r>
  <r>
    <x v="2"/>
  </r>
  <r>
    <x v="0"/>
  </r>
  <r>
    <x v="2"/>
  </r>
  <r>
    <x v="1"/>
  </r>
  <r>
    <x v="1"/>
  </r>
  <r>
    <x v="2"/>
  </r>
  <r>
    <x v="0"/>
  </r>
  <r>
    <x v="0"/>
  </r>
  <r>
    <x v="2"/>
  </r>
  <r>
    <x v="2"/>
  </r>
  <r>
    <x v="0"/>
  </r>
  <r>
    <x v="2"/>
  </r>
  <r>
    <x v="1"/>
  </r>
  <r>
    <x v="2"/>
  </r>
  <r>
    <x v="2"/>
  </r>
  <r>
    <x v="1"/>
  </r>
  <r>
    <x v="2"/>
  </r>
  <r>
    <x v="0"/>
  </r>
  <r>
    <x v="2"/>
  </r>
  <r>
    <x v="0"/>
  </r>
  <r>
    <x v="1"/>
  </r>
  <r>
    <x v="0"/>
  </r>
  <r>
    <x v="1"/>
  </r>
  <r>
    <x v="1"/>
  </r>
  <r>
    <x v="0"/>
  </r>
  <r>
    <x v="2"/>
  </r>
  <r>
    <x v="0"/>
  </r>
  <r>
    <x v="2"/>
  </r>
  <r>
    <x v="1"/>
  </r>
  <r>
    <x v="2"/>
  </r>
  <r>
    <x v="2"/>
  </r>
  <r>
    <x v="1"/>
  </r>
  <r>
    <x v="2"/>
  </r>
  <r>
    <x v="1"/>
  </r>
  <r>
    <x v="2"/>
  </r>
  <r>
    <x v="0"/>
  </r>
  <r>
    <x v="1"/>
  </r>
  <r>
    <x v="2"/>
  </r>
  <r>
    <x v="2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1"/>
  </r>
  <r>
    <x v="1"/>
  </r>
  <r>
    <x v="2"/>
  </r>
  <r>
    <x v="1"/>
  </r>
  <r>
    <x v="2"/>
  </r>
  <r>
    <x v="2"/>
  </r>
  <r>
    <x v="1"/>
  </r>
  <r>
    <x v="2"/>
  </r>
  <r>
    <x v="2"/>
  </r>
  <r>
    <x v="2"/>
  </r>
  <r>
    <x v="0"/>
  </r>
  <r>
    <x v="1"/>
  </r>
  <r>
    <x v="1"/>
  </r>
  <r>
    <x v="1"/>
  </r>
  <r>
    <x v="0"/>
  </r>
  <r>
    <x v="2"/>
  </r>
  <r>
    <x v="1"/>
  </r>
  <r>
    <x v="2"/>
  </r>
  <r>
    <x v="2"/>
  </r>
  <r>
    <x v="2"/>
  </r>
  <r>
    <x v="2"/>
  </r>
  <r>
    <x v="0"/>
  </r>
  <r>
    <x v="1"/>
  </r>
  <r>
    <x v="1"/>
  </r>
  <r>
    <x v="2"/>
  </r>
  <r>
    <x v="2"/>
  </r>
  <r>
    <x v="1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0"/>
  </r>
  <r>
    <x v="1"/>
  </r>
  <r>
    <x v="1"/>
  </r>
  <r>
    <x v="2"/>
  </r>
  <r>
    <x v="1"/>
  </r>
  <r>
    <x v="2"/>
  </r>
  <r>
    <x v="1"/>
  </r>
  <r>
    <x v="0"/>
  </r>
  <r>
    <x v="2"/>
  </r>
  <r>
    <x v="2"/>
  </r>
  <r>
    <x v="0"/>
  </r>
  <r>
    <x v="2"/>
  </r>
  <r>
    <x v="2"/>
  </r>
  <r>
    <x v="1"/>
  </r>
  <r>
    <x v="0"/>
  </r>
  <r>
    <x v="1"/>
  </r>
  <r>
    <x v="1"/>
  </r>
  <r>
    <x v="1"/>
  </r>
  <r>
    <x v="0"/>
  </r>
  <r>
    <x v="2"/>
  </r>
  <r>
    <x v="0"/>
  </r>
  <r>
    <x v="2"/>
  </r>
  <r>
    <x v="1"/>
  </r>
  <r>
    <x v="2"/>
  </r>
  <r>
    <x v="1"/>
  </r>
  <r>
    <x v="1"/>
  </r>
  <r>
    <x v="0"/>
  </r>
  <r>
    <x v="2"/>
  </r>
  <r>
    <x v="2"/>
  </r>
  <r>
    <x v="2"/>
  </r>
  <r>
    <x v="0"/>
  </r>
  <r>
    <x v="2"/>
  </r>
  <r>
    <x v="0"/>
  </r>
  <r>
    <x v="0"/>
  </r>
  <r>
    <x v="0"/>
  </r>
  <r>
    <x v="1"/>
  </r>
  <r>
    <x v="2"/>
  </r>
  <r>
    <x v="0"/>
  </r>
  <r>
    <x v="2"/>
  </r>
  <r>
    <x v="1"/>
  </r>
  <r>
    <x v="2"/>
  </r>
  <r>
    <x v="1"/>
  </r>
  <r>
    <x v="1"/>
  </r>
  <r>
    <x v="1"/>
  </r>
  <r>
    <x v="0"/>
  </r>
  <r>
    <x v="1"/>
  </r>
  <r>
    <x v="2"/>
  </r>
  <r>
    <x v="1"/>
  </r>
  <r>
    <x v="2"/>
  </r>
  <r>
    <x v="2"/>
  </r>
  <r>
    <x v="0"/>
  </r>
  <r>
    <x v="1"/>
  </r>
  <r>
    <x v="1"/>
  </r>
  <r>
    <x v="2"/>
  </r>
  <r>
    <x v="0"/>
  </r>
  <r>
    <x v="0"/>
  </r>
  <r>
    <x v="0"/>
  </r>
  <r>
    <x v="1"/>
  </r>
  <r>
    <x v="1"/>
  </r>
  <r>
    <x v="2"/>
  </r>
  <r>
    <x v="0"/>
  </r>
  <r>
    <x v="2"/>
  </r>
  <r>
    <x v="2"/>
  </r>
  <r>
    <x v="1"/>
  </r>
  <r>
    <x v="0"/>
  </r>
  <r>
    <x v="1"/>
  </r>
  <r>
    <x v="0"/>
  </r>
  <r>
    <x v="2"/>
  </r>
  <r>
    <x v="2"/>
  </r>
  <r>
    <x v="2"/>
  </r>
  <r>
    <x v="2"/>
  </r>
  <r>
    <x v="0"/>
  </r>
  <r>
    <x v="2"/>
  </r>
  <r>
    <x v="2"/>
  </r>
  <r>
    <x v="2"/>
  </r>
  <r>
    <x v="2"/>
  </r>
  <r>
    <x v="0"/>
  </r>
  <r>
    <x v="2"/>
  </r>
  <r>
    <x v="0"/>
  </r>
  <r>
    <x v="1"/>
  </r>
  <r>
    <x v="2"/>
  </r>
  <r>
    <x v="1"/>
  </r>
  <r>
    <x v="0"/>
  </r>
  <r>
    <x v="2"/>
  </r>
  <r>
    <x v="2"/>
  </r>
  <r>
    <x v="1"/>
  </r>
  <r>
    <x v="1"/>
  </r>
  <r>
    <x v="0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0"/>
  </r>
  <r>
    <x v="2"/>
  </r>
  <r>
    <x v="0"/>
  </r>
  <r>
    <x v="1"/>
  </r>
  <r>
    <x v="2"/>
  </r>
  <r>
    <x v="1"/>
  </r>
  <r>
    <x v="2"/>
  </r>
  <r>
    <x v="2"/>
  </r>
  <r>
    <x v="1"/>
  </r>
  <r>
    <x v="1"/>
  </r>
  <r>
    <x v="0"/>
  </r>
  <r>
    <x v="2"/>
  </r>
  <r>
    <x v="2"/>
  </r>
  <r>
    <x v="0"/>
  </r>
  <r>
    <x v="1"/>
  </r>
  <r>
    <x v="1"/>
  </r>
  <r>
    <x v="2"/>
  </r>
  <r>
    <x v="2"/>
  </r>
  <r>
    <x v="0"/>
  </r>
  <r>
    <x v="1"/>
  </r>
  <r>
    <x v="2"/>
  </r>
  <r>
    <x v="0"/>
  </r>
  <r>
    <x v="2"/>
  </r>
  <r>
    <x v="2"/>
  </r>
  <r>
    <x v="2"/>
  </r>
  <r>
    <x v="1"/>
  </r>
  <r>
    <x v="1"/>
  </r>
  <r>
    <x v="2"/>
  </r>
  <r>
    <x v="1"/>
  </r>
  <r>
    <x v="2"/>
  </r>
  <r>
    <x v="1"/>
  </r>
  <r>
    <x v="2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2"/>
  </r>
  <r>
    <x v="1"/>
  </r>
  <r>
    <x v="2"/>
  </r>
  <r>
    <x v="0"/>
  </r>
  <r>
    <x v="0"/>
  </r>
  <r>
    <x v="2"/>
  </r>
  <r>
    <x v="1"/>
  </r>
  <r>
    <x v="0"/>
  </r>
  <r>
    <x v="1"/>
  </r>
  <r>
    <x v="2"/>
  </r>
  <r>
    <x v="2"/>
  </r>
  <r>
    <x v="1"/>
  </r>
  <r>
    <x v="0"/>
  </r>
  <r>
    <x v="0"/>
  </r>
  <r>
    <x v="1"/>
  </r>
  <r>
    <x v="2"/>
  </r>
  <r>
    <x v="1"/>
  </r>
  <r>
    <x v="1"/>
  </r>
  <r>
    <x v="0"/>
  </r>
  <r>
    <x v="2"/>
  </r>
  <r>
    <x v="2"/>
  </r>
  <r>
    <x v="1"/>
  </r>
  <r>
    <x v="2"/>
  </r>
  <r>
    <x v="2"/>
  </r>
  <r>
    <x v="2"/>
  </r>
  <r>
    <x v="1"/>
  </r>
  <r>
    <x v="2"/>
  </r>
  <r>
    <x v="1"/>
  </r>
  <r>
    <x v="2"/>
  </r>
  <r>
    <x v="0"/>
  </r>
  <r>
    <x v="0"/>
  </r>
  <r>
    <x v="1"/>
  </r>
  <r>
    <x v="2"/>
  </r>
  <r>
    <x v="2"/>
  </r>
  <r>
    <x v="1"/>
  </r>
  <r>
    <x v="0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0"/>
  </r>
  <r>
    <x v="2"/>
  </r>
  <r>
    <x v="0"/>
  </r>
  <r>
    <x v="2"/>
  </r>
  <r>
    <x v="2"/>
  </r>
  <r>
    <x v="2"/>
  </r>
  <r>
    <x v="1"/>
  </r>
  <r>
    <x v="2"/>
  </r>
  <r>
    <x v="1"/>
  </r>
  <r>
    <x v="1"/>
  </r>
  <r>
    <x v="2"/>
  </r>
  <r>
    <x v="0"/>
  </r>
  <r>
    <x v="2"/>
  </r>
  <r>
    <x v="2"/>
  </r>
  <r>
    <x v="2"/>
  </r>
  <r>
    <x v="0"/>
  </r>
  <r>
    <x v="2"/>
  </r>
  <r>
    <x v="1"/>
  </r>
  <r>
    <x v="2"/>
  </r>
  <r>
    <x v="2"/>
  </r>
  <r>
    <x v="2"/>
  </r>
  <r>
    <x v="1"/>
  </r>
  <r>
    <x v="2"/>
  </r>
  <r>
    <x v="1"/>
  </r>
  <r>
    <x v="0"/>
  </r>
  <r>
    <x v="0"/>
  </r>
  <r>
    <x v="2"/>
  </r>
  <r>
    <x v="1"/>
  </r>
  <r>
    <x v="0"/>
  </r>
  <r>
    <x v="2"/>
  </r>
  <r>
    <x v="1"/>
  </r>
  <r>
    <x v="1"/>
  </r>
  <r>
    <x v="2"/>
  </r>
  <r>
    <x v="0"/>
  </r>
  <r>
    <x v="1"/>
  </r>
  <r>
    <x v="0"/>
  </r>
  <r>
    <x v="1"/>
  </r>
  <r>
    <x v="0"/>
  </r>
  <r>
    <x v="2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1"/>
  </r>
  <r>
    <x v="0"/>
  </r>
  <r>
    <x v="2"/>
  </r>
  <r>
    <x v="1"/>
  </r>
  <r>
    <x v="2"/>
  </r>
  <r>
    <x v="2"/>
  </r>
  <r>
    <x v="2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1"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No"/>
    <x v="1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Yes"/>
    <x v="1"/>
  </r>
  <r>
    <s v="Yes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Yes"/>
    <x v="0"/>
  </r>
  <r>
    <s v="Yes"/>
    <x v="1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Yes"/>
    <x v="0"/>
  </r>
  <r>
    <s v="No"/>
    <x v="1"/>
  </r>
  <r>
    <s v="Yes"/>
    <x v="1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Yes"/>
    <x v="1"/>
  </r>
  <r>
    <s v="No"/>
    <x v="1"/>
  </r>
  <r>
    <s v="No"/>
    <x v="1"/>
  </r>
  <r>
    <s v="Yes"/>
    <x v="1"/>
  </r>
  <r>
    <s v="Yes"/>
    <x v="1"/>
  </r>
  <r>
    <s v="No"/>
    <x v="0"/>
  </r>
  <r>
    <s v="No"/>
    <x v="0"/>
  </r>
  <r>
    <s v="No"/>
    <x v="0"/>
  </r>
  <r>
    <s v="Yes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1"/>
  </r>
  <r>
    <s v="Yes"/>
    <x v="1"/>
  </r>
  <r>
    <s v="No"/>
    <x v="0"/>
  </r>
  <r>
    <s v="No"/>
    <x v="1"/>
  </r>
  <r>
    <s v="No"/>
    <x v="0"/>
  </r>
  <r>
    <s v="No"/>
    <x v="0"/>
  </r>
  <r>
    <s v="No"/>
    <x v="1"/>
  </r>
  <r>
    <s v="Yes"/>
    <x v="0"/>
  </r>
  <r>
    <s v="No"/>
    <x v="0"/>
  </r>
  <r>
    <s v="No"/>
    <x v="0"/>
  </r>
  <r>
    <s v="No"/>
    <x v="1"/>
  </r>
  <r>
    <s v="No"/>
    <x v="1"/>
  </r>
  <r>
    <s v="No"/>
    <x v="1"/>
  </r>
  <r>
    <s v="No"/>
    <x v="0"/>
  </r>
  <r>
    <s v="Yes"/>
    <x v="1"/>
  </r>
  <r>
    <s v="No"/>
    <x v="0"/>
  </r>
  <r>
    <s v="No"/>
    <x v="0"/>
  </r>
  <r>
    <s v="No"/>
    <x v="1"/>
  </r>
  <r>
    <s v="Yes"/>
    <x v="0"/>
  </r>
  <r>
    <s v="Yes"/>
    <x v="1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Yes"/>
    <x v="0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1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1"/>
  </r>
  <r>
    <s v="No"/>
    <x v="0"/>
  </r>
  <r>
    <s v="No"/>
    <x v="0"/>
  </r>
  <r>
    <s v="No"/>
    <x v="1"/>
  </r>
  <r>
    <s v="Yes"/>
    <x v="1"/>
  </r>
  <r>
    <s v="No"/>
    <x v="0"/>
  </r>
  <r>
    <s v="No"/>
    <x v="1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Yes"/>
    <x v="1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Yes"/>
    <x v="0"/>
  </r>
  <r>
    <s v="No"/>
    <x v="0"/>
  </r>
  <r>
    <s v="No"/>
    <x v="1"/>
  </r>
  <r>
    <s v="No"/>
    <x v="1"/>
  </r>
  <r>
    <s v="Yes"/>
    <x v="0"/>
  </r>
  <r>
    <s v="No"/>
    <x v="0"/>
  </r>
  <r>
    <s v="No"/>
    <x v="1"/>
  </r>
  <r>
    <s v="No"/>
    <x v="0"/>
  </r>
  <r>
    <s v="Yes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Yes"/>
    <x v="1"/>
  </r>
  <r>
    <s v="Yes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No"/>
    <x v="0"/>
  </r>
  <r>
    <s v="Yes"/>
    <x v="1"/>
  </r>
  <r>
    <s v="No"/>
    <x v="0"/>
  </r>
  <r>
    <s v="No"/>
    <x v="1"/>
  </r>
  <r>
    <s v="Yes"/>
    <x v="0"/>
  </r>
  <r>
    <s v="Yes"/>
    <x v="1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Yes"/>
    <x v="0"/>
  </r>
  <r>
    <s v="No"/>
    <x v="1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No"/>
    <x v="0"/>
  </r>
  <r>
    <s v="No"/>
    <x v="0"/>
  </r>
  <r>
    <s v="Yes"/>
    <x v="0"/>
  </r>
  <r>
    <s v="No"/>
    <x v="0"/>
  </r>
  <r>
    <s v="No"/>
    <x v="1"/>
  </r>
  <r>
    <s v="Yes"/>
    <x v="0"/>
  </r>
  <r>
    <s v="No"/>
    <x v="0"/>
  </r>
  <r>
    <s v="No"/>
    <x v="1"/>
  </r>
  <r>
    <s v="No"/>
    <x v="0"/>
  </r>
  <r>
    <s v="No"/>
    <x v="0"/>
  </r>
  <r>
    <s v="No"/>
    <x v="1"/>
  </r>
  <r>
    <s v="No"/>
    <x v="0"/>
  </r>
  <r>
    <s v="No"/>
    <x v="0"/>
  </r>
  <r>
    <s v="Yes"/>
    <x v="0"/>
  </r>
  <r>
    <s v="No"/>
    <x v="1"/>
  </r>
  <r>
    <s v="No"/>
    <x v="0"/>
  </r>
  <r>
    <s v="No"/>
    <x v="1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0"/>
  </r>
  <r>
    <s v="No"/>
    <x v="1"/>
  </r>
  <r>
    <s v="No"/>
    <x v="1"/>
  </r>
  <r>
    <s v="Yes"/>
    <x v="0"/>
  </r>
  <r>
    <s v="Yes"/>
    <x v="0"/>
  </r>
  <r>
    <s v="Yes"/>
    <x v="1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1"/>
  </r>
  <r>
    <s v="No"/>
    <x v="1"/>
  </r>
  <r>
    <s v="No"/>
    <x v="1"/>
  </r>
  <r>
    <s v="No"/>
    <x v="0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1"/>
  </r>
  <r>
    <s v="No"/>
    <x v="0"/>
  </r>
  <r>
    <s v="Yes"/>
    <x v="1"/>
  </r>
  <r>
    <s v="Yes"/>
    <x v="1"/>
  </r>
  <r>
    <s v="Yes"/>
    <x v="1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1"/>
  </r>
  <r>
    <s v="No"/>
    <x v="0"/>
  </r>
  <r>
    <s v="No"/>
    <x v="0"/>
  </r>
  <r>
    <s v="No"/>
    <x v="1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1"/>
  </r>
  <r>
    <s v="No"/>
    <x v="1"/>
  </r>
  <r>
    <s v="No"/>
    <x v="1"/>
  </r>
  <r>
    <s v="No"/>
    <x v="0"/>
  </r>
  <r>
    <s v="No"/>
    <x v="0"/>
  </r>
  <r>
    <s v="Yes"/>
    <x v="0"/>
  </r>
  <r>
    <s v="Yes"/>
    <x v="1"/>
  </r>
  <r>
    <s v="No"/>
    <x v="0"/>
  </r>
  <r>
    <s v="No"/>
    <x v="0"/>
  </r>
  <r>
    <s v="Yes"/>
    <x v="0"/>
  </r>
  <r>
    <s v="No"/>
    <x v="0"/>
  </r>
  <r>
    <s v="No"/>
    <x v="0"/>
  </r>
  <r>
    <s v="Yes"/>
    <x v="1"/>
  </r>
  <r>
    <s v="No"/>
    <x v="0"/>
  </r>
  <r>
    <s v="No"/>
    <x v="1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1"/>
  </r>
  <r>
    <s v="No"/>
    <x v="1"/>
  </r>
  <r>
    <s v="No"/>
    <x v="0"/>
  </r>
  <r>
    <s v="No"/>
    <x v="0"/>
  </r>
  <r>
    <s v="Yes"/>
    <x v="0"/>
  </r>
  <r>
    <s v="No"/>
    <x v="1"/>
  </r>
  <r>
    <s v="No"/>
    <x v="0"/>
  </r>
  <r>
    <s v="No"/>
    <x v="0"/>
  </r>
  <r>
    <s v="Yes"/>
    <x v="0"/>
  </r>
  <r>
    <s v="Yes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Yes"/>
    <x v="0"/>
  </r>
  <r>
    <s v="No"/>
    <x v="1"/>
  </r>
  <r>
    <s v="No"/>
    <x v="1"/>
  </r>
  <r>
    <s v="Yes"/>
    <x v="1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No"/>
    <x v="1"/>
  </r>
  <r>
    <s v="No"/>
    <x v="1"/>
  </r>
  <r>
    <s v="No"/>
    <x v="0"/>
  </r>
  <r>
    <s v="No"/>
    <x v="1"/>
  </r>
  <r>
    <s v="No"/>
    <x v="1"/>
  </r>
  <r>
    <s v="No"/>
    <x v="0"/>
  </r>
  <r>
    <s v="Yes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No"/>
    <x v="1"/>
  </r>
  <r>
    <s v="No"/>
    <x v="0"/>
  </r>
  <r>
    <s v="Yes"/>
    <x v="0"/>
  </r>
  <r>
    <s v="No"/>
    <x v="0"/>
  </r>
  <r>
    <s v="No"/>
    <x v="0"/>
  </r>
  <r>
    <s v="No"/>
    <x v="0"/>
  </r>
  <r>
    <s v="Yes"/>
    <x v="0"/>
  </r>
  <r>
    <s v="No"/>
    <x v="0"/>
  </r>
  <r>
    <s v="Yes"/>
    <x v="1"/>
  </r>
  <r>
    <s v="No"/>
    <x v="0"/>
  </r>
  <r>
    <s v="No"/>
    <x v="1"/>
  </r>
  <r>
    <s v="No"/>
    <x v="0"/>
  </r>
  <r>
    <s v="Yes"/>
    <x v="0"/>
  </r>
  <r>
    <s v="No"/>
    <x v="1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Yes"/>
    <x v="1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1"/>
  </r>
  <r>
    <s v="No"/>
    <x v="1"/>
  </r>
  <r>
    <s v="No"/>
    <x v="0"/>
  </r>
  <r>
    <s v="Yes"/>
    <x v="0"/>
  </r>
  <r>
    <s v="No"/>
    <x v="0"/>
  </r>
  <r>
    <s v="No"/>
    <x v="0"/>
  </r>
  <r>
    <s v="Yes"/>
    <x v="1"/>
  </r>
  <r>
    <s v="No"/>
    <x v="1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No"/>
    <x v="1"/>
  </r>
  <r>
    <s v="No"/>
    <x v="1"/>
  </r>
  <r>
    <s v="Yes"/>
    <x v="0"/>
  </r>
  <r>
    <s v="Yes"/>
    <x v="1"/>
  </r>
  <r>
    <s v="Yes"/>
    <x v="0"/>
  </r>
  <r>
    <s v="No"/>
    <x v="0"/>
  </r>
  <r>
    <s v="Yes"/>
    <x v="1"/>
  </r>
  <r>
    <s v="No"/>
    <x v="0"/>
  </r>
  <r>
    <s v="No"/>
    <x v="1"/>
  </r>
  <r>
    <s v="No"/>
    <x v="1"/>
  </r>
  <r>
    <s v="No"/>
    <x v="0"/>
  </r>
  <r>
    <s v="No"/>
    <x v="0"/>
  </r>
  <r>
    <s v="No"/>
    <x v="1"/>
  </r>
  <r>
    <s v="No"/>
    <x v="0"/>
  </r>
  <r>
    <s v="No"/>
    <x v="0"/>
  </r>
  <r>
    <s v="No"/>
    <x v="1"/>
  </r>
  <r>
    <s v="No"/>
    <x v="0"/>
  </r>
  <r>
    <s v="No"/>
    <x v="0"/>
  </r>
  <r>
    <s v="Yes"/>
    <x v="1"/>
  </r>
  <r>
    <s v="Yes"/>
    <x v="1"/>
  </r>
  <r>
    <s v="Yes"/>
    <x v="1"/>
  </r>
  <r>
    <s v="No"/>
    <x v="0"/>
  </r>
  <r>
    <s v="No"/>
    <x v="0"/>
  </r>
  <r>
    <s v="No"/>
    <x v="0"/>
  </r>
  <r>
    <s v="Yes"/>
    <x v="1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Yes"/>
    <x v="1"/>
  </r>
  <r>
    <s v="No"/>
    <x v="0"/>
  </r>
  <r>
    <s v="No"/>
    <x v="0"/>
  </r>
  <r>
    <s v="Yes"/>
    <x v="0"/>
  </r>
  <r>
    <s v="No"/>
    <x v="0"/>
  </r>
  <r>
    <s v="Yes"/>
    <x v="1"/>
  </r>
  <r>
    <s v="No"/>
    <x v="0"/>
  </r>
  <r>
    <s v="No"/>
    <x v="1"/>
  </r>
  <r>
    <s v="No"/>
    <x v="0"/>
  </r>
  <r>
    <s v="No"/>
    <x v="0"/>
  </r>
  <r>
    <s v="No"/>
    <x v="1"/>
  </r>
  <r>
    <s v="No"/>
    <x v="1"/>
  </r>
  <r>
    <s v="No"/>
    <x v="0"/>
  </r>
  <r>
    <s v="Yes"/>
    <x v="1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Yes"/>
    <x v="0"/>
  </r>
  <r>
    <s v="No"/>
    <x v="0"/>
  </r>
  <r>
    <s v="No"/>
    <x v="1"/>
  </r>
  <r>
    <s v="No"/>
    <x v="0"/>
  </r>
  <r>
    <s v="Yes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1"/>
  </r>
  <r>
    <s v="No"/>
    <x v="1"/>
  </r>
  <r>
    <s v="No"/>
    <x v="1"/>
  </r>
  <r>
    <s v="No"/>
    <x v="1"/>
  </r>
  <r>
    <s v="No"/>
    <x v="1"/>
  </r>
  <r>
    <s v="Yes"/>
    <x v="0"/>
  </r>
  <r>
    <s v="No"/>
    <x v="0"/>
  </r>
  <r>
    <s v="No"/>
    <x v="1"/>
  </r>
  <r>
    <s v="No"/>
    <x v="1"/>
  </r>
  <r>
    <s v="Yes"/>
    <x v="1"/>
  </r>
  <r>
    <s v="Yes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No"/>
    <x v="1"/>
  </r>
  <r>
    <s v="No"/>
    <x v="0"/>
  </r>
  <r>
    <s v="Yes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Yes"/>
    <x v="0"/>
  </r>
  <r>
    <s v="Yes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Yes"/>
    <x v="1"/>
  </r>
  <r>
    <s v="No"/>
    <x v="1"/>
  </r>
  <r>
    <s v="No"/>
    <x v="0"/>
  </r>
  <r>
    <s v="No"/>
    <x v="1"/>
  </r>
  <r>
    <s v="Yes"/>
    <x v="0"/>
  </r>
  <r>
    <s v="No"/>
    <x v="0"/>
  </r>
  <r>
    <s v="No"/>
    <x v="1"/>
  </r>
  <r>
    <s v="No"/>
    <x v="1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Yes"/>
    <x v="0"/>
  </r>
  <r>
    <s v="No"/>
    <x v="0"/>
  </r>
  <r>
    <s v="No"/>
    <x v="0"/>
  </r>
  <r>
    <s v="No"/>
    <x v="0"/>
  </r>
  <r>
    <s v="Yes"/>
    <x v="1"/>
  </r>
  <r>
    <s v="Yes"/>
    <x v="0"/>
  </r>
  <r>
    <s v="No"/>
    <x v="0"/>
  </r>
  <r>
    <s v="Yes"/>
    <x v="0"/>
  </r>
  <r>
    <s v="No"/>
    <x v="0"/>
  </r>
  <r>
    <s v="No"/>
    <x v="0"/>
  </r>
  <r>
    <s v="Yes"/>
    <x v="1"/>
  </r>
  <r>
    <s v="No"/>
    <x v="0"/>
  </r>
  <r>
    <s v="No"/>
    <x v="1"/>
  </r>
  <r>
    <s v="No"/>
    <x v="0"/>
  </r>
  <r>
    <s v="No"/>
    <x v="0"/>
  </r>
  <r>
    <s v="Yes"/>
    <x v="0"/>
  </r>
  <r>
    <s v="No"/>
    <x v="1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1"/>
  </r>
  <r>
    <s v="No"/>
    <x v="0"/>
  </r>
  <r>
    <s v="Yes"/>
    <x v="0"/>
  </r>
  <r>
    <s v="Yes"/>
    <x v="0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Yes"/>
    <x v="1"/>
  </r>
  <r>
    <s v="No"/>
    <x v="0"/>
  </r>
  <r>
    <s v="Yes"/>
    <x v="0"/>
  </r>
  <r>
    <s v="No"/>
    <x v="0"/>
  </r>
  <r>
    <s v="No"/>
    <x v="0"/>
  </r>
  <r>
    <s v="Yes"/>
    <x v="1"/>
  </r>
  <r>
    <s v="No"/>
    <x v="0"/>
  </r>
  <r>
    <s v="Yes"/>
    <x v="1"/>
  </r>
  <r>
    <s v="No"/>
    <x v="0"/>
  </r>
  <r>
    <s v="No"/>
    <x v="1"/>
  </r>
  <r>
    <s v="No"/>
    <x v="0"/>
  </r>
  <r>
    <s v="No"/>
    <x v="0"/>
  </r>
  <r>
    <s v="Yes"/>
    <x v="1"/>
  </r>
  <r>
    <s v="No"/>
    <x v="0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Yes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Yes"/>
    <x v="1"/>
  </r>
  <r>
    <s v="Yes"/>
    <x v="0"/>
  </r>
  <r>
    <s v="Yes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Yes"/>
    <x v="1"/>
  </r>
  <r>
    <s v="No"/>
    <x v="0"/>
  </r>
  <r>
    <s v="No"/>
    <x v="0"/>
  </r>
  <r>
    <s v="No"/>
    <x v="0"/>
  </r>
  <r>
    <s v="Yes"/>
    <x v="1"/>
  </r>
  <r>
    <s v="Yes"/>
    <x v="1"/>
  </r>
  <r>
    <s v="No"/>
    <x v="1"/>
  </r>
  <r>
    <s v="Yes"/>
    <x v="0"/>
  </r>
  <r>
    <s v="No"/>
    <x v="0"/>
  </r>
  <r>
    <s v="No"/>
    <x v="0"/>
  </r>
  <r>
    <s v="No"/>
    <x v="1"/>
  </r>
  <r>
    <s v="No"/>
    <x v="0"/>
  </r>
  <r>
    <s v="No"/>
    <x v="0"/>
  </r>
  <r>
    <s v="Yes"/>
    <x v="1"/>
  </r>
  <r>
    <s v="Yes"/>
    <x v="1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1"/>
  </r>
  <r>
    <s v="No"/>
    <x v="0"/>
  </r>
  <r>
    <s v="No"/>
    <x v="0"/>
  </r>
  <r>
    <s v="No"/>
    <x v="0"/>
  </r>
  <r>
    <s v="No"/>
    <x v="0"/>
  </r>
  <r>
    <s v="Yes"/>
    <x v="1"/>
  </r>
  <r>
    <s v="Yes"/>
    <x v="1"/>
  </r>
  <r>
    <s v="No"/>
    <x v="0"/>
  </r>
  <r>
    <s v="No"/>
    <x v="1"/>
  </r>
  <r>
    <s v="No"/>
    <x v="0"/>
  </r>
  <r>
    <s v="No"/>
    <x v="0"/>
  </r>
  <r>
    <s v="No"/>
    <x v="0"/>
  </r>
  <r>
    <s v="No"/>
    <x v="0"/>
  </r>
  <r>
    <s v="Yes"/>
    <x v="0"/>
  </r>
  <r>
    <s v="No"/>
    <x v="0"/>
  </r>
  <r>
    <s v="No"/>
    <x v="0"/>
  </r>
  <r>
    <s v="No"/>
    <x v="0"/>
  </r>
  <r>
    <s v="No"/>
    <x v="0"/>
  </r>
  <r>
    <s v="No"/>
    <x v="1"/>
  </r>
  <r>
    <s v="No"/>
    <x v="0"/>
  </r>
  <r>
    <s v="No"/>
    <x v="1"/>
  </r>
  <r>
    <s v="Yes"/>
    <x v="1"/>
  </r>
  <r>
    <s v="No"/>
    <x v="1"/>
  </r>
  <r>
    <s v="Yes"/>
    <x v="1"/>
  </r>
  <r>
    <s v="Yes"/>
    <x v="1"/>
  </r>
  <r>
    <s v="No"/>
    <x v="0"/>
  </r>
  <r>
    <s v="No"/>
    <x v="0"/>
  </r>
  <r>
    <s v="No"/>
    <x v="1"/>
  </r>
  <r>
    <s v="No"/>
    <x v="1"/>
  </r>
  <r>
    <s v="Yes"/>
    <x v="1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No"/>
    <x v="1"/>
  </r>
  <r>
    <s v="No"/>
    <x v="0"/>
  </r>
  <r>
    <s v="No"/>
    <x v="0"/>
  </r>
  <r>
    <s v="No"/>
    <x v="0"/>
  </r>
  <r>
    <s v="No"/>
    <x v="1"/>
  </r>
  <r>
    <s v="No"/>
    <x v="0"/>
  </r>
  <r>
    <s v="No"/>
    <x v="0"/>
  </r>
  <r>
    <s v="Yes"/>
    <x v="1"/>
  </r>
  <r>
    <s v="No"/>
    <x v="0"/>
  </r>
  <r>
    <s v="No"/>
    <x v="0"/>
  </r>
  <r>
    <s v="No"/>
    <x v="0"/>
  </r>
  <r>
    <s v="Yes"/>
    <x v="0"/>
  </r>
  <r>
    <s v="No"/>
    <x v="1"/>
  </r>
  <r>
    <s v="No"/>
    <x v="0"/>
  </r>
  <r>
    <s v="Yes"/>
    <x v="0"/>
  </r>
  <r>
    <s v="No"/>
    <x v="1"/>
  </r>
  <r>
    <s v="No"/>
    <x v="0"/>
  </r>
  <r>
    <s v="No"/>
    <x v="0"/>
  </r>
  <r>
    <s v="No"/>
    <x v="1"/>
  </r>
  <r>
    <s v="Yes"/>
    <x v="1"/>
  </r>
  <r>
    <s v="No"/>
    <x v="0"/>
  </r>
  <r>
    <s v="No"/>
    <x v="0"/>
  </r>
  <r>
    <s v="No"/>
    <x v="1"/>
  </r>
  <r>
    <s v="No"/>
    <x v="0"/>
  </r>
  <r>
    <s v="No"/>
    <x v="1"/>
  </r>
  <r>
    <s v="No"/>
    <x v="0"/>
  </r>
  <r>
    <s v="No"/>
    <x v="1"/>
  </r>
  <r>
    <s v="No"/>
    <x v="0"/>
  </r>
  <r>
    <s v="Yes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No"/>
    <x v="0"/>
  </r>
  <r>
    <s v="Yes"/>
    <x v="1"/>
  </r>
  <r>
    <s v="No"/>
    <x v="0"/>
  </r>
  <r>
    <s v="Yes"/>
    <x v="1"/>
  </r>
  <r>
    <s v="No"/>
    <x v="0"/>
  </r>
  <r>
    <s v="No"/>
    <x v="1"/>
  </r>
  <r>
    <s v="No"/>
    <x v="0"/>
  </r>
  <r>
    <s v="No"/>
    <x v="1"/>
  </r>
  <r>
    <s v="No"/>
    <x v="0"/>
  </r>
  <r>
    <s v="Yes"/>
    <x v="1"/>
  </r>
  <r>
    <s v="No"/>
    <x v="0"/>
  </r>
  <r>
    <s v="No"/>
    <x v="0"/>
  </r>
  <r>
    <s v="Yes"/>
    <x v="0"/>
  </r>
  <r>
    <s v="No"/>
    <x v="0"/>
  </r>
  <r>
    <s v="No"/>
    <x v="0"/>
  </r>
  <r>
    <s v="Yes"/>
    <x v="1"/>
  </r>
  <r>
    <s v="No"/>
    <x v="1"/>
  </r>
  <r>
    <s v="No"/>
    <x v="1"/>
  </r>
  <r>
    <s v="No"/>
    <x v="0"/>
  </r>
  <r>
    <s v="No"/>
    <x v="0"/>
  </r>
  <r>
    <s v="No"/>
    <x v="1"/>
  </r>
  <r>
    <s v="No"/>
    <x v="1"/>
  </r>
  <r>
    <s v="No"/>
    <x v="0"/>
  </r>
  <r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1">
  <r>
    <x v="0"/>
  </r>
  <r>
    <x v="1"/>
  </r>
  <r>
    <x v="0"/>
  </r>
  <r>
    <x v="0"/>
  </r>
  <r>
    <x v="0"/>
  </r>
  <r>
    <x v="0"/>
  </r>
  <r>
    <x v="2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0"/>
  </r>
  <r>
    <x v="0"/>
  </r>
  <r>
    <x v="1"/>
  </r>
  <r>
    <x v="0"/>
  </r>
  <r>
    <x v="0"/>
  </r>
  <r>
    <x v="0"/>
  </r>
  <r>
    <x v="0"/>
  </r>
  <r>
    <x v="0"/>
  </r>
  <r>
    <x v="3"/>
  </r>
  <r>
    <x v="2"/>
  </r>
  <r>
    <x v="3"/>
  </r>
  <r>
    <x v="1"/>
  </r>
  <r>
    <x v="1"/>
  </r>
  <r>
    <x v="2"/>
  </r>
  <r>
    <x v="1"/>
  </r>
  <r>
    <x v="1"/>
  </r>
  <r>
    <x v="0"/>
  </r>
  <r>
    <x v="2"/>
  </r>
  <r>
    <x v="0"/>
  </r>
  <r>
    <x v="3"/>
  </r>
  <r>
    <x v="0"/>
  </r>
  <r>
    <x v="1"/>
  </r>
  <r>
    <x v="0"/>
  </r>
  <r>
    <x v="0"/>
  </r>
  <r>
    <x v="3"/>
  </r>
  <r>
    <x v="1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3"/>
  </r>
  <r>
    <x v="1"/>
  </r>
  <r>
    <x v="0"/>
  </r>
  <r>
    <x v="0"/>
  </r>
  <r>
    <x v="0"/>
  </r>
  <r>
    <x v="0"/>
  </r>
  <r>
    <x v="2"/>
  </r>
  <r>
    <x v="3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2"/>
  </r>
  <r>
    <x v="1"/>
  </r>
  <r>
    <x v="3"/>
  </r>
  <r>
    <x v="3"/>
  </r>
  <r>
    <x v="0"/>
  </r>
  <r>
    <x v="1"/>
  </r>
  <r>
    <x v="2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2"/>
  </r>
  <r>
    <x v="2"/>
  </r>
  <r>
    <x v="2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1"/>
  </r>
  <r>
    <x v="0"/>
  </r>
  <r>
    <x v="0"/>
  </r>
  <r>
    <x v="3"/>
  </r>
  <r>
    <x v="1"/>
  </r>
  <r>
    <x v="1"/>
  </r>
  <r>
    <x v="2"/>
  </r>
  <r>
    <x v="1"/>
  </r>
  <r>
    <x v="0"/>
  </r>
  <r>
    <x v="1"/>
  </r>
  <r>
    <x v="0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1"/>
  </r>
  <r>
    <x v="1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2"/>
  </r>
  <r>
    <x v="0"/>
  </r>
  <r>
    <x v="1"/>
  </r>
  <r>
    <x v="3"/>
  </r>
  <r>
    <x v="0"/>
  </r>
  <r>
    <x v="0"/>
  </r>
  <r>
    <x v="3"/>
  </r>
  <r>
    <x v="0"/>
  </r>
  <r>
    <x v="0"/>
  </r>
  <r>
    <x v="0"/>
  </r>
  <r>
    <x v="1"/>
  </r>
  <r>
    <x v="0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1"/>
  </r>
  <r>
    <x v="0"/>
  </r>
  <r>
    <x v="3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2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"/>
  </r>
  <r>
    <x v="1"/>
  </r>
  <r>
    <x v="3"/>
  </r>
  <r>
    <x v="0"/>
  </r>
  <r>
    <x v="0"/>
  </r>
  <r>
    <x v="1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3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3"/>
  </r>
  <r>
    <x v="0"/>
  </r>
  <r>
    <x v="0"/>
  </r>
  <r>
    <x v="2"/>
  </r>
  <r>
    <x v="1"/>
  </r>
  <r>
    <x v="0"/>
  </r>
  <r>
    <x v="0"/>
  </r>
  <r>
    <x v="3"/>
  </r>
  <r>
    <x v="1"/>
  </r>
  <r>
    <x v="1"/>
  </r>
  <r>
    <x v="0"/>
  </r>
  <r>
    <x v="0"/>
  </r>
  <r>
    <x v="1"/>
  </r>
  <r>
    <x v="2"/>
  </r>
  <r>
    <x v="3"/>
  </r>
  <r>
    <x v="0"/>
  </r>
  <r>
    <x v="3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3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1"/>
  </r>
  <r>
    <x v="1"/>
  </r>
  <r>
    <x v="1"/>
  </r>
  <r>
    <x v="3"/>
  </r>
  <r>
    <x v="1"/>
  </r>
  <r>
    <x v="0"/>
  </r>
  <r>
    <x v="1"/>
  </r>
  <r>
    <x v="0"/>
  </r>
  <r>
    <x v="0"/>
  </r>
  <r>
    <x v="0"/>
  </r>
  <r>
    <x v="3"/>
  </r>
  <r>
    <x v="0"/>
  </r>
  <r>
    <x v="0"/>
  </r>
  <r>
    <x v="2"/>
  </r>
  <r>
    <x v="1"/>
  </r>
  <r>
    <x v="1"/>
  </r>
  <r>
    <x v="0"/>
  </r>
  <r>
    <x v="0"/>
  </r>
  <r>
    <x v="3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3"/>
  </r>
  <r>
    <x v="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3"/>
  </r>
  <r>
    <x v="1"/>
  </r>
  <r>
    <x v="1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2"/>
  </r>
  <r>
    <x v="0"/>
  </r>
  <r>
    <x v="3"/>
  </r>
  <r>
    <x v="2"/>
  </r>
  <r>
    <x v="0"/>
  </r>
  <r>
    <x v="0"/>
  </r>
  <r>
    <x v="0"/>
  </r>
  <r>
    <x v="0"/>
  </r>
  <r>
    <x v="0"/>
  </r>
  <r>
    <x v="2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1"/>
  </r>
  <r>
    <x v="1"/>
  </r>
  <r>
    <x v="1"/>
  </r>
  <r>
    <x v="0"/>
  </r>
  <r>
    <x v="0"/>
  </r>
  <r>
    <x v="0"/>
  </r>
  <r>
    <x v="1"/>
  </r>
  <r>
    <x v="2"/>
  </r>
  <r>
    <x v="0"/>
  </r>
  <r>
    <x v="1"/>
  </r>
  <r>
    <x v="1"/>
  </r>
  <r>
    <x v="1"/>
  </r>
  <r>
    <x v="0"/>
  </r>
  <r>
    <x v="0"/>
  </r>
  <r>
    <x v="0"/>
  </r>
  <r>
    <x v="0"/>
  </r>
  <r>
    <x v="3"/>
  </r>
  <r>
    <x v="0"/>
  </r>
  <r>
    <x v="0"/>
  </r>
  <r>
    <x v="0"/>
  </r>
  <r>
    <x v="3"/>
  </r>
  <r>
    <x v="1"/>
  </r>
  <r>
    <x v="0"/>
  </r>
  <r>
    <x v="0"/>
  </r>
  <r>
    <x v="1"/>
  </r>
  <r>
    <x v="1"/>
  </r>
  <r>
    <x v="0"/>
  </r>
  <r>
    <x v="0"/>
  </r>
  <r>
    <x v="1"/>
  </r>
  <r>
    <x v="2"/>
  </r>
  <r>
    <x v="1"/>
  </r>
  <r>
    <x v="1"/>
  </r>
  <r>
    <x v="2"/>
  </r>
  <r>
    <x v="0"/>
  </r>
  <r>
    <x v="0"/>
  </r>
  <r>
    <x v="0"/>
  </r>
  <r>
    <x v="2"/>
  </r>
  <r>
    <x v="0"/>
  </r>
  <r>
    <x v="3"/>
  </r>
  <r>
    <x v="2"/>
  </r>
  <r>
    <x v="1"/>
  </r>
  <r>
    <x v="2"/>
  </r>
  <r>
    <x v="2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1"/>
  </r>
  <r>
    <x v="3"/>
  </r>
  <r>
    <x v="1"/>
  </r>
  <r>
    <x v="1"/>
  </r>
  <r>
    <x v="0"/>
  </r>
  <r>
    <x v="3"/>
  </r>
  <r>
    <x v="1"/>
  </r>
  <r>
    <x v="0"/>
  </r>
  <r>
    <x v="1"/>
  </r>
  <r>
    <x v="2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1"/>
  </r>
  <r>
    <x v="1"/>
  </r>
  <r>
    <x v="0"/>
  </r>
  <r>
    <x v="0"/>
  </r>
  <r>
    <x v="2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3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2"/>
  </r>
  <r>
    <x v="1"/>
  </r>
  <r>
    <x v="0"/>
  </r>
  <r>
    <x v="0"/>
  </r>
  <r>
    <x v="1"/>
  </r>
  <r>
    <x v="2"/>
  </r>
  <r>
    <x v="1"/>
  </r>
  <r>
    <x v="1"/>
  </r>
  <r>
    <x v="3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0"/>
  </r>
  <r>
    <x v="1"/>
  </r>
  <r>
    <x v="2"/>
  </r>
  <r>
    <x v="0"/>
  </r>
  <r>
    <x v="2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1"/>
  </r>
  <r>
    <x v="0"/>
  </r>
  <r>
    <x v="3"/>
  </r>
  <r>
    <x v="0"/>
  </r>
  <r>
    <x v="0"/>
  </r>
  <r>
    <x v="3"/>
  </r>
  <r>
    <x v="2"/>
  </r>
  <r>
    <x v="3"/>
  </r>
  <r>
    <x v="0"/>
  </r>
  <r>
    <x v="1"/>
  </r>
  <r>
    <x v="1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2"/>
  </r>
  <r>
    <x v="1"/>
  </r>
  <r>
    <x v="1"/>
  </r>
  <r>
    <x v="0"/>
  </r>
  <r>
    <x v="1"/>
  </r>
  <r>
    <x v="1"/>
  </r>
  <r>
    <x v="0"/>
  </r>
  <r>
    <x v="3"/>
  </r>
  <r>
    <x v="0"/>
  </r>
  <r>
    <x v="0"/>
  </r>
  <r>
    <x v="2"/>
  </r>
  <r>
    <x v="1"/>
  </r>
  <r>
    <x v="2"/>
  </r>
  <r>
    <x v="3"/>
  </r>
  <r>
    <x v="1"/>
  </r>
  <r>
    <x v="1"/>
  </r>
  <r>
    <x v="2"/>
  </r>
  <r>
    <x v="1"/>
  </r>
  <r>
    <x v="0"/>
  </r>
  <r>
    <x v="0"/>
  </r>
  <r>
    <x v="1"/>
  </r>
  <r>
    <x v="0"/>
  </r>
  <r>
    <x v="0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1">
  <r>
    <x v="0"/>
  </r>
  <r>
    <x v="1"/>
  </r>
  <r>
    <x v="1"/>
  </r>
  <r>
    <x v="2"/>
  </r>
  <r>
    <x v="1"/>
  </r>
  <r>
    <x v="2"/>
  </r>
  <r>
    <x v="1"/>
  </r>
  <r>
    <x v="3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3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3"/>
  </r>
  <r>
    <x v="3"/>
  </r>
  <r>
    <x v="0"/>
  </r>
  <r>
    <x v="0"/>
  </r>
  <r>
    <x v="1"/>
  </r>
  <r>
    <x v="1"/>
  </r>
  <r>
    <x v="1"/>
  </r>
  <r>
    <x v="3"/>
  </r>
  <r>
    <x v="1"/>
  </r>
  <r>
    <x v="0"/>
  </r>
  <r>
    <x v="0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0"/>
  </r>
  <r>
    <x v="0"/>
  </r>
  <r>
    <x v="1"/>
  </r>
  <r>
    <x v="1"/>
  </r>
  <r>
    <x v="2"/>
  </r>
  <r>
    <x v="1"/>
  </r>
  <r>
    <x v="1"/>
  </r>
  <r>
    <x v="2"/>
  </r>
  <r>
    <x v="1"/>
  </r>
  <r>
    <x v="0"/>
  </r>
  <r>
    <x v="1"/>
  </r>
  <r>
    <x v="0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3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3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3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0"/>
  </r>
  <r>
    <x v="0"/>
  </r>
  <r>
    <x v="1"/>
  </r>
  <r>
    <x v="3"/>
  </r>
  <r>
    <x v="1"/>
  </r>
  <r>
    <x v="0"/>
  </r>
  <r>
    <x v="0"/>
  </r>
  <r>
    <x v="0"/>
  </r>
  <r>
    <x v="0"/>
  </r>
  <r>
    <x v="1"/>
  </r>
  <r>
    <x v="1"/>
  </r>
  <r>
    <x v="0"/>
  </r>
  <r>
    <x v="2"/>
  </r>
  <r>
    <x v="0"/>
  </r>
  <r>
    <x v="0"/>
  </r>
  <r>
    <x v="3"/>
  </r>
  <r>
    <x v="0"/>
  </r>
  <r>
    <x v="0"/>
  </r>
  <r>
    <x v="0"/>
  </r>
  <r>
    <x v="1"/>
  </r>
  <r>
    <x v="0"/>
  </r>
  <r>
    <x v="1"/>
  </r>
  <r>
    <x v="1"/>
  </r>
  <r>
    <x v="0"/>
  </r>
  <r>
    <x v="1"/>
  </r>
  <r>
    <x v="2"/>
  </r>
  <r>
    <x v="0"/>
  </r>
  <r>
    <x v="0"/>
  </r>
  <r>
    <x v="3"/>
  </r>
  <r>
    <x v="0"/>
  </r>
  <r>
    <x v="1"/>
  </r>
  <r>
    <x v="2"/>
  </r>
  <r>
    <x v="1"/>
  </r>
  <r>
    <x v="1"/>
  </r>
  <r>
    <x v="1"/>
  </r>
  <r>
    <x v="2"/>
  </r>
  <r>
    <x v="1"/>
  </r>
  <r>
    <x v="2"/>
  </r>
  <r>
    <x v="0"/>
  </r>
  <r>
    <x v="2"/>
  </r>
  <r>
    <x v="0"/>
  </r>
  <r>
    <x v="0"/>
  </r>
  <r>
    <x v="0"/>
  </r>
  <r>
    <x v="1"/>
  </r>
  <r>
    <x v="2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2"/>
  </r>
  <r>
    <x v="3"/>
  </r>
  <r>
    <x v="2"/>
  </r>
  <r>
    <x v="1"/>
  </r>
  <r>
    <x v="2"/>
  </r>
  <r>
    <x v="2"/>
  </r>
  <r>
    <x v="0"/>
  </r>
  <r>
    <x v="0"/>
  </r>
  <r>
    <x v="1"/>
  </r>
  <r>
    <x v="1"/>
  </r>
  <r>
    <x v="2"/>
  </r>
  <r>
    <x v="0"/>
  </r>
  <r>
    <x v="0"/>
  </r>
  <r>
    <x v="0"/>
  </r>
  <r>
    <x v="1"/>
  </r>
  <r>
    <x v="2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2"/>
  </r>
  <r>
    <x v="0"/>
  </r>
  <r>
    <x v="0"/>
  </r>
  <r>
    <x v="2"/>
  </r>
  <r>
    <x v="1"/>
  </r>
  <r>
    <x v="0"/>
  </r>
  <r>
    <x v="0"/>
  </r>
  <r>
    <x v="0"/>
  </r>
  <r>
    <x v="0"/>
  </r>
  <r>
    <x v="2"/>
  </r>
  <r>
    <x v="1"/>
  </r>
  <r>
    <x v="1"/>
  </r>
  <r>
    <x v="0"/>
  </r>
  <r>
    <x v="2"/>
  </r>
  <r>
    <x v="1"/>
  </r>
  <r>
    <x v="1"/>
  </r>
  <r>
    <x v="0"/>
  </r>
  <r>
    <x v="1"/>
  </r>
  <r>
    <x v="3"/>
  </r>
  <r>
    <x v="0"/>
  </r>
  <r>
    <x v="1"/>
  </r>
  <r>
    <x v="0"/>
  </r>
  <r>
    <x v="1"/>
  </r>
  <r>
    <x v="0"/>
  </r>
  <r>
    <x v="3"/>
  </r>
  <r>
    <x v="1"/>
  </r>
  <r>
    <x v="0"/>
  </r>
  <r>
    <x v="2"/>
  </r>
  <r>
    <x v="0"/>
  </r>
  <r>
    <x v="3"/>
  </r>
  <r>
    <x v="2"/>
  </r>
  <r>
    <x v="1"/>
  </r>
  <r>
    <x v="1"/>
  </r>
  <r>
    <x v="0"/>
  </r>
  <r>
    <x v="1"/>
  </r>
  <r>
    <x v="0"/>
  </r>
  <r>
    <x v="2"/>
  </r>
  <r>
    <x v="3"/>
  </r>
  <r>
    <x v="0"/>
  </r>
  <r>
    <x v="1"/>
  </r>
  <r>
    <x v="1"/>
  </r>
  <r>
    <x v="0"/>
  </r>
  <r>
    <x v="0"/>
  </r>
  <r>
    <x v="0"/>
  </r>
  <r>
    <x v="0"/>
  </r>
  <r>
    <x v="2"/>
  </r>
  <r>
    <x v="1"/>
  </r>
  <r>
    <x v="3"/>
  </r>
  <r>
    <x v="0"/>
  </r>
  <r>
    <x v="2"/>
  </r>
  <r>
    <x v="0"/>
  </r>
  <r>
    <x v="0"/>
  </r>
  <r>
    <x v="2"/>
  </r>
  <r>
    <x v="1"/>
  </r>
  <r>
    <x v="0"/>
  </r>
  <r>
    <x v="0"/>
  </r>
  <r>
    <x v="1"/>
  </r>
  <r>
    <x v="1"/>
  </r>
  <r>
    <x v="1"/>
  </r>
  <r>
    <x v="0"/>
  </r>
  <r>
    <x v="1"/>
  </r>
  <r>
    <x v="0"/>
  </r>
  <r>
    <x v="3"/>
  </r>
  <r>
    <x v="0"/>
  </r>
  <r>
    <x v="0"/>
  </r>
  <r>
    <x v="1"/>
  </r>
  <r>
    <x v="0"/>
  </r>
  <r>
    <x v="0"/>
  </r>
  <r>
    <x v="0"/>
  </r>
  <r>
    <x v="2"/>
  </r>
  <r>
    <x v="0"/>
  </r>
  <r>
    <x v="1"/>
  </r>
  <r>
    <x v="2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3"/>
  </r>
  <r>
    <x v="2"/>
  </r>
  <r>
    <x v="0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0"/>
  </r>
  <r>
    <x v="0"/>
  </r>
  <r>
    <x v="3"/>
  </r>
  <r>
    <x v="0"/>
  </r>
  <r>
    <x v="1"/>
  </r>
  <r>
    <x v="0"/>
  </r>
  <r>
    <x v="0"/>
  </r>
  <r>
    <x v="0"/>
  </r>
  <r>
    <x v="0"/>
  </r>
  <r>
    <x v="1"/>
  </r>
  <r>
    <x v="1"/>
  </r>
  <r>
    <x v="3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3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3"/>
  </r>
  <r>
    <x v="2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2"/>
  </r>
  <r>
    <x v="0"/>
  </r>
  <r>
    <x v="1"/>
  </r>
  <r>
    <x v="0"/>
  </r>
  <r>
    <x v="0"/>
  </r>
  <r>
    <x v="3"/>
  </r>
  <r>
    <x v="0"/>
  </r>
  <r>
    <x v="3"/>
  </r>
  <r>
    <x v="0"/>
  </r>
  <r>
    <x v="1"/>
  </r>
  <r>
    <x v="2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2"/>
  </r>
  <r>
    <x v="0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3"/>
  </r>
  <r>
    <x v="0"/>
  </r>
  <r>
    <x v="0"/>
  </r>
  <r>
    <x v="2"/>
  </r>
  <r>
    <x v="2"/>
  </r>
  <r>
    <x v="1"/>
  </r>
  <r>
    <x v="0"/>
  </r>
  <r>
    <x v="0"/>
  </r>
  <r>
    <x v="1"/>
  </r>
  <r>
    <x v="1"/>
  </r>
  <r>
    <x v="1"/>
  </r>
  <r>
    <x v="0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2"/>
  </r>
  <r>
    <x v="2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"/>
  </r>
  <r>
    <x v="3"/>
  </r>
  <r>
    <x v="2"/>
  </r>
  <r>
    <x v="0"/>
  </r>
  <r>
    <x v="1"/>
  </r>
  <r>
    <x v="1"/>
  </r>
  <r>
    <x v="2"/>
  </r>
  <r>
    <x v="0"/>
  </r>
  <r>
    <x v="2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3"/>
  </r>
  <r>
    <x v="3"/>
  </r>
  <r>
    <x v="0"/>
  </r>
  <r>
    <x v="1"/>
  </r>
  <r>
    <x v="1"/>
  </r>
  <r>
    <x v="3"/>
  </r>
  <r>
    <x v="0"/>
  </r>
  <r>
    <x v="0"/>
  </r>
  <r>
    <x v="0"/>
  </r>
  <r>
    <x v="0"/>
  </r>
  <r>
    <x v="0"/>
  </r>
  <r>
    <x v="1"/>
  </r>
  <r>
    <x v="1"/>
  </r>
  <r>
    <x v="3"/>
  </r>
  <r>
    <x v="0"/>
  </r>
  <r>
    <x v="1"/>
  </r>
  <r>
    <x v="0"/>
  </r>
  <r>
    <x v="0"/>
  </r>
  <r>
    <x v="1"/>
  </r>
  <r>
    <x v="3"/>
  </r>
  <r>
    <x v="1"/>
  </r>
  <r>
    <x v="0"/>
  </r>
  <r>
    <x v="1"/>
  </r>
  <r>
    <x v="1"/>
  </r>
  <r>
    <x v="3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2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2"/>
  </r>
  <r>
    <x v="2"/>
  </r>
  <r>
    <x v="0"/>
  </r>
  <r>
    <x v="1"/>
  </r>
  <r>
    <x v="1"/>
  </r>
  <r>
    <x v="1"/>
  </r>
  <r>
    <x v="2"/>
  </r>
  <r>
    <x v="3"/>
  </r>
  <r>
    <x v="1"/>
  </r>
  <r>
    <x v="0"/>
  </r>
  <r>
    <x v="1"/>
  </r>
  <r>
    <x v="1"/>
  </r>
  <r>
    <x v="0"/>
  </r>
  <r>
    <x v="3"/>
  </r>
  <r>
    <x v="1"/>
  </r>
  <r>
    <x v="1"/>
  </r>
  <r>
    <x v="0"/>
  </r>
  <r>
    <x v="1"/>
  </r>
  <r>
    <x v="1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3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2"/>
  </r>
  <r>
    <x v="1"/>
  </r>
  <r>
    <x v="1"/>
  </r>
  <r>
    <x v="1"/>
  </r>
  <r>
    <x v="1"/>
  </r>
  <r>
    <x v="1"/>
  </r>
  <r>
    <x v="3"/>
  </r>
  <r>
    <x v="2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1"/>
  </r>
  <r>
    <x v="3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3"/>
  </r>
  <r>
    <x v="0"/>
  </r>
  <r>
    <x v="1"/>
  </r>
  <r>
    <x v="1"/>
  </r>
  <r>
    <x v="2"/>
  </r>
  <r>
    <x v="1"/>
  </r>
  <r>
    <x v="0"/>
  </r>
  <r>
    <x v="1"/>
  </r>
  <r>
    <x v="0"/>
  </r>
  <r>
    <x v="0"/>
  </r>
  <r>
    <x v="0"/>
  </r>
  <r>
    <x v="3"/>
  </r>
  <r>
    <x v="1"/>
  </r>
  <r>
    <x v="1"/>
  </r>
  <r>
    <x v="0"/>
  </r>
  <r>
    <x v="2"/>
  </r>
  <r>
    <x v="0"/>
  </r>
  <r>
    <x v="0"/>
  </r>
  <r>
    <x v="0"/>
  </r>
  <r>
    <x v="1"/>
  </r>
  <r>
    <x v="1"/>
  </r>
  <r>
    <x v="1"/>
  </r>
  <r>
    <x v="3"/>
  </r>
  <r>
    <x v="1"/>
  </r>
  <r>
    <x v="0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1"/>
  </r>
  <r>
    <x v="1"/>
  </r>
  <r>
    <x v="3"/>
  </r>
  <r>
    <x v="0"/>
  </r>
  <r>
    <x v="3"/>
  </r>
  <r>
    <x v="2"/>
  </r>
  <r>
    <x v="1"/>
  </r>
  <r>
    <x v="1"/>
  </r>
  <r>
    <x v="2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3"/>
  </r>
  <r>
    <x v="3"/>
  </r>
  <r>
    <x v="1"/>
  </r>
  <r>
    <x v="3"/>
  </r>
  <r>
    <x v="1"/>
  </r>
  <r>
    <x v="1"/>
  </r>
  <r>
    <x v="1"/>
  </r>
  <r>
    <x v="0"/>
  </r>
  <r>
    <x v="3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3"/>
  </r>
  <r>
    <x v="1"/>
  </r>
  <r>
    <x v="0"/>
  </r>
  <r>
    <x v="0"/>
  </r>
  <r>
    <x v="1"/>
  </r>
  <r>
    <x v="0"/>
  </r>
  <r>
    <x v="3"/>
  </r>
  <r>
    <x v="1"/>
  </r>
  <r>
    <x v="3"/>
  </r>
  <r>
    <x v="1"/>
  </r>
  <r>
    <x v="1"/>
  </r>
  <r>
    <x v="0"/>
  </r>
  <r>
    <x v="0"/>
  </r>
  <r>
    <x v="0"/>
  </r>
  <r>
    <x v="1"/>
  </r>
  <r>
    <x v="1"/>
  </r>
  <r>
    <x v="1"/>
  </r>
  <r>
    <x v="3"/>
  </r>
  <r>
    <x v="1"/>
  </r>
  <r>
    <x v="0"/>
  </r>
  <r>
    <x v="1"/>
  </r>
  <r>
    <x v="0"/>
  </r>
  <r>
    <x v="3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0"/>
  </r>
  <r>
    <x v="1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0"/>
  </r>
  <r>
    <x v="2"/>
  </r>
  <r>
    <x v="0"/>
  </r>
  <r>
    <x v="2"/>
  </r>
  <r>
    <x v="2"/>
  </r>
  <r>
    <x v="3"/>
  </r>
  <r>
    <x v="1"/>
  </r>
  <r>
    <x v="0"/>
  </r>
  <r>
    <x v="0"/>
  </r>
  <r>
    <x v="0"/>
  </r>
  <r>
    <x v="1"/>
  </r>
  <r>
    <x v="3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3"/>
  </r>
  <r>
    <x v="2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2"/>
  </r>
  <r>
    <x v="2"/>
  </r>
  <r>
    <x v="1"/>
  </r>
  <r>
    <x v="1"/>
  </r>
  <r>
    <x v="0"/>
  </r>
  <r>
    <x v="0"/>
  </r>
  <r>
    <x v="1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F972C-A14C-4B96-B019-4C600B20E6B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E11" firstHeaderRow="1" firstDataRow="1" firstDataCol="1"/>
  <pivotFields count="2">
    <pivotField axis="axisRow" showAll="0">
      <items count="3">
        <item x="0"/>
        <item x="1"/>
        <item t="default"/>
      </items>
    </pivotField>
    <pivotField axis="axisRow" dataField="1" showAll="0">
      <items count="4">
        <item x="0"/>
        <item x="2"/>
        <item x="1"/>
        <item t="default"/>
      </items>
    </pivotField>
  </pivotFields>
  <rowFields count="2">
    <field x="1"/>
    <field x="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MaritalStatu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DDC35-6E22-4BF4-8E90-C6DDFD1D3BAD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rital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00A0E-9EE4-47FE-A496-52C010B985C4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5" firstHeaderRow="1" firstDataRow="1" firstDataCol="1"/>
  <pivotFields count="2"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verTi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0536F-8544-49E0-9E06-654D18811C79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7" firstHeaderRow="1" firstDataRow="1" firstDataCol="1"/>
  <pivotFields count="1">
    <pivotField axis="axisRow" dataField="1" showAll="0">
      <items count="6">
        <item x="3"/>
        <item x="1"/>
        <item x="0"/>
        <item x="2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JobInvolvement" fld="0" subtotal="count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C9C46-0052-43B4-93C4-6801DED7B53E}" name="PivotTable1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7" firstHeaderRow="1" firstDataRow="1" firstDataCol="1"/>
  <pivotFields count="1">
    <pivotField axis="axisRow" dataField="1" showAll="0">
      <items count="6">
        <item x="1"/>
        <item x="0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ockOptionLev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47682-3415-48DA-B45D-F86C389AAC1F}" name="Table1" displayName="Table1" ref="A1:I10" totalsRowShown="0" headerRowDxfId="26" dataDxfId="25">
  <autoFilter ref="A1:I10" xr:uid="{88247682-3415-48DA-B45D-F86C389AA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A1E6017-FB43-40A7-8BE2-C68BA9EDA7DA}" name="$Attrition" dataDxfId="24"/>
    <tableColumn id="2" xr3:uid="{C453612B-84EB-4099-A324-B273F27883AE}" name="$BusinessTravel" dataDxfId="23"/>
    <tableColumn id="3" xr3:uid="{8CF43C7C-331F-4101-828D-8BC35890189B}" name="$Department" dataDxfId="22"/>
    <tableColumn id="4" xr3:uid="{F6E46764-E62E-4485-AB77-50DC14C7D0D9}" name="$EducationField" dataDxfId="21"/>
    <tableColumn id="5" xr3:uid="{7B404D07-5926-440F-BE0C-82DA689EC5AD}" name="$Gender" dataDxfId="20"/>
    <tableColumn id="6" xr3:uid="{8A0B7A99-EB60-4AA1-A86B-A70149E3B230}" name="$JobRole" dataDxfId="19"/>
    <tableColumn id="7" xr3:uid="{020FF7D2-A13D-4ECE-9153-B7417580DAD2}" name="$MaritalStatus" dataDxfId="18"/>
    <tableColumn id="8" xr3:uid="{77FDF78C-5E02-40B3-A009-BE5151964F15}" name="$Over18" dataDxfId="17"/>
    <tableColumn id="9" xr3:uid="{1AB22151-EAC1-4EFE-A0D9-B3BAB5D7B9C9}" name="$OverTime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134275-4D40-49AE-957B-C57D5CFC4511}" name="Table3" displayName="Table3" ref="A1:L28" totalsRowShown="0" headerRowDxfId="15" dataDxfId="14" tableBorderDxfId="13">
  <autoFilter ref="A1:L28" xr:uid="{E9134275-4D40-49AE-957B-C57D5CFC45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125558F-8E1F-4993-8F26-DBC70F2A1918}" name="Variable" dataDxfId="12"/>
    <tableColumn id="2" xr3:uid="{EA65520E-2249-4DB1-93F4-42E15462D8C1}" name="Mean" dataDxfId="11"/>
    <tableColumn id="3" xr3:uid="{5990B2C7-FC6C-4FD8-85CA-F3AB7052D260}" name="SD" dataDxfId="10"/>
    <tableColumn id="4" xr3:uid="{16AE5F2D-3CE6-4D99-A027-DE87A7DBC204}" name="p0" dataDxfId="9"/>
    <tableColumn id="5" xr3:uid="{CB6C1C5C-4E18-4787-9B90-29213C4F2D03}" name="p25" dataDxfId="8"/>
    <tableColumn id="6" xr3:uid="{40300BD1-D42D-4F22-ABF8-F8F724DDF235}" name="p50" dataDxfId="7"/>
    <tableColumn id="7" xr3:uid="{202CA519-B6CF-4CDC-874A-569F8C0E45D9}" name="p75" dataDxfId="6"/>
    <tableColumn id="8" xr3:uid="{1052F43F-B603-49C0-9E7F-DDF1F7D94BFB}" name="p100" dataDxfId="5"/>
    <tableColumn id="9" xr3:uid="{E428A4CC-BCC0-4529-A397-3364438A145A}" name="histogram" dataDxfId="4"/>
    <tableColumn id="12" xr3:uid="{33F6964E-BB13-4263-8D01-ED7DC760F2F3}" name="Estimated Distribution" dataDxfId="3"/>
    <tableColumn id="10" xr3:uid="{2AD2B97D-28E0-4682-9617-158A5223FC05}" name="Relevant to Attrition?" dataDxfId="2"/>
    <tableColumn id="11" xr3:uid="{F5073B3F-3709-4E2B-9F59-72F2A208D621}" name="Further Inspection?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sqref="A1:I1"/>
    </sheetView>
  </sheetViews>
  <sheetFormatPr defaultRowHeight="15" x14ac:dyDescent="0.25"/>
  <cols>
    <col min="1" max="1" width="11.7109375" customWidth="1"/>
    <col min="2" max="2" width="17.42578125" bestFit="1" customWidth="1"/>
    <col min="3" max="3" width="24.28515625" bestFit="1" customWidth="1"/>
    <col min="4" max="4" width="17.28515625" customWidth="1"/>
    <col min="5" max="5" width="10.7109375" customWidth="1"/>
    <col min="6" max="6" width="25" bestFit="1" customWidth="1"/>
    <col min="7" max="7" width="15.85546875" customWidth="1"/>
    <col min="8" max="8" width="10.42578125" customWidth="1"/>
    <col min="9" max="9" width="12.855468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3" t="s">
        <v>9</v>
      </c>
      <c r="B2" s="3" t="s">
        <v>15</v>
      </c>
      <c r="C2" s="3" t="s">
        <v>14</v>
      </c>
      <c r="D2" s="3" t="s">
        <v>21</v>
      </c>
      <c r="E2" s="3" t="s">
        <v>23</v>
      </c>
      <c r="F2" s="3" t="s">
        <v>25</v>
      </c>
      <c r="G2" s="3" t="s">
        <v>26</v>
      </c>
      <c r="H2" s="3" t="s">
        <v>29</v>
      </c>
      <c r="I2" s="4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17</v>
      </c>
      <c r="E3" s="3" t="s">
        <v>24</v>
      </c>
      <c r="F3" t="s">
        <v>30</v>
      </c>
      <c r="G3" s="3" t="s">
        <v>27</v>
      </c>
      <c r="I3" s="3" t="s">
        <v>10</v>
      </c>
    </row>
    <row r="4" spans="1:9" x14ac:dyDescent="0.25">
      <c r="A4" s="3"/>
      <c r="B4" s="3" t="s">
        <v>16</v>
      </c>
      <c r="C4" s="3" t="s">
        <v>13</v>
      </c>
      <c r="D4" s="3" t="s">
        <v>18</v>
      </c>
      <c r="E4" s="3"/>
      <c r="F4" t="s">
        <v>31</v>
      </c>
      <c r="G4" s="3" t="s">
        <v>28</v>
      </c>
    </row>
    <row r="5" spans="1:9" s="1" customFormat="1" ht="15" customHeight="1" x14ac:dyDescent="0.25">
      <c r="A5" s="3"/>
      <c r="B5" s="3"/>
      <c r="C5" s="3"/>
      <c r="D5" s="3" t="s">
        <v>22</v>
      </c>
      <c r="E5" s="3"/>
      <c r="F5" t="s">
        <v>32</v>
      </c>
      <c r="G5" s="3"/>
      <c r="H5" s="3"/>
      <c r="I5" s="3"/>
    </row>
    <row r="6" spans="1:9" x14ac:dyDescent="0.25">
      <c r="A6" s="3"/>
      <c r="B6" s="3"/>
      <c r="C6" s="3"/>
      <c r="D6" s="3" t="s">
        <v>19</v>
      </c>
      <c r="E6" s="3"/>
      <c r="F6" t="s">
        <v>33</v>
      </c>
    </row>
    <row r="7" spans="1:9" x14ac:dyDescent="0.25">
      <c r="A7" s="3"/>
      <c r="B7" s="3"/>
      <c r="C7" s="3"/>
      <c r="D7" s="3" t="s">
        <v>20</v>
      </c>
      <c r="E7" s="3"/>
      <c r="F7" t="s">
        <v>34</v>
      </c>
    </row>
    <row r="8" spans="1:9" x14ac:dyDescent="0.25">
      <c r="A8" s="3"/>
      <c r="B8" s="3"/>
      <c r="C8" s="3"/>
      <c r="F8" t="s">
        <v>35</v>
      </c>
    </row>
    <row r="9" spans="1:9" x14ac:dyDescent="0.25">
      <c r="A9" s="2"/>
      <c r="F9" t="s">
        <v>20</v>
      </c>
    </row>
    <row r="10" spans="1:9" x14ac:dyDescent="0.25">
      <c r="F10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D850-A753-4F52-8C61-BE2136EE4254}">
  <dimension ref="A1:AJ871"/>
  <sheetViews>
    <sheetView workbookViewId="0">
      <pane ySplit="1" topLeftCell="A2" activePane="bottomLeft" state="frozen"/>
      <selection activeCell="K1" sqref="K1"/>
      <selection pane="bottomLeft" activeCell="T1" sqref="T1:T1048576"/>
    </sheetView>
  </sheetViews>
  <sheetFormatPr defaultRowHeight="15" x14ac:dyDescent="0.25"/>
  <cols>
    <col min="4" max="4" width="20.28515625" customWidth="1"/>
    <col min="6" max="6" width="18.28515625" customWidth="1"/>
    <col min="9" max="9" width="14.42578125" customWidth="1"/>
    <col min="32" max="32" width="17.140625" customWidth="1"/>
  </cols>
  <sheetData>
    <row r="1" spans="1:36" x14ac:dyDescent="0.25">
      <c r="A1" t="s">
        <v>37</v>
      </c>
      <c r="B1" t="s">
        <v>39</v>
      </c>
      <c r="C1" t="s">
        <v>117</v>
      </c>
      <c r="D1" t="s">
        <v>107</v>
      </c>
      <c r="E1" t="s">
        <v>41</v>
      </c>
      <c r="F1" t="s">
        <v>108</v>
      </c>
      <c r="G1" t="s">
        <v>42</v>
      </c>
      <c r="H1" t="s">
        <v>44</v>
      </c>
      <c r="I1" t="s">
        <v>109</v>
      </c>
      <c r="J1" t="s">
        <v>46</v>
      </c>
      <c r="K1" t="s">
        <v>48</v>
      </c>
      <c r="L1" t="s">
        <v>49</v>
      </c>
      <c r="M1" t="s">
        <v>110</v>
      </c>
      <c r="N1" t="s">
        <v>51</v>
      </c>
      <c r="O1" t="s">
        <v>53</v>
      </c>
      <c r="P1" t="s">
        <v>55</v>
      </c>
      <c r="Q1" t="s">
        <v>111</v>
      </c>
      <c r="R1" t="s">
        <v>57</v>
      </c>
      <c r="S1" t="s">
        <v>112</v>
      </c>
      <c r="T1" t="s">
        <v>59</v>
      </c>
      <c r="U1" t="s">
        <v>61</v>
      </c>
      <c r="V1" t="s">
        <v>62</v>
      </c>
      <c r="W1" t="s">
        <v>114</v>
      </c>
      <c r="X1" t="s">
        <v>113</v>
      </c>
      <c r="Y1" t="s">
        <v>64</v>
      </c>
      <c r="Z1" t="s">
        <v>66</v>
      </c>
      <c r="AA1" t="s">
        <v>68</v>
      </c>
      <c r="AB1" t="s">
        <v>69</v>
      </c>
      <c r="AC1" t="s">
        <v>70</v>
      </c>
      <c r="AD1" t="s">
        <v>72</v>
      </c>
      <c r="AE1" t="s">
        <v>74</v>
      </c>
      <c r="AF1" t="s">
        <v>76</v>
      </c>
      <c r="AG1" t="s">
        <v>78</v>
      </c>
      <c r="AH1" t="s">
        <v>80</v>
      </c>
      <c r="AI1" t="s">
        <v>82</v>
      </c>
      <c r="AJ1" t="s">
        <v>84</v>
      </c>
    </row>
    <row r="2" spans="1:36" s="15" customFormat="1" x14ac:dyDescent="0.25">
      <c r="A2">
        <v>634</v>
      </c>
      <c r="B2">
        <v>36</v>
      </c>
      <c r="C2" t="s">
        <v>9</v>
      </c>
      <c r="D2" t="s">
        <v>15</v>
      </c>
      <c r="E2">
        <v>922</v>
      </c>
      <c r="F2" t="s">
        <v>119</v>
      </c>
      <c r="G2">
        <v>3</v>
      </c>
      <c r="H2">
        <v>2</v>
      </c>
      <c r="I2" t="s">
        <v>21</v>
      </c>
      <c r="J2">
        <v>1</v>
      </c>
      <c r="K2">
        <v>155</v>
      </c>
      <c r="L2">
        <v>1</v>
      </c>
      <c r="M2" t="s">
        <v>24</v>
      </c>
      <c r="N2">
        <v>39</v>
      </c>
      <c r="O2">
        <v>3</v>
      </c>
      <c r="P2">
        <v>1</v>
      </c>
      <c r="Q2" t="s">
        <v>36</v>
      </c>
      <c r="R2">
        <v>4</v>
      </c>
      <c r="S2" t="s">
        <v>26</v>
      </c>
      <c r="T2">
        <v>2835</v>
      </c>
      <c r="U2">
        <v>2561</v>
      </c>
      <c r="V2">
        <v>5</v>
      </c>
      <c r="W2" t="s">
        <v>29</v>
      </c>
      <c r="X2" t="s">
        <v>9</v>
      </c>
      <c r="Y2">
        <v>22</v>
      </c>
      <c r="Z2">
        <v>4</v>
      </c>
      <c r="AA2">
        <v>1</v>
      </c>
      <c r="AB2">
        <v>80</v>
      </c>
      <c r="AC2">
        <v>1</v>
      </c>
      <c r="AD2">
        <v>7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</row>
    <row r="3" spans="1:36" s="15" customFormat="1" x14ac:dyDescent="0.25">
      <c r="A3">
        <v>246</v>
      </c>
      <c r="B3">
        <v>29</v>
      </c>
      <c r="C3" t="s">
        <v>9</v>
      </c>
      <c r="D3" t="s">
        <v>15</v>
      </c>
      <c r="E3">
        <v>1086</v>
      </c>
      <c r="F3" t="s">
        <v>119</v>
      </c>
      <c r="G3">
        <v>7</v>
      </c>
      <c r="H3">
        <v>1</v>
      </c>
      <c r="I3" t="s">
        <v>17</v>
      </c>
      <c r="J3">
        <v>1</v>
      </c>
      <c r="K3">
        <v>912</v>
      </c>
      <c r="L3">
        <v>1</v>
      </c>
      <c r="M3" t="s">
        <v>24</v>
      </c>
      <c r="N3">
        <v>62</v>
      </c>
      <c r="O3">
        <v>2</v>
      </c>
      <c r="P3">
        <v>1</v>
      </c>
      <c r="Q3" t="s">
        <v>36</v>
      </c>
      <c r="R3">
        <v>4</v>
      </c>
      <c r="S3" t="s">
        <v>26</v>
      </c>
      <c r="T3">
        <v>2532</v>
      </c>
      <c r="U3">
        <v>6054</v>
      </c>
      <c r="V3">
        <v>6</v>
      </c>
      <c r="W3" t="s">
        <v>29</v>
      </c>
      <c r="X3" t="s">
        <v>9</v>
      </c>
      <c r="Y3">
        <v>14</v>
      </c>
      <c r="Z3">
        <v>3</v>
      </c>
      <c r="AA3">
        <v>3</v>
      </c>
      <c r="AB3">
        <v>80</v>
      </c>
      <c r="AC3">
        <v>3</v>
      </c>
      <c r="AD3">
        <v>8</v>
      </c>
      <c r="AE3">
        <v>5</v>
      </c>
      <c r="AF3">
        <v>3</v>
      </c>
      <c r="AG3">
        <v>4</v>
      </c>
      <c r="AH3">
        <v>3</v>
      </c>
      <c r="AI3">
        <v>0</v>
      </c>
      <c r="AJ3">
        <v>3</v>
      </c>
    </row>
    <row r="4" spans="1:36" s="15" customFormat="1" x14ac:dyDescent="0.25">
      <c r="A4">
        <v>731</v>
      </c>
      <c r="B4">
        <v>43</v>
      </c>
      <c r="C4" t="s">
        <v>9</v>
      </c>
      <c r="D4" t="s">
        <v>15</v>
      </c>
      <c r="E4">
        <v>177</v>
      </c>
      <c r="F4" t="s">
        <v>119</v>
      </c>
      <c r="G4">
        <v>8</v>
      </c>
      <c r="H4">
        <v>3</v>
      </c>
      <c r="I4" t="s">
        <v>21</v>
      </c>
      <c r="J4">
        <v>1</v>
      </c>
      <c r="K4">
        <v>920</v>
      </c>
      <c r="L4">
        <v>1</v>
      </c>
      <c r="M4" t="s">
        <v>24</v>
      </c>
      <c r="N4">
        <v>55</v>
      </c>
      <c r="O4">
        <v>3</v>
      </c>
      <c r="P4">
        <v>2</v>
      </c>
      <c r="Q4" t="s">
        <v>31</v>
      </c>
      <c r="R4">
        <v>2</v>
      </c>
      <c r="S4" t="s">
        <v>26</v>
      </c>
      <c r="T4">
        <v>4765</v>
      </c>
      <c r="U4">
        <v>23814</v>
      </c>
      <c r="V4">
        <v>4</v>
      </c>
      <c r="W4" t="s">
        <v>29</v>
      </c>
      <c r="X4" t="s">
        <v>9</v>
      </c>
      <c r="Y4">
        <v>21</v>
      </c>
      <c r="Z4">
        <v>4</v>
      </c>
      <c r="AA4">
        <v>3</v>
      </c>
      <c r="AB4">
        <v>80</v>
      </c>
      <c r="AC4">
        <v>1</v>
      </c>
      <c r="AD4">
        <v>4</v>
      </c>
      <c r="AE4">
        <v>2</v>
      </c>
      <c r="AF4">
        <v>4</v>
      </c>
      <c r="AG4">
        <v>1</v>
      </c>
      <c r="AH4">
        <v>0</v>
      </c>
      <c r="AI4">
        <v>0</v>
      </c>
      <c r="AJ4">
        <v>0</v>
      </c>
    </row>
    <row r="5" spans="1:36" s="15" customFormat="1" x14ac:dyDescent="0.25">
      <c r="A5">
        <v>59</v>
      </c>
      <c r="B5">
        <v>37</v>
      </c>
      <c r="C5" t="s">
        <v>9</v>
      </c>
      <c r="D5" t="s">
        <v>16</v>
      </c>
      <c r="E5">
        <v>728</v>
      </c>
      <c r="F5" t="s">
        <v>119</v>
      </c>
      <c r="G5">
        <v>1</v>
      </c>
      <c r="H5">
        <v>4</v>
      </c>
      <c r="I5" t="s">
        <v>17</v>
      </c>
      <c r="J5">
        <v>1</v>
      </c>
      <c r="K5">
        <v>380</v>
      </c>
      <c r="L5">
        <v>1</v>
      </c>
      <c r="M5" t="s">
        <v>24</v>
      </c>
      <c r="N5">
        <v>80</v>
      </c>
      <c r="O5">
        <v>3</v>
      </c>
      <c r="P5">
        <v>3</v>
      </c>
      <c r="Q5" t="s">
        <v>30</v>
      </c>
      <c r="R5">
        <v>4</v>
      </c>
      <c r="S5" t="s">
        <v>26</v>
      </c>
      <c r="T5">
        <v>13603</v>
      </c>
      <c r="U5">
        <v>11677</v>
      </c>
      <c r="V5">
        <v>2</v>
      </c>
      <c r="W5" t="s">
        <v>29</v>
      </c>
      <c r="X5" t="s">
        <v>10</v>
      </c>
      <c r="Y5">
        <v>18</v>
      </c>
      <c r="Z5">
        <v>3</v>
      </c>
      <c r="AA5">
        <v>1</v>
      </c>
      <c r="AB5">
        <v>80</v>
      </c>
      <c r="AC5">
        <v>2</v>
      </c>
      <c r="AD5">
        <v>15</v>
      </c>
      <c r="AE5">
        <v>2</v>
      </c>
      <c r="AF5">
        <v>3</v>
      </c>
      <c r="AG5">
        <v>5</v>
      </c>
      <c r="AH5">
        <v>2</v>
      </c>
      <c r="AI5">
        <v>0</v>
      </c>
      <c r="AJ5">
        <v>2</v>
      </c>
    </row>
    <row r="6" spans="1:36" s="15" customFormat="1" x14ac:dyDescent="0.25">
      <c r="A6">
        <v>168</v>
      </c>
      <c r="B6">
        <v>33</v>
      </c>
      <c r="C6" t="s">
        <v>9</v>
      </c>
      <c r="D6" t="s">
        <v>15</v>
      </c>
      <c r="E6">
        <v>922</v>
      </c>
      <c r="F6" t="s">
        <v>119</v>
      </c>
      <c r="G6">
        <v>1</v>
      </c>
      <c r="H6">
        <v>5</v>
      </c>
      <c r="I6" t="s">
        <v>17</v>
      </c>
      <c r="J6">
        <v>1</v>
      </c>
      <c r="K6">
        <v>612</v>
      </c>
      <c r="L6">
        <v>1</v>
      </c>
      <c r="M6" t="s">
        <v>24</v>
      </c>
      <c r="N6">
        <v>95</v>
      </c>
      <c r="O6">
        <v>4</v>
      </c>
      <c r="P6">
        <v>4</v>
      </c>
      <c r="Q6" t="s">
        <v>30</v>
      </c>
      <c r="R6">
        <v>3</v>
      </c>
      <c r="S6" t="s">
        <v>26</v>
      </c>
      <c r="T6">
        <v>16184</v>
      </c>
      <c r="U6">
        <v>22578</v>
      </c>
      <c r="V6">
        <v>4</v>
      </c>
      <c r="W6" t="s">
        <v>29</v>
      </c>
      <c r="X6" t="s">
        <v>9</v>
      </c>
      <c r="Y6">
        <v>19</v>
      </c>
      <c r="Z6">
        <v>3</v>
      </c>
      <c r="AA6">
        <v>3</v>
      </c>
      <c r="AB6">
        <v>80</v>
      </c>
      <c r="AC6">
        <v>1</v>
      </c>
      <c r="AD6">
        <v>10</v>
      </c>
      <c r="AE6">
        <v>2</v>
      </c>
      <c r="AF6">
        <v>3</v>
      </c>
      <c r="AG6">
        <v>6</v>
      </c>
      <c r="AH6">
        <v>1</v>
      </c>
      <c r="AI6">
        <v>0</v>
      </c>
      <c r="AJ6">
        <v>5</v>
      </c>
    </row>
    <row r="7" spans="1:36" s="15" customFormat="1" x14ac:dyDescent="0.25">
      <c r="A7">
        <v>608</v>
      </c>
      <c r="B7">
        <v>38</v>
      </c>
      <c r="C7" t="s">
        <v>9</v>
      </c>
      <c r="D7" t="s">
        <v>15</v>
      </c>
      <c r="E7">
        <v>322</v>
      </c>
      <c r="F7" t="s">
        <v>118</v>
      </c>
      <c r="G7">
        <v>7</v>
      </c>
      <c r="H7">
        <v>2</v>
      </c>
      <c r="I7" t="s">
        <v>17</v>
      </c>
      <c r="J7">
        <v>1</v>
      </c>
      <c r="K7">
        <v>382</v>
      </c>
      <c r="L7">
        <v>1</v>
      </c>
      <c r="M7" t="s">
        <v>24</v>
      </c>
      <c r="N7">
        <v>44</v>
      </c>
      <c r="O7">
        <v>4</v>
      </c>
      <c r="P7">
        <v>2</v>
      </c>
      <c r="Q7" t="s">
        <v>25</v>
      </c>
      <c r="R7">
        <v>1</v>
      </c>
      <c r="S7" t="s">
        <v>26</v>
      </c>
      <c r="T7">
        <v>5605</v>
      </c>
      <c r="U7">
        <v>19191</v>
      </c>
      <c r="V7">
        <v>1</v>
      </c>
      <c r="W7" t="s">
        <v>29</v>
      </c>
      <c r="X7" t="s">
        <v>10</v>
      </c>
      <c r="Y7">
        <v>24</v>
      </c>
      <c r="Z7">
        <v>4</v>
      </c>
      <c r="AA7">
        <v>3</v>
      </c>
      <c r="AB7">
        <v>80</v>
      </c>
      <c r="AC7">
        <v>1</v>
      </c>
      <c r="AD7">
        <v>8</v>
      </c>
      <c r="AE7">
        <v>3</v>
      </c>
      <c r="AF7">
        <v>3</v>
      </c>
      <c r="AG7">
        <v>8</v>
      </c>
      <c r="AH7">
        <v>0</v>
      </c>
      <c r="AI7">
        <v>7</v>
      </c>
      <c r="AJ7">
        <v>7</v>
      </c>
    </row>
    <row r="8" spans="1:36" s="15" customFormat="1" x14ac:dyDescent="0.25">
      <c r="A8">
        <v>745</v>
      </c>
      <c r="B8">
        <v>25</v>
      </c>
      <c r="C8" t="s">
        <v>9</v>
      </c>
      <c r="D8" t="s">
        <v>15</v>
      </c>
      <c r="E8">
        <v>1382</v>
      </c>
      <c r="F8" t="s">
        <v>118</v>
      </c>
      <c r="G8">
        <v>8</v>
      </c>
      <c r="H8">
        <v>2</v>
      </c>
      <c r="I8" t="s">
        <v>19</v>
      </c>
      <c r="J8">
        <v>1</v>
      </c>
      <c r="K8">
        <v>2018</v>
      </c>
      <c r="L8">
        <v>1</v>
      </c>
      <c r="M8" t="s">
        <v>24</v>
      </c>
      <c r="N8">
        <v>85</v>
      </c>
      <c r="O8">
        <v>3</v>
      </c>
      <c r="P8">
        <v>2</v>
      </c>
      <c r="Q8" t="s">
        <v>25</v>
      </c>
      <c r="R8">
        <v>3</v>
      </c>
      <c r="S8" t="s">
        <v>26</v>
      </c>
      <c r="T8">
        <v>4907</v>
      </c>
      <c r="U8">
        <v>13684</v>
      </c>
      <c r="V8">
        <v>0</v>
      </c>
      <c r="W8" t="s">
        <v>29</v>
      </c>
      <c r="X8" t="s">
        <v>10</v>
      </c>
      <c r="Y8">
        <v>22</v>
      </c>
      <c r="Z8">
        <v>4</v>
      </c>
      <c r="AA8">
        <v>2</v>
      </c>
      <c r="AB8">
        <v>80</v>
      </c>
      <c r="AC8">
        <v>1</v>
      </c>
      <c r="AD8">
        <v>6</v>
      </c>
      <c r="AE8">
        <v>3</v>
      </c>
      <c r="AF8">
        <v>2</v>
      </c>
      <c r="AG8">
        <v>5</v>
      </c>
      <c r="AH8">
        <v>3</v>
      </c>
      <c r="AI8">
        <v>0</v>
      </c>
      <c r="AJ8">
        <v>4</v>
      </c>
    </row>
    <row r="9" spans="1:36" s="15" customFormat="1" x14ac:dyDescent="0.25">
      <c r="A9">
        <v>130</v>
      </c>
      <c r="B9">
        <v>46</v>
      </c>
      <c r="C9" t="s">
        <v>9</v>
      </c>
      <c r="D9" t="s">
        <v>15</v>
      </c>
      <c r="E9">
        <v>1319</v>
      </c>
      <c r="F9" t="s">
        <v>118</v>
      </c>
      <c r="G9">
        <v>3</v>
      </c>
      <c r="H9">
        <v>3</v>
      </c>
      <c r="I9" t="s">
        <v>22</v>
      </c>
      <c r="J9">
        <v>1</v>
      </c>
      <c r="K9">
        <v>1863</v>
      </c>
      <c r="L9">
        <v>1</v>
      </c>
      <c r="M9" t="s">
        <v>24</v>
      </c>
      <c r="N9">
        <v>45</v>
      </c>
      <c r="O9">
        <v>4</v>
      </c>
      <c r="P9">
        <v>4</v>
      </c>
      <c r="Q9" t="s">
        <v>25</v>
      </c>
      <c r="R9">
        <v>1</v>
      </c>
      <c r="S9" t="s">
        <v>26</v>
      </c>
      <c r="T9">
        <v>13225</v>
      </c>
      <c r="U9">
        <v>7739</v>
      </c>
      <c r="V9">
        <v>2</v>
      </c>
      <c r="W9" t="s">
        <v>29</v>
      </c>
      <c r="X9" t="s">
        <v>9</v>
      </c>
      <c r="Y9">
        <v>12</v>
      </c>
      <c r="Z9">
        <v>3</v>
      </c>
      <c r="AA9">
        <v>4</v>
      </c>
      <c r="AB9">
        <v>80</v>
      </c>
      <c r="AC9">
        <v>1</v>
      </c>
      <c r="AD9">
        <v>25</v>
      </c>
      <c r="AE9">
        <v>5</v>
      </c>
      <c r="AF9">
        <v>3</v>
      </c>
      <c r="AG9">
        <v>19</v>
      </c>
      <c r="AH9">
        <v>17</v>
      </c>
      <c r="AI9">
        <v>2</v>
      </c>
      <c r="AJ9">
        <v>8</v>
      </c>
    </row>
    <row r="10" spans="1:36" s="15" customFormat="1" x14ac:dyDescent="0.25">
      <c r="A10" s="15">
        <v>81</v>
      </c>
      <c r="B10" s="15">
        <v>37</v>
      </c>
      <c r="C10" s="15" t="s">
        <v>10</v>
      </c>
      <c r="D10" s="15" t="s">
        <v>15</v>
      </c>
      <c r="E10" s="15">
        <v>1141</v>
      </c>
      <c r="F10" s="15" t="s">
        <v>119</v>
      </c>
      <c r="G10" s="15">
        <v>11</v>
      </c>
      <c r="H10" s="15">
        <v>2</v>
      </c>
      <c r="I10" s="15" t="s">
        <v>17</v>
      </c>
      <c r="J10" s="15">
        <v>1</v>
      </c>
      <c r="K10" s="15">
        <v>1033</v>
      </c>
      <c r="L10" s="15">
        <v>1</v>
      </c>
      <c r="M10" s="15" t="s">
        <v>24</v>
      </c>
      <c r="N10" s="15">
        <v>61</v>
      </c>
      <c r="O10" s="15">
        <v>1</v>
      </c>
      <c r="P10" s="15">
        <v>2</v>
      </c>
      <c r="Q10" s="15" t="s">
        <v>34</v>
      </c>
      <c r="R10" s="15">
        <v>2</v>
      </c>
      <c r="S10" s="15" t="s">
        <v>28</v>
      </c>
      <c r="T10" s="15">
        <v>4777</v>
      </c>
      <c r="U10" s="15">
        <v>14382</v>
      </c>
      <c r="V10" s="15">
        <v>5</v>
      </c>
      <c r="W10" s="15" t="s">
        <v>29</v>
      </c>
      <c r="X10" s="15" t="s">
        <v>9</v>
      </c>
      <c r="Y10" s="15">
        <v>15</v>
      </c>
      <c r="Z10" s="15">
        <v>3</v>
      </c>
      <c r="AA10" s="15">
        <v>1</v>
      </c>
      <c r="AB10" s="15">
        <v>80</v>
      </c>
      <c r="AC10" s="15">
        <v>0</v>
      </c>
      <c r="AD10" s="15">
        <v>15</v>
      </c>
      <c r="AE10" s="15">
        <v>2</v>
      </c>
      <c r="AF10" s="15">
        <v>1</v>
      </c>
      <c r="AG10" s="15">
        <v>1</v>
      </c>
      <c r="AH10" s="15">
        <v>0</v>
      </c>
      <c r="AI10" s="15">
        <v>0</v>
      </c>
      <c r="AJ10" s="15">
        <v>0</v>
      </c>
    </row>
    <row r="11" spans="1:36" s="15" customFormat="1" x14ac:dyDescent="0.25">
      <c r="A11">
        <v>173</v>
      </c>
      <c r="B11">
        <v>46</v>
      </c>
      <c r="C11" t="s">
        <v>9</v>
      </c>
      <c r="D11" t="s">
        <v>11</v>
      </c>
      <c r="E11">
        <v>1034</v>
      </c>
      <c r="F11" t="s">
        <v>119</v>
      </c>
      <c r="G11">
        <v>18</v>
      </c>
      <c r="H11">
        <v>1</v>
      </c>
      <c r="I11" t="s">
        <v>17</v>
      </c>
      <c r="J11">
        <v>1</v>
      </c>
      <c r="K11">
        <v>624</v>
      </c>
      <c r="L11">
        <v>1</v>
      </c>
      <c r="M11" t="s">
        <v>24</v>
      </c>
      <c r="N11">
        <v>86</v>
      </c>
      <c r="O11">
        <v>3</v>
      </c>
      <c r="P11">
        <v>3</v>
      </c>
      <c r="Q11" t="s">
        <v>34</v>
      </c>
      <c r="R11">
        <v>3</v>
      </c>
      <c r="S11" t="s">
        <v>28</v>
      </c>
      <c r="T11">
        <v>10527</v>
      </c>
      <c r="U11">
        <v>8984</v>
      </c>
      <c r="V11">
        <v>5</v>
      </c>
      <c r="W11" t="s">
        <v>29</v>
      </c>
      <c r="X11" t="s">
        <v>9</v>
      </c>
      <c r="Y11">
        <v>11</v>
      </c>
      <c r="Z11">
        <v>3</v>
      </c>
      <c r="AA11">
        <v>4</v>
      </c>
      <c r="AB11">
        <v>80</v>
      </c>
      <c r="AC11">
        <v>0</v>
      </c>
      <c r="AD11">
        <v>28</v>
      </c>
      <c r="AE11">
        <v>3</v>
      </c>
      <c r="AF11">
        <v>2</v>
      </c>
      <c r="AG11">
        <v>2</v>
      </c>
      <c r="AH11">
        <v>2</v>
      </c>
      <c r="AI11">
        <v>1</v>
      </c>
      <c r="AJ11">
        <v>2</v>
      </c>
    </row>
    <row r="12" spans="1:36" s="15" customFormat="1" x14ac:dyDescent="0.25">
      <c r="A12">
        <v>199</v>
      </c>
      <c r="B12">
        <v>44</v>
      </c>
      <c r="C12" t="s">
        <v>9</v>
      </c>
      <c r="D12" t="s">
        <v>15</v>
      </c>
      <c r="E12">
        <v>477</v>
      </c>
      <c r="F12" t="s">
        <v>119</v>
      </c>
      <c r="G12">
        <v>7</v>
      </c>
      <c r="H12">
        <v>4</v>
      </c>
      <c r="I12" t="s">
        <v>17</v>
      </c>
      <c r="J12">
        <v>1</v>
      </c>
      <c r="K12">
        <v>36</v>
      </c>
      <c r="L12">
        <v>1</v>
      </c>
      <c r="M12" t="s">
        <v>24</v>
      </c>
      <c r="N12">
        <v>42</v>
      </c>
      <c r="O12">
        <v>2</v>
      </c>
      <c r="P12">
        <v>3</v>
      </c>
      <c r="Q12" t="s">
        <v>34</v>
      </c>
      <c r="R12">
        <v>4</v>
      </c>
      <c r="S12" t="s">
        <v>28</v>
      </c>
      <c r="T12">
        <v>10248</v>
      </c>
      <c r="U12">
        <v>2094</v>
      </c>
      <c r="V12">
        <v>3</v>
      </c>
      <c r="W12" t="s">
        <v>29</v>
      </c>
      <c r="X12" t="s">
        <v>9</v>
      </c>
      <c r="Y12">
        <v>14</v>
      </c>
      <c r="Z12">
        <v>3</v>
      </c>
      <c r="AA12">
        <v>4</v>
      </c>
      <c r="AB12">
        <v>80</v>
      </c>
      <c r="AC12">
        <v>1</v>
      </c>
      <c r="AD12">
        <v>24</v>
      </c>
      <c r="AE12">
        <v>4</v>
      </c>
      <c r="AF12">
        <v>3</v>
      </c>
      <c r="AG12">
        <v>22</v>
      </c>
      <c r="AH12">
        <v>6</v>
      </c>
      <c r="AI12">
        <v>5</v>
      </c>
      <c r="AJ12">
        <v>17</v>
      </c>
    </row>
    <row r="13" spans="1:36" s="15" customFormat="1" x14ac:dyDescent="0.25">
      <c r="A13">
        <v>617</v>
      </c>
      <c r="B13">
        <v>33</v>
      </c>
      <c r="C13" t="s">
        <v>9</v>
      </c>
      <c r="D13" t="s">
        <v>15</v>
      </c>
      <c r="E13">
        <v>1099</v>
      </c>
      <c r="F13" t="s">
        <v>119</v>
      </c>
      <c r="G13">
        <v>4</v>
      </c>
      <c r="H13">
        <v>4</v>
      </c>
      <c r="I13" t="s">
        <v>17</v>
      </c>
      <c r="J13">
        <v>1</v>
      </c>
      <c r="K13">
        <v>1502</v>
      </c>
      <c r="L13">
        <v>1</v>
      </c>
      <c r="M13" t="s">
        <v>24</v>
      </c>
      <c r="N13">
        <v>82</v>
      </c>
      <c r="O13">
        <v>2</v>
      </c>
      <c r="P13">
        <v>1</v>
      </c>
      <c r="Q13" t="s">
        <v>36</v>
      </c>
      <c r="R13">
        <v>2</v>
      </c>
      <c r="S13" t="s">
        <v>28</v>
      </c>
      <c r="T13">
        <v>3838</v>
      </c>
      <c r="U13">
        <v>8192</v>
      </c>
      <c r="V13">
        <v>8</v>
      </c>
      <c r="W13" t="s">
        <v>29</v>
      </c>
      <c r="X13" t="s">
        <v>9</v>
      </c>
      <c r="Y13">
        <v>11</v>
      </c>
      <c r="Z13">
        <v>3</v>
      </c>
      <c r="AA13">
        <v>4</v>
      </c>
      <c r="AB13">
        <v>80</v>
      </c>
      <c r="AC13">
        <v>0</v>
      </c>
      <c r="AD13">
        <v>8</v>
      </c>
      <c r="AE13">
        <v>5</v>
      </c>
      <c r="AF13">
        <v>3</v>
      </c>
      <c r="AG13">
        <v>5</v>
      </c>
      <c r="AH13">
        <v>4</v>
      </c>
      <c r="AI13">
        <v>0</v>
      </c>
      <c r="AJ13">
        <v>2</v>
      </c>
    </row>
    <row r="14" spans="1:36" s="15" customFormat="1" x14ac:dyDescent="0.25">
      <c r="A14">
        <v>547</v>
      </c>
      <c r="B14">
        <v>49</v>
      </c>
      <c r="C14" t="s">
        <v>9</v>
      </c>
      <c r="D14" t="s">
        <v>15</v>
      </c>
      <c r="E14">
        <v>527</v>
      </c>
      <c r="F14" t="s">
        <v>119</v>
      </c>
      <c r="G14">
        <v>8</v>
      </c>
      <c r="H14">
        <v>2</v>
      </c>
      <c r="I14" t="s">
        <v>19</v>
      </c>
      <c r="J14">
        <v>1</v>
      </c>
      <c r="K14">
        <v>944</v>
      </c>
      <c r="L14">
        <v>1</v>
      </c>
      <c r="M14" t="s">
        <v>24</v>
      </c>
      <c r="N14">
        <v>51</v>
      </c>
      <c r="O14">
        <v>3</v>
      </c>
      <c r="P14">
        <v>3</v>
      </c>
      <c r="Q14" t="s">
        <v>36</v>
      </c>
      <c r="R14">
        <v>2</v>
      </c>
      <c r="S14" t="s">
        <v>28</v>
      </c>
      <c r="T14">
        <v>7403</v>
      </c>
      <c r="U14">
        <v>22477</v>
      </c>
      <c r="V14">
        <v>4</v>
      </c>
      <c r="W14" t="s">
        <v>29</v>
      </c>
      <c r="X14" t="s">
        <v>9</v>
      </c>
      <c r="Y14">
        <v>11</v>
      </c>
      <c r="Z14">
        <v>3</v>
      </c>
      <c r="AA14">
        <v>3</v>
      </c>
      <c r="AB14">
        <v>80</v>
      </c>
      <c r="AC14">
        <v>1</v>
      </c>
      <c r="AD14">
        <v>29</v>
      </c>
      <c r="AE14">
        <v>3</v>
      </c>
      <c r="AF14">
        <v>2</v>
      </c>
      <c r="AG14">
        <v>26</v>
      </c>
      <c r="AH14">
        <v>9</v>
      </c>
      <c r="AI14">
        <v>1</v>
      </c>
      <c r="AJ14">
        <v>7</v>
      </c>
    </row>
    <row r="15" spans="1:36" s="15" customFormat="1" x14ac:dyDescent="0.25">
      <c r="A15">
        <v>519</v>
      </c>
      <c r="B15">
        <v>30</v>
      </c>
      <c r="C15" t="s">
        <v>9</v>
      </c>
      <c r="D15" t="s">
        <v>15</v>
      </c>
      <c r="E15">
        <v>1138</v>
      </c>
      <c r="F15" t="s">
        <v>119</v>
      </c>
      <c r="G15">
        <v>6</v>
      </c>
      <c r="H15">
        <v>3</v>
      </c>
      <c r="I15" t="s">
        <v>22</v>
      </c>
      <c r="J15">
        <v>1</v>
      </c>
      <c r="K15">
        <v>1311</v>
      </c>
      <c r="L15">
        <v>1</v>
      </c>
      <c r="M15" t="s">
        <v>24</v>
      </c>
      <c r="N15">
        <v>48</v>
      </c>
      <c r="O15">
        <v>2</v>
      </c>
      <c r="P15">
        <v>2</v>
      </c>
      <c r="Q15" t="s">
        <v>36</v>
      </c>
      <c r="R15">
        <v>4</v>
      </c>
      <c r="S15" t="s">
        <v>28</v>
      </c>
      <c r="T15">
        <v>4627</v>
      </c>
      <c r="U15">
        <v>23631</v>
      </c>
      <c r="V15">
        <v>0</v>
      </c>
      <c r="W15" t="s">
        <v>29</v>
      </c>
      <c r="X15" t="s">
        <v>9</v>
      </c>
      <c r="Y15">
        <v>12</v>
      </c>
      <c r="Z15">
        <v>3</v>
      </c>
      <c r="AA15">
        <v>1</v>
      </c>
      <c r="AB15">
        <v>80</v>
      </c>
      <c r="AC15">
        <v>1</v>
      </c>
      <c r="AD15">
        <v>10</v>
      </c>
      <c r="AE15">
        <v>6</v>
      </c>
      <c r="AF15">
        <v>3</v>
      </c>
      <c r="AG15">
        <v>9</v>
      </c>
      <c r="AH15">
        <v>2</v>
      </c>
      <c r="AI15">
        <v>6</v>
      </c>
      <c r="AJ15">
        <v>7</v>
      </c>
    </row>
    <row r="16" spans="1:36" s="15" customFormat="1" x14ac:dyDescent="0.25">
      <c r="A16">
        <v>409</v>
      </c>
      <c r="B16">
        <v>53</v>
      </c>
      <c r="C16" t="s">
        <v>9</v>
      </c>
      <c r="D16" t="s">
        <v>15</v>
      </c>
      <c r="E16">
        <v>1219</v>
      </c>
      <c r="F16" t="s">
        <v>118</v>
      </c>
      <c r="G16">
        <v>2</v>
      </c>
      <c r="H16">
        <v>4</v>
      </c>
      <c r="I16" t="s">
        <v>21</v>
      </c>
      <c r="J16">
        <v>1</v>
      </c>
      <c r="K16">
        <v>23</v>
      </c>
      <c r="L16">
        <v>1</v>
      </c>
      <c r="M16" t="s">
        <v>24</v>
      </c>
      <c r="N16">
        <v>78</v>
      </c>
      <c r="O16">
        <v>2</v>
      </c>
      <c r="P16">
        <v>4</v>
      </c>
      <c r="Q16" t="s">
        <v>35</v>
      </c>
      <c r="R16">
        <v>4</v>
      </c>
      <c r="S16" t="s">
        <v>28</v>
      </c>
      <c r="T16">
        <v>15427</v>
      </c>
      <c r="U16">
        <v>22021</v>
      </c>
      <c r="V16">
        <v>2</v>
      </c>
      <c r="W16" t="s">
        <v>29</v>
      </c>
      <c r="X16" t="s">
        <v>9</v>
      </c>
      <c r="Y16">
        <v>16</v>
      </c>
      <c r="Z16">
        <v>3</v>
      </c>
      <c r="AA16">
        <v>3</v>
      </c>
      <c r="AB16">
        <v>80</v>
      </c>
      <c r="AC16">
        <v>0</v>
      </c>
      <c r="AD16">
        <v>31</v>
      </c>
      <c r="AE16">
        <v>3</v>
      </c>
      <c r="AF16">
        <v>3</v>
      </c>
      <c r="AG16">
        <v>25</v>
      </c>
      <c r="AH16">
        <v>8</v>
      </c>
      <c r="AI16">
        <v>3</v>
      </c>
      <c r="AJ16">
        <v>7</v>
      </c>
    </row>
    <row r="17" spans="1:36" s="15" customFormat="1" x14ac:dyDescent="0.25">
      <c r="A17">
        <v>496</v>
      </c>
      <c r="B17">
        <v>51</v>
      </c>
      <c r="C17" t="s">
        <v>9</v>
      </c>
      <c r="D17" t="s">
        <v>15</v>
      </c>
      <c r="E17">
        <v>1318</v>
      </c>
      <c r="F17" t="s">
        <v>118</v>
      </c>
      <c r="G17">
        <v>26</v>
      </c>
      <c r="H17">
        <v>4</v>
      </c>
      <c r="I17" t="s">
        <v>18</v>
      </c>
      <c r="J17">
        <v>1</v>
      </c>
      <c r="K17">
        <v>851</v>
      </c>
      <c r="L17">
        <v>1</v>
      </c>
      <c r="M17" t="s">
        <v>24</v>
      </c>
      <c r="N17">
        <v>66</v>
      </c>
      <c r="O17">
        <v>3</v>
      </c>
      <c r="P17">
        <v>4</v>
      </c>
      <c r="Q17" t="s">
        <v>35</v>
      </c>
      <c r="R17">
        <v>3</v>
      </c>
      <c r="S17" t="s">
        <v>28</v>
      </c>
      <c r="T17">
        <v>16307</v>
      </c>
      <c r="U17">
        <v>5594</v>
      </c>
      <c r="V17">
        <v>2</v>
      </c>
      <c r="W17" t="s">
        <v>29</v>
      </c>
      <c r="X17" t="s">
        <v>9</v>
      </c>
      <c r="Y17">
        <v>14</v>
      </c>
      <c r="Z17">
        <v>3</v>
      </c>
      <c r="AA17">
        <v>3</v>
      </c>
      <c r="AB17">
        <v>80</v>
      </c>
      <c r="AC17">
        <v>1</v>
      </c>
      <c r="AD17">
        <v>29</v>
      </c>
      <c r="AE17">
        <v>2</v>
      </c>
      <c r="AF17">
        <v>2</v>
      </c>
      <c r="AG17">
        <v>20</v>
      </c>
      <c r="AH17">
        <v>6</v>
      </c>
      <c r="AI17">
        <v>4</v>
      </c>
      <c r="AJ17">
        <v>17</v>
      </c>
    </row>
    <row r="18" spans="1:36" s="15" customFormat="1" x14ac:dyDescent="0.25">
      <c r="A18">
        <v>11</v>
      </c>
      <c r="B18">
        <v>43</v>
      </c>
      <c r="C18" t="s">
        <v>9</v>
      </c>
      <c r="D18" t="s">
        <v>15</v>
      </c>
      <c r="E18">
        <v>823</v>
      </c>
      <c r="F18" t="s">
        <v>119</v>
      </c>
      <c r="G18">
        <v>6</v>
      </c>
      <c r="H18">
        <v>3</v>
      </c>
      <c r="I18" t="s">
        <v>17</v>
      </c>
      <c r="J18">
        <v>1</v>
      </c>
      <c r="K18">
        <v>1866</v>
      </c>
      <c r="L18">
        <v>1</v>
      </c>
      <c r="M18" t="s">
        <v>24</v>
      </c>
      <c r="N18">
        <v>81</v>
      </c>
      <c r="O18">
        <v>2</v>
      </c>
      <c r="P18">
        <v>5</v>
      </c>
      <c r="Q18" t="s">
        <v>35</v>
      </c>
      <c r="R18">
        <v>3</v>
      </c>
      <c r="S18" t="s">
        <v>28</v>
      </c>
      <c r="T18">
        <v>19392</v>
      </c>
      <c r="U18">
        <v>22539</v>
      </c>
      <c r="V18">
        <v>7</v>
      </c>
      <c r="W18" t="s">
        <v>29</v>
      </c>
      <c r="X18" t="s">
        <v>9</v>
      </c>
      <c r="Y18">
        <v>13</v>
      </c>
      <c r="Z18">
        <v>3</v>
      </c>
      <c r="AA18">
        <v>4</v>
      </c>
      <c r="AB18">
        <v>80</v>
      </c>
      <c r="AC18">
        <v>0</v>
      </c>
      <c r="AD18">
        <v>21</v>
      </c>
      <c r="AE18">
        <v>2</v>
      </c>
      <c r="AF18">
        <v>3</v>
      </c>
      <c r="AG18">
        <v>16</v>
      </c>
      <c r="AH18">
        <v>12</v>
      </c>
      <c r="AI18">
        <v>6</v>
      </c>
      <c r="AJ18">
        <v>14</v>
      </c>
    </row>
    <row r="19" spans="1:36" s="15" customFormat="1" x14ac:dyDescent="0.25">
      <c r="A19">
        <v>654</v>
      </c>
      <c r="B19">
        <v>48</v>
      </c>
      <c r="C19" t="s">
        <v>9</v>
      </c>
      <c r="D19" t="s">
        <v>15</v>
      </c>
      <c r="E19">
        <v>530</v>
      </c>
      <c r="F19" t="s">
        <v>118</v>
      </c>
      <c r="G19">
        <v>29</v>
      </c>
      <c r="H19">
        <v>1</v>
      </c>
      <c r="I19" t="s">
        <v>17</v>
      </c>
      <c r="J19">
        <v>1</v>
      </c>
      <c r="K19">
        <v>473</v>
      </c>
      <c r="L19">
        <v>1</v>
      </c>
      <c r="M19" t="s">
        <v>24</v>
      </c>
      <c r="N19">
        <v>91</v>
      </c>
      <c r="O19">
        <v>3</v>
      </c>
      <c r="P19">
        <v>3</v>
      </c>
      <c r="Q19" t="s">
        <v>35</v>
      </c>
      <c r="R19">
        <v>3</v>
      </c>
      <c r="S19" t="s">
        <v>28</v>
      </c>
      <c r="T19">
        <v>12504</v>
      </c>
      <c r="U19">
        <v>23978</v>
      </c>
      <c r="V19">
        <v>3</v>
      </c>
      <c r="W19" t="s">
        <v>29</v>
      </c>
      <c r="X19" t="s">
        <v>9</v>
      </c>
      <c r="Y19">
        <v>21</v>
      </c>
      <c r="Z19">
        <v>4</v>
      </c>
      <c r="AA19">
        <v>2</v>
      </c>
      <c r="AB19">
        <v>80</v>
      </c>
      <c r="AC19">
        <v>1</v>
      </c>
      <c r="AD19">
        <v>15</v>
      </c>
      <c r="AE19">
        <v>3</v>
      </c>
      <c r="AF19">
        <v>1</v>
      </c>
      <c r="AG19">
        <v>0</v>
      </c>
      <c r="AH19">
        <v>0</v>
      </c>
      <c r="AI19">
        <v>0</v>
      </c>
      <c r="AJ19">
        <v>0</v>
      </c>
    </row>
    <row r="20" spans="1:36" s="15" customFormat="1" x14ac:dyDescent="0.25">
      <c r="A20">
        <v>787</v>
      </c>
      <c r="B20">
        <v>51</v>
      </c>
      <c r="C20" t="s">
        <v>9</v>
      </c>
      <c r="D20" t="s">
        <v>15</v>
      </c>
      <c r="E20">
        <v>942</v>
      </c>
      <c r="F20" t="s">
        <v>119</v>
      </c>
      <c r="G20">
        <v>3</v>
      </c>
      <c r="H20">
        <v>3</v>
      </c>
      <c r="I20" t="s">
        <v>22</v>
      </c>
      <c r="J20">
        <v>1</v>
      </c>
      <c r="K20">
        <v>1786</v>
      </c>
      <c r="L20">
        <v>1</v>
      </c>
      <c r="M20" t="s">
        <v>24</v>
      </c>
      <c r="N20">
        <v>53</v>
      </c>
      <c r="O20">
        <v>3</v>
      </c>
      <c r="P20">
        <v>3</v>
      </c>
      <c r="Q20" t="s">
        <v>35</v>
      </c>
      <c r="R20">
        <v>3</v>
      </c>
      <c r="S20" t="s">
        <v>28</v>
      </c>
      <c r="T20">
        <v>13116</v>
      </c>
      <c r="U20">
        <v>22984</v>
      </c>
      <c r="V20">
        <v>2</v>
      </c>
      <c r="W20" t="s">
        <v>29</v>
      </c>
      <c r="X20" t="s">
        <v>9</v>
      </c>
      <c r="Y20">
        <v>11</v>
      </c>
      <c r="Z20">
        <v>3</v>
      </c>
      <c r="AA20">
        <v>4</v>
      </c>
      <c r="AB20">
        <v>80</v>
      </c>
      <c r="AC20">
        <v>0</v>
      </c>
      <c r="AD20">
        <v>15</v>
      </c>
      <c r="AE20">
        <v>2</v>
      </c>
      <c r="AF20">
        <v>3</v>
      </c>
      <c r="AG20">
        <v>2</v>
      </c>
      <c r="AH20">
        <v>2</v>
      </c>
      <c r="AI20">
        <v>2</v>
      </c>
      <c r="AJ20">
        <v>2</v>
      </c>
    </row>
    <row r="21" spans="1:36" s="15" customFormat="1" x14ac:dyDescent="0.25">
      <c r="A21">
        <v>211</v>
      </c>
      <c r="B21">
        <v>41</v>
      </c>
      <c r="C21" t="s">
        <v>9</v>
      </c>
      <c r="D21" t="s">
        <v>15</v>
      </c>
      <c r="E21">
        <v>582</v>
      </c>
      <c r="F21" t="s">
        <v>119</v>
      </c>
      <c r="G21">
        <v>28</v>
      </c>
      <c r="H21">
        <v>4</v>
      </c>
      <c r="I21" t="s">
        <v>21</v>
      </c>
      <c r="J21">
        <v>1</v>
      </c>
      <c r="K21">
        <v>2034</v>
      </c>
      <c r="L21">
        <v>1</v>
      </c>
      <c r="M21" t="s">
        <v>24</v>
      </c>
      <c r="N21">
        <v>60</v>
      </c>
      <c r="O21">
        <v>2</v>
      </c>
      <c r="P21">
        <v>4</v>
      </c>
      <c r="Q21" t="s">
        <v>31</v>
      </c>
      <c r="R21">
        <v>2</v>
      </c>
      <c r="S21" t="s">
        <v>28</v>
      </c>
      <c r="T21">
        <v>13570</v>
      </c>
      <c r="U21">
        <v>5640</v>
      </c>
      <c r="V21">
        <v>0</v>
      </c>
      <c r="W21" t="s">
        <v>29</v>
      </c>
      <c r="X21" t="s">
        <v>9</v>
      </c>
      <c r="Y21">
        <v>23</v>
      </c>
      <c r="Z21">
        <v>4</v>
      </c>
      <c r="AA21">
        <v>3</v>
      </c>
      <c r="AB21">
        <v>80</v>
      </c>
      <c r="AC21">
        <v>1</v>
      </c>
      <c r="AD21">
        <v>21</v>
      </c>
      <c r="AE21">
        <v>3</v>
      </c>
      <c r="AF21">
        <v>3</v>
      </c>
      <c r="AG21">
        <v>20</v>
      </c>
      <c r="AH21">
        <v>7</v>
      </c>
      <c r="AI21">
        <v>0</v>
      </c>
      <c r="AJ21">
        <v>10</v>
      </c>
    </row>
    <row r="22" spans="1:36" s="15" customFormat="1" x14ac:dyDescent="0.25">
      <c r="A22">
        <v>595</v>
      </c>
      <c r="B22">
        <v>40</v>
      </c>
      <c r="C22" t="s">
        <v>9</v>
      </c>
      <c r="D22" t="s">
        <v>15</v>
      </c>
      <c r="E22">
        <v>884</v>
      </c>
      <c r="F22" t="s">
        <v>119</v>
      </c>
      <c r="G22">
        <v>15</v>
      </c>
      <c r="H22">
        <v>3</v>
      </c>
      <c r="I22" t="s">
        <v>21</v>
      </c>
      <c r="J22">
        <v>1</v>
      </c>
      <c r="K22">
        <v>1628</v>
      </c>
      <c r="L22">
        <v>1</v>
      </c>
      <c r="M22" t="s">
        <v>24</v>
      </c>
      <c r="N22">
        <v>80</v>
      </c>
      <c r="O22">
        <v>2</v>
      </c>
      <c r="P22">
        <v>3</v>
      </c>
      <c r="Q22" t="s">
        <v>31</v>
      </c>
      <c r="R22">
        <v>3</v>
      </c>
      <c r="S22" t="s">
        <v>28</v>
      </c>
      <c r="T22">
        <v>10435</v>
      </c>
      <c r="U22">
        <v>25800</v>
      </c>
      <c r="V22">
        <v>1</v>
      </c>
      <c r="W22" t="s">
        <v>29</v>
      </c>
      <c r="X22" t="s">
        <v>9</v>
      </c>
      <c r="Y22">
        <v>13</v>
      </c>
      <c r="Z22">
        <v>3</v>
      </c>
      <c r="AA22">
        <v>4</v>
      </c>
      <c r="AB22">
        <v>80</v>
      </c>
      <c r="AC22">
        <v>2</v>
      </c>
      <c r="AD22">
        <v>18</v>
      </c>
      <c r="AE22">
        <v>2</v>
      </c>
      <c r="AF22">
        <v>3</v>
      </c>
      <c r="AG22">
        <v>18</v>
      </c>
      <c r="AH22">
        <v>15</v>
      </c>
      <c r="AI22">
        <v>14</v>
      </c>
      <c r="AJ22">
        <v>12</v>
      </c>
    </row>
    <row r="23" spans="1:36" s="15" customFormat="1" x14ac:dyDescent="0.25">
      <c r="A23">
        <v>726</v>
      </c>
      <c r="B23">
        <v>25</v>
      </c>
      <c r="C23" t="s">
        <v>9</v>
      </c>
      <c r="D23" t="s">
        <v>15</v>
      </c>
      <c r="E23">
        <v>685</v>
      </c>
      <c r="F23" t="s">
        <v>119</v>
      </c>
      <c r="G23">
        <v>1</v>
      </c>
      <c r="H23">
        <v>3</v>
      </c>
      <c r="I23" t="s">
        <v>21</v>
      </c>
      <c r="J23">
        <v>1</v>
      </c>
      <c r="K23">
        <v>350</v>
      </c>
      <c r="L23">
        <v>1</v>
      </c>
      <c r="M23" t="s">
        <v>24</v>
      </c>
      <c r="N23">
        <v>62</v>
      </c>
      <c r="O23">
        <v>3</v>
      </c>
      <c r="P23">
        <v>2</v>
      </c>
      <c r="Q23" t="s">
        <v>31</v>
      </c>
      <c r="R23">
        <v>3</v>
      </c>
      <c r="S23" t="s">
        <v>28</v>
      </c>
      <c r="T23">
        <v>4898</v>
      </c>
      <c r="U23">
        <v>7505</v>
      </c>
      <c r="V23">
        <v>0</v>
      </c>
      <c r="W23" t="s">
        <v>29</v>
      </c>
      <c r="X23" t="s">
        <v>9</v>
      </c>
      <c r="Y23">
        <v>12</v>
      </c>
      <c r="Z23">
        <v>3</v>
      </c>
      <c r="AA23">
        <v>4</v>
      </c>
      <c r="AB23">
        <v>80</v>
      </c>
      <c r="AC23">
        <v>2</v>
      </c>
      <c r="AD23">
        <v>5</v>
      </c>
      <c r="AE23">
        <v>3</v>
      </c>
      <c r="AF23">
        <v>3</v>
      </c>
      <c r="AG23">
        <v>4</v>
      </c>
      <c r="AH23">
        <v>2</v>
      </c>
      <c r="AI23">
        <v>1</v>
      </c>
      <c r="AJ23">
        <v>2</v>
      </c>
    </row>
    <row r="24" spans="1:36" s="15" customFormat="1" x14ac:dyDescent="0.25">
      <c r="A24" s="15">
        <v>860</v>
      </c>
      <c r="B24" s="15">
        <v>44</v>
      </c>
      <c r="C24" s="15" t="s">
        <v>10</v>
      </c>
      <c r="D24" s="15" t="s">
        <v>15</v>
      </c>
      <c r="E24" s="15">
        <v>621</v>
      </c>
      <c r="F24" s="15" t="s">
        <v>119</v>
      </c>
      <c r="G24" s="15">
        <v>15</v>
      </c>
      <c r="H24" s="15">
        <v>3</v>
      </c>
      <c r="I24" s="15" t="s">
        <v>17</v>
      </c>
      <c r="J24" s="15">
        <v>1</v>
      </c>
      <c r="K24" s="15">
        <v>1295</v>
      </c>
      <c r="L24" s="15">
        <v>1</v>
      </c>
      <c r="M24" s="15" t="s">
        <v>24</v>
      </c>
      <c r="N24" s="15">
        <v>73</v>
      </c>
      <c r="O24" s="15">
        <v>3</v>
      </c>
      <c r="P24" s="15">
        <v>3</v>
      </c>
      <c r="Q24" s="15" t="s">
        <v>34</v>
      </c>
      <c r="R24" s="15">
        <v>4</v>
      </c>
      <c r="S24" s="15" t="s">
        <v>28</v>
      </c>
      <c r="T24" s="15">
        <v>7978</v>
      </c>
      <c r="U24" s="15">
        <v>14075</v>
      </c>
      <c r="V24" s="15">
        <v>1</v>
      </c>
      <c r="W24" s="15" t="s">
        <v>29</v>
      </c>
      <c r="X24" s="15" t="s">
        <v>9</v>
      </c>
      <c r="Y24" s="15">
        <v>11</v>
      </c>
      <c r="Z24" s="15">
        <v>3</v>
      </c>
      <c r="AA24" s="15">
        <v>4</v>
      </c>
      <c r="AB24" s="15">
        <v>80</v>
      </c>
      <c r="AC24" s="15">
        <v>1</v>
      </c>
      <c r="AD24" s="15">
        <v>10</v>
      </c>
      <c r="AE24" s="15">
        <v>2</v>
      </c>
      <c r="AF24" s="15">
        <v>3</v>
      </c>
      <c r="AG24" s="15">
        <v>10</v>
      </c>
      <c r="AH24" s="15">
        <v>7</v>
      </c>
      <c r="AI24" s="15">
        <v>0</v>
      </c>
      <c r="AJ24" s="15">
        <v>5</v>
      </c>
    </row>
    <row r="25" spans="1:36" s="15" customFormat="1" x14ac:dyDescent="0.25">
      <c r="A25">
        <v>121</v>
      </c>
      <c r="B25">
        <v>36</v>
      </c>
      <c r="C25" t="s">
        <v>9</v>
      </c>
      <c r="D25" t="s">
        <v>16</v>
      </c>
      <c r="E25">
        <v>427</v>
      </c>
      <c r="F25" t="s">
        <v>119</v>
      </c>
      <c r="G25">
        <v>8</v>
      </c>
      <c r="H25">
        <v>3</v>
      </c>
      <c r="I25" t="s">
        <v>21</v>
      </c>
      <c r="J25">
        <v>1</v>
      </c>
      <c r="K25">
        <v>742</v>
      </c>
      <c r="L25">
        <v>1</v>
      </c>
      <c r="M25" t="s">
        <v>24</v>
      </c>
      <c r="N25">
        <v>63</v>
      </c>
      <c r="O25">
        <v>4</v>
      </c>
      <c r="P25">
        <v>3</v>
      </c>
      <c r="Q25" t="s">
        <v>30</v>
      </c>
      <c r="R25">
        <v>1</v>
      </c>
      <c r="S25" t="s">
        <v>28</v>
      </c>
      <c r="T25">
        <v>11713</v>
      </c>
      <c r="U25">
        <v>20335</v>
      </c>
      <c r="V25">
        <v>9</v>
      </c>
      <c r="W25" t="s">
        <v>29</v>
      </c>
      <c r="X25" t="s">
        <v>9</v>
      </c>
      <c r="Y25">
        <v>14</v>
      </c>
      <c r="Z25">
        <v>3</v>
      </c>
      <c r="AA25">
        <v>1</v>
      </c>
      <c r="AB25">
        <v>80</v>
      </c>
      <c r="AC25">
        <v>1</v>
      </c>
      <c r="AD25">
        <v>10</v>
      </c>
      <c r="AE25">
        <v>2</v>
      </c>
      <c r="AF25">
        <v>3</v>
      </c>
      <c r="AG25">
        <v>8</v>
      </c>
      <c r="AH25">
        <v>7</v>
      </c>
      <c r="AI25">
        <v>0</v>
      </c>
      <c r="AJ25">
        <v>5</v>
      </c>
    </row>
    <row r="26" spans="1:36" s="15" customFormat="1" x14ac:dyDescent="0.25">
      <c r="A26">
        <v>549</v>
      </c>
      <c r="B26">
        <v>38</v>
      </c>
      <c r="C26" t="s">
        <v>9</v>
      </c>
      <c r="D26" t="s">
        <v>15</v>
      </c>
      <c r="E26">
        <v>849</v>
      </c>
      <c r="F26" t="s">
        <v>119</v>
      </c>
      <c r="G26">
        <v>25</v>
      </c>
      <c r="H26">
        <v>2</v>
      </c>
      <c r="I26" t="s">
        <v>21</v>
      </c>
      <c r="J26">
        <v>1</v>
      </c>
      <c r="K26">
        <v>421</v>
      </c>
      <c r="L26">
        <v>1</v>
      </c>
      <c r="M26" t="s">
        <v>24</v>
      </c>
      <c r="N26">
        <v>81</v>
      </c>
      <c r="O26">
        <v>2</v>
      </c>
      <c r="P26">
        <v>3</v>
      </c>
      <c r="Q26" t="s">
        <v>30</v>
      </c>
      <c r="R26">
        <v>2</v>
      </c>
      <c r="S26" t="s">
        <v>28</v>
      </c>
      <c r="T26">
        <v>12061</v>
      </c>
      <c r="U26">
        <v>26707</v>
      </c>
      <c r="V26">
        <v>3</v>
      </c>
      <c r="W26" t="s">
        <v>29</v>
      </c>
      <c r="X26" t="s">
        <v>9</v>
      </c>
      <c r="Y26">
        <v>17</v>
      </c>
      <c r="Z26">
        <v>3</v>
      </c>
      <c r="AA26">
        <v>3</v>
      </c>
      <c r="AB26">
        <v>80</v>
      </c>
      <c r="AC26">
        <v>1</v>
      </c>
      <c r="AD26">
        <v>19</v>
      </c>
      <c r="AE26">
        <v>2</v>
      </c>
      <c r="AF26">
        <v>3</v>
      </c>
      <c r="AG26">
        <v>10</v>
      </c>
      <c r="AH26">
        <v>8</v>
      </c>
      <c r="AI26">
        <v>0</v>
      </c>
      <c r="AJ26">
        <v>1</v>
      </c>
    </row>
    <row r="27" spans="1:36" s="15" customFormat="1" x14ac:dyDescent="0.25">
      <c r="A27">
        <v>160</v>
      </c>
      <c r="B27">
        <v>42</v>
      </c>
      <c r="C27" t="s">
        <v>9</v>
      </c>
      <c r="D27" t="s">
        <v>11</v>
      </c>
      <c r="E27">
        <v>458</v>
      </c>
      <c r="F27" t="s">
        <v>119</v>
      </c>
      <c r="G27">
        <v>26</v>
      </c>
      <c r="H27">
        <v>5</v>
      </c>
      <c r="I27" t="s">
        <v>17</v>
      </c>
      <c r="J27">
        <v>1</v>
      </c>
      <c r="K27">
        <v>1242</v>
      </c>
      <c r="L27">
        <v>1</v>
      </c>
      <c r="M27" t="s">
        <v>24</v>
      </c>
      <c r="N27">
        <v>60</v>
      </c>
      <c r="O27">
        <v>3</v>
      </c>
      <c r="P27">
        <v>3</v>
      </c>
      <c r="Q27" t="s">
        <v>30</v>
      </c>
      <c r="R27">
        <v>1</v>
      </c>
      <c r="S27" t="s">
        <v>28</v>
      </c>
      <c r="T27">
        <v>13191</v>
      </c>
      <c r="U27">
        <v>23281</v>
      </c>
      <c r="V27">
        <v>3</v>
      </c>
      <c r="W27" t="s">
        <v>29</v>
      </c>
      <c r="X27" t="s">
        <v>10</v>
      </c>
      <c r="Y27">
        <v>17</v>
      </c>
      <c r="Z27">
        <v>3</v>
      </c>
      <c r="AA27">
        <v>3</v>
      </c>
      <c r="AB27">
        <v>80</v>
      </c>
      <c r="AC27">
        <v>0</v>
      </c>
      <c r="AD27">
        <v>20</v>
      </c>
      <c r="AE27">
        <v>6</v>
      </c>
      <c r="AF27">
        <v>3</v>
      </c>
      <c r="AG27">
        <v>1</v>
      </c>
      <c r="AH27">
        <v>0</v>
      </c>
      <c r="AI27">
        <v>0</v>
      </c>
      <c r="AJ27">
        <v>0</v>
      </c>
    </row>
    <row r="28" spans="1:36" s="15" customFormat="1" x14ac:dyDescent="0.25">
      <c r="A28">
        <v>505</v>
      </c>
      <c r="B28">
        <v>47</v>
      </c>
      <c r="C28" t="s">
        <v>9</v>
      </c>
      <c r="D28" t="s">
        <v>15</v>
      </c>
      <c r="E28">
        <v>359</v>
      </c>
      <c r="F28" t="s">
        <v>119</v>
      </c>
      <c r="G28">
        <v>2</v>
      </c>
      <c r="H28">
        <v>4</v>
      </c>
      <c r="I28" t="s">
        <v>17</v>
      </c>
      <c r="J28">
        <v>1</v>
      </c>
      <c r="K28">
        <v>1443</v>
      </c>
      <c r="L28">
        <v>1</v>
      </c>
      <c r="M28" t="s">
        <v>24</v>
      </c>
      <c r="N28">
        <v>82</v>
      </c>
      <c r="O28">
        <v>3</v>
      </c>
      <c r="P28">
        <v>4</v>
      </c>
      <c r="Q28" t="s">
        <v>30</v>
      </c>
      <c r="R28">
        <v>3</v>
      </c>
      <c r="S28" t="s">
        <v>28</v>
      </c>
      <c r="T28">
        <v>17169</v>
      </c>
      <c r="U28">
        <v>26703</v>
      </c>
      <c r="V28">
        <v>3</v>
      </c>
      <c r="W28" t="s">
        <v>29</v>
      </c>
      <c r="X28" t="s">
        <v>9</v>
      </c>
      <c r="Y28">
        <v>19</v>
      </c>
      <c r="Z28">
        <v>3</v>
      </c>
      <c r="AA28">
        <v>2</v>
      </c>
      <c r="AB28">
        <v>80</v>
      </c>
      <c r="AC28">
        <v>2</v>
      </c>
      <c r="AD28">
        <v>26</v>
      </c>
      <c r="AE28">
        <v>2</v>
      </c>
      <c r="AF28">
        <v>4</v>
      </c>
      <c r="AG28">
        <v>20</v>
      </c>
      <c r="AH28">
        <v>17</v>
      </c>
      <c r="AI28">
        <v>5</v>
      </c>
      <c r="AJ28">
        <v>6</v>
      </c>
    </row>
    <row r="29" spans="1:36" s="15" customFormat="1" x14ac:dyDescent="0.25">
      <c r="A29">
        <v>167</v>
      </c>
      <c r="B29">
        <v>49</v>
      </c>
      <c r="C29" t="s">
        <v>9</v>
      </c>
      <c r="D29" t="s">
        <v>15</v>
      </c>
      <c r="E29">
        <v>301</v>
      </c>
      <c r="F29" t="s">
        <v>119</v>
      </c>
      <c r="G29">
        <v>22</v>
      </c>
      <c r="H29">
        <v>4</v>
      </c>
      <c r="I29" t="s">
        <v>19</v>
      </c>
      <c r="J29">
        <v>1</v>
      </c>
      <c r="K29">
        <v>1655</v>
      </c>
      <c r="L29">
        <v>1</v>
      </c>
      <c r="M29" t="s">
        <v>24</v>
      </c>
      <c r="N29">
        <v>72</v>
      </c>
      <c r="O29">
        <v>3</v>
      </c>
      <c r="P29">
        <v>4</v>
      </c>
      <c r="Q29" t="s">
        <v>30</v>
      </c>
      <c r="R29">
        <v>2</v>
      </c>
      <c r="S29" t="s">
        <v>28</v>
      </c>
      <c r="T29">
        <v>16413</v>
      </c>
      <c r="U29">
        <v>3498</v>
      </c>
      <c r="V29">
        <v>3</v>
      </c>
      <c r="W29" t="s">
        <v>29</v>
      </c>
      <c r="X29" t="s">
        <v>9</v>
      </c>
      <c r="Y29">
        <v>16</v>
      </c>
      <c r="Z29">
        <v>3</v>
      </c>
      <c r="AA29">
        <v>2</v>
      </c>
      <c r="AB29">
        <v>80</v>
      </c>
      <c r="AC29">
        <v>2</v>
      </c>
      <c r="AD29">
        <v>27</v>
      </c>
      <c r="AE29">
        <v>2</v>
      </c>
      <c r="AF29">
        <v>3</v>
      </c>
      <c r="AG29">
        <v>4</v>
      </c>
      <c r="AH29">
        <v>2</v>
      </c>
      <c r="AI29">
        <v>1</v>
      </c>
      <c r="AJ29">
        <v>2</v>
      </c>
    </row>
    <row r="30" spans="1:36" s="15" customFormat="1" x14ac:dyDescent="0.25">
      <c r="A30">
        <v>755</v>
      </c>
      <c r="B30">
        <v>54</v>
      </c>
      <c r="C30" t="s">
        <v>9</v>
      </c>
      <c r="D30" t="s">
        <v>15</v>
      </c>
      <c r="E30">
        <v>1217</v>
      </c>
      <c r="F30" t="s">
        <v>119</v>
      </c>
      <c r="G30">
        <v>2</v>
      </c>
      <c r="H30">
        <v>4</v>
      </c>
      <c r="I30" t="s">
        <v>22</v>
      </c>
      <c r="J30">
        <v>1</v>
      </c>
      <c r="K30">
        <v>126</v>
      </c>
      <c r="L30">
        <v>1</v>
      </c>
      <c r="M30" t="s">
        <v>24</v>
      </c>
      <c r="N30">
        <v>60</v>
      </c>
      <c r="O30">
        <v>3</v>
      </c>
      <c r="P30">
        <v>3</v>
      </c>
      <c r="Q30" t="s">
        <v>30</v>
      </c>
      <c r="R30">
        <v>3</v>
      </c>
      <c r="S30" t="s">
        <v>28</v>
      </c>
      <c r="T30">
        <v>13549</v>
      </c>
      <c r="U30">
        <v>24001</v>
      </c>
      <c r="V30">
        <v>9</v>
      </c>
      <c r="W30" t="s">
        <v>29</v>
      </c>
      <c r="X30" t="s">
        <v>9</v>
      </c>
      <c r="Y30">
        <v>12</v>
      </c>
      <c r="Z30">
        <v>3</v>
      </c>
      <c r="AA30">
        <v>1</v>
      </c>
      <c r="AB30">
        <v>80</v>
      </c>
      <c r="AC30">
        <v>1</v>
      </c>
      <c r="AD30">
        <v>16</v>
      </c>
      <c r="AE30">
        <v>5</v>
      </c>
      <c r="AF30">
        <v>1</v>
      </c>
      <c r="AG30">
        <v>4</v>
      </c>
      <c r="AH30">
        <v>3</v>
      </c>
      <c r="AI30">
        <v>0</v>
      </c>
      <c r="AJ30">
        <v>3</v>
      </c>
    </row>
    <row r="31" spans="1:36" s="15" customFormat="1" x14ac:dyDescent="0.25">
      <c r="A31" s="15">
        <v>733</v>
      </c>
      <c r="B31" s="15">
        <v>27</v>
      </c>
      <c r="C31" s="15" t="s">
        <v>10</v>
      </c>
      <c r="D31" s="15" t="s">
        <v>11</v>
      </c>
      <c r="E31" s="15">
        <v>1337</v>
      </c>
      <c r="F31" s="15" t="s">
        <v>20</v>
      </c>
      <c r="G31" s="15">
        <v>22</v>
      </c>
      <c r="H31" s="15">
        <v>3</v>
      </c>
      <c r="I31" s="15" t="s">
        <v>20</v>
      </c>
      <c r="J31" s="15">
        <v>1</v>
      </c>
      <c r="K31" s="15">
        <v>1944</v>
      </c>
      <c r="L31" s="15">
        <v>1</v>
      </c>
      <c r="M31" s="15" t="s">
        <v>24</v>
      </c>
      <c r="N31" s="15">
        <v>58</v>
      </c>
      <c r="O31" s="15">
        <v>2</v>
      </c>
      <c r="P31" s="15">
        <v>1</v>
      </c>
      <c r="Q31" s="15" t="s">
        <v>20</v>
      </c>
      <c r="R31" s="15">
        <v>2</v>
      </c>
      <c r="S31" s="15" t="s">
        <v>28</v>
      </c>
      <c r="T31" s="15">
        <v>2863</v>
      </c>
      <c r="U31" s="15">
        <v>19555</v>
      </c>
      <c r="V31" s="15">
        <v>1</v>
      </c>
      <c r="W31" s="15" t="s">
        <v>29</v>
      </c>
      <c r="X31" s="15" t="s">
        <v>9</v>
      </c>
      <c r="Y31" s="15">
        <v>12</v>
      </c>
      <c r="Z31" s="15">
        <v>3</v>
      </c>
      <c r="AA31" s="15">
        <v>1</v>
      </c>
      <c r="AB31" s="15">
        <v>80</v>
      </c>
      <c r="AC31" s="15">
        <v>0</v>
      </c>
      <c r="AD31" s="15">
        <v>1</v>
      </c>
      <c r="AE31" s="15">
        <v>2</v>
      </c>
      <c r="AF31" s="15">
        <v>3</v>
      </c>
      <c r="AG31" s="15">
        <v>1</v>
      </c>
      <c r="AH31" s="15">
        <v>0</v>
      </c>
      <c r="AI31" s="15">
        <v>0</v>
      </c>
      <c r="AJ31" s="15">
        <v>0</v>
      </c>
    </row>
    <row r="32" spans="1:36" s="15" customFormat="1" x14ac:dyDescent="0.25">
      <c r="A32" s="15">
        <v>398</v>
      </c>
      <c r="B32" s="15">
        <v>34</v>
      </c>
      <c r="C32" s="15" t="s">
        <v>10</v>
      </c>
      <c r="D32" s="15" t="s">
        <v>15</v>
      </c>
      <c r="E32" s="15">
        <v>1107</v>
      </c>
      <c r="F32" s="15" t="s">
        <v>20</v>
      </c>
      <c r="G32" s="15">
        <v>9</v>
      </c>
      <c r="H32" s="15">
        <v>4</v>
      </c>
      <c r="I32" s="15" t="s">
        <v>22</v>
      </c>
      <c r="J32" s="15">
        <v>1</v>
      </c>
      <c r="K32" s="15">
        <v>1467</v>
      </c>
      <c r="L32" s="15">
        <v>1</v>
      </c>
      <c r="M32" s="15" t="s">
        <v>24</v>
      </c>
      <c r="N32" s="15">
        <v>52</v>
      </c>
      <c r="O32" s="15">
        <v>3</v>
      </c>
      <c r="P32" s="15">
        <v>1</v>
      </c>
      <c r="Q32" s="15" t="s">
        <v>20</v>
      </c>
      <c r="R32" s="15">
        <v>3</v>
      </c>
      <c r="S32" s="15" t="s">
        <v>28</v>
      </c>
      <c r="T32" s="15">
        <v>2742</v>
      </c>
      <c r="U32" s="15">
        <v>3072</v>
      </c>
      <c r="V32" s="15">
        <v>1</v>
      </c>
      <c r="W32" s="15" t="s">
        <v>29</v>
      </c>
      <c r="X32" s="15" t="s">
        <v>9</v>
      </c>
      <c r="Y32" s="15">
        <v>15</v>
      </c>
      <c r="Z32" s="15">
        <v>3</v>
      </c>
      <c r="AA32" s="15">
        <v>4</v>
      </c>
      <c r="AB32" s="15">
        <v>80</v>
      </c>
      <c r="AC32" s="15">
        <v>0</v>
      </c>
      <c r="AD32" s="15">
        <v>2</v>
      </c>
      <c r="AE32" s="15">
        <v>0</v>
      </c>
      <c r="AF32" s="15">
        <v>3</v>
      </c>
      <c r="AG32" s="15">
        <v>2</v>
      </c>
      <c r="AH32" s="15">
        <v>2</v>
      </c>
      <c r="AI32" s="15">
        <v>2</v>
      </c>
      <c r="AJ32" s="15">
        <v>2</v>
      </c>
    </row>
    <row r="33" spans="1:36" s="15" customFormat="1" x14ac:dyDescent="0.25">
      <c r="A33">
        <v>53</v>
      </c>
      <c r="B33">
        <v>44</v>
      </c>
      <c r="C33" t="s">
        <v>9</v>
      </c>
      <c r="D33" t="s">
        <v>15</v>
      </c>
      <c r="E33">
        <v>1117</v>
      </c>
      <c r="F33" t="s">
        <v>119</v>
      </c>
      <c r="G33">
        <v>2</v>
      </c>
      <c r="H33">
        <v>1</v>
      </c>
      <c r="I33" t="s">
        <v>21</v>
      </c>
      <c r="J33">
        <v>1</v>
      </c>
      <c r="K33">
        <v>1246</v>
      </c>
      <c r="L33">
        <v>1</v>
      </c>
      <c r="M33" t="s">
        <v>24</v>
      </c>
      <c r="N33">
        <v>72</v>
      </c>
      <c r="O33">
        <v>4</v>
      </c>
      <c r="P33">
        <v>1</v>
      </c>
      <c r="Q33" t="s">
        <v>32</v>
      </c>
      <c r="R33">
        <v>4</v>
      </c>
      <c r="S33" t="s">
        <v>28</v>
      </c>
      <c r="T33">
        <v>2011</v>
      </c>
      <c r="U33">
        <v>19982</v>
      </c>
      <c r="V33">
        <v>1</v>
      </c>
      <c r="W33" t="s">
        <v>29</v>
      </c>
      <c r="X33" t="s">
        <v>9</v>
      </c>
      <c r="Y33">
        <v>13</v>
      </c>
      <c r="Z33">
        <v>3</v>
      </c>
      <c r="AA33">
        <v>4</v>
      </c>
      <c r="AB33">
        <v>80</v>
      </c>
      <c r="AC33">
        <v>1</v>
      </c>
      <c r="AD33">
        <v>10</v>
      </c>
      <c r="AE33">
        <v>5</v>
      </c>
      <c r="AF33">
        <v>3</v>
      </c>
      <c r="AG33">
        <v>10</v>
      </c>
      <c r="AH33">
        <v>5</v>
      </c>
      <c r="AI33">
        <v>7</v>
      </c>
      <c r="AJ33">
        <v>7</v>
      </c>
    </row>
    <row r="34" spans="1:36" s="15" customFormat="1" x14ac:dyDescent="0.25">
      <c r="A34">
        <v>238</v>
      </c>
      <c r="B34">
        <v>32</v>
      </c>
      <c r="C34" t="s">
        <v>9</v>
      </c>
      <c r="D34" t="s">
        <v>15</v>
      </c>
      <c r="E34">
        <v>646</v>
      </c>
      <c r="F34" t="s">
        <v>119</v>
      </c>
      <c r="G34">
        <v>9</v>
      </c>
      <c r="H34">
        <v>4</v>
      </c>
      <c r="I34" t="s">
        <v>21</v>
      </c>
      <c r="J34">
        <v>1</v>
      </c>
      <c r="K34">
        <v>679</v>
      </c>
      <c r="L34">
        <v>1</v>
      </c>
      <c r="M34" t="s">
        <v>24</v>
      </c>
      <c r="N34">
        <v>92</v>
      </c>
      <c r="O34">
        <v>3</v>
      </c>
      <c r="P34">
        <v>2</v>
      </c>
      <c r="Q34" t="s">
        <v>32</v>
      </c>
      <c r="R34">
        <v>4</v>
      </c>
      <c r="S34" t="s">
        <v>28</v>
      </c>
      <c r="T34">
        <v>6322</v>
      </c>
      <c r="U34">
        <v>18089</v>
      </c>
      <c r="V34">
        <v>1</v>
      </c>
      <c r="W34" t="s">
        <v>29</v>
      </c>
      <c r="X34" t="s">
        <v>10</v>
      </c>
      <c r="Y34">
        <v>12</v>
      </c>
      <c r="Z34">
        <v>3</v>
      </c>
      <c r="AA34">
        <v>4</v>
      </c>
      <c r="AB34">
        <v>80</v>
      </c>
      <c r="AC34">
        <v>1</v>
      </c>
      <c r="AD34">
        <v>6</v>
      </c>
      <c r="AE34">
        <v>2</v>
      </c>
      <c r="AF34">
        <v>2</v>
      </c>
      <c r="AG34">
        <v>6</v>
      </c>
      <c r="AH34">
        <v>4</v>
      </c>
      <c r="AI34">
        <v>0</v>
      </c>
      <c r="AJ34">
        <v>5</v>
      </c>
    </row>
    <row r="35" spans="1:36" s="15" customFormat="1" x14ac:dyDescent="0.25">
      <c r="A35">
        <v>459</v>
      </c>
      <c r="B35">
        <v>56</v>
      </c>
      <c r="C35" t="s">
        <v>9</v>
      </c>
      <c r="D35" t="s">
        <v>15</v>
      </c>
      <c r="E35">
        <v>1255</v>
      </c>
      <c r="F35" t="s">
        <v>119</v>
      </c>
      <c r="G35">
        <v>1</v>
      </c>
      <c r="H35">
        <v>2</v>
      </c>
      <c r="I35" t="s">
        <v>21</v>
      </c>
      <c r="J35">
        <v>1</v>
      </c>
      <c r="K35">
        <v>1441</v>
      </c>
      <c r="L35">
        <v>1</v>
      </c>
      <c r="M35" t="s">
        <v>24</v>
      </c>
      <c r="N35">
        <v>90</v>
      </c>
      <c r="O35">
        <v>3</v>
      </c>
      <c r="P35">
        <v>1</v>
      </c>
      <c r="Q35" t="s">
        <v>32</v>
      </c>
      <c r="R35">
        <v>1</v>
      </c>
      <c r="S35" t="s">
        <v>28</v>
      </c>
      <c r="T35">
        <v>2066</v>
      </c>
      <c r="U35">
        <v>10494</v>
      </c>
      <c r="V35">
        <v>2</v>
      </c>
      <c r="W35" t="s">
        <v>29</v>
      </c>
      <c r="X35" t="s">
        <v>9</v>
      </c>
      <c r="Y35">
        <v>22</v>
      </c>
      <c r="Z35">
        <v>4</v>
      </c>
      <c r="AA35">
        <v>4</v>
      </c>
      <c r="AB35">
        <v>80</v>
      </c>
      <c r="AC35">
        <v>1</v>
      </c>
      <c r="AD35">
        <v>5</v>
      </c>
      <c r="AE35">
        <v>3</v>
      </c>
      <c r="AF35">
        <v>4</v>
      </c>
      <c r="AG35">
        <v>3</v>
      </c>
      <c r="AH35">
        <v>2</v>
      </c>
      <c r="AI35">
        <v>1</v>
      </c>
      <c r="AJ35">
        <v>0</v>
      </c>
    </row>
    <row r="36" spans="1:36" s="15" customFormat="1" x14ac:dyDescent="0.25">
      <c r="A36" s="15">
        <v>363</v>
      </c>
      <c r="B36" s="15">
        <v>52</v>
      </c>
      <c r="C36" s="15" t="s">
        <v>10</v>
      </c>
      <c r="D36" s="15" t="s">
        <v>15</v>
      </c>
      <c r="E36" s="15">
        <v>266</v>
      </c>
      <c r="F36" s="15" t="s">
        <v>118</v>
      </c>
      <c r="G36" s="15">
        <v>2</v>
      </c>
      <c r="H36" s="15">
        <v>1</v>
      </c>
      <c r="I36" s="15" t="s">
        <v>18</v>
      </c>
      <c r="J36" s="15">
        <v>1</v>
      </c>
      <c r="K36" s="15">
        <v>1038</v>
      </c>
      <c r="L36" s="15">
        <v>1</v>
      </c>
      <c r="M36" s="15" t="s">
        <v>24</v>
      </c>
      <c r="N36" s="15">
        <v>57</v>
      </c>
      <c r="O36" s="15">
        <v>1</v>
      </c>
      <c r="P36" s="15">
        <v>5</v>
      </c>
      <c r="Q36" s="15" t="s">
        <v>35</v>
      </c>
      <c r="R36" s="15">
        <v>4</v>
      </c>
      <c r="S36" s="15" t="s">
        <v>28</v>
      </c>
      <c r="T36" s="15">
        <v>19845</v>
      </c>
      <c r="U36" s="15">
        <v>25846</v>
      </c>
      <c r="V36" s="15">
        <v>1</v>
      </c>
      <c r="W36" s="15" t="s">
        <v>29</v>
      </c>
      <c r="X36" s="15" t="s">
        <v>9</v>
      </c>
      <c r="Y36" s="15">
        <v>15</v>
      </c>
      <c r="Z36" s="15">
        <v>3</v>
      </c>
      <c r="AA36" s="15">
        <v>4</v>
      </c>
      <c r="AB36" s="15">
        <v>80</v>
      </c>
      <c r="AC36" s="15">
        <v>1</v>
      </c>
      <c r="AD36" s="15">
        <v>33</v>
      </c>
      <c r="AE36" s="15">
        <v>3</v>
      </c>
      <c r="AF36" s="15">
        <v>3</v>
      </c>
      <c r="AG36" s="15">
        <v>32</v>
      </c>
      <c r="AH36" s="15">
        <v>14</v>
      </c>
      <c r="AI36" s="15">
        <v>6</v>
      </c>
      <c r="AJ36" s="15">
        <v>9</v>
      </c>
    </row>
    <row r="37" spans="1:36" s="15" customFormat="1" x14ac:dyDescent="0.25">
      <c r="A37">
        <v>277</v>
      </c>
      <c r="B37">
        <v>22</v>
      </c>
      <c r="C37" t="s">
        <v>9</v>
      </c>
      <c r="D37" t="s">
        <v>15</v>
      </c>
      <c r="E37">
        <v>253</v>
      </c>
      <c r="F37" t="s">
        <v>119</v>
      </c>
      <c r="G37">
        <v>11</v>
      </c>
      <c r="H37">
        <v>3</v>
      </c>
      <c r="I37" t="s">
        <v>17</v>
      </c>
      <c r="J37">
        <v>1</v>
      </c>
      <c r="K37">
        <v>511</v>
      </c>
      <c r="L37">
        <v>1</v>
      </c>
      <c r="M37" t="s">
        <v>24</v>
      </c>
      <c r="N37">
        <v>43</v>
      </c>
      <c r="O37">
        <v>3</v>
      </c>
      <c r="P37">
        <v>1</v>
      </c>
      <c r="Q37" t="s">
        <v>32</v>
      </c>
      <c r="R37">
        <v>2</v>
      </c>
      <c r="S37" t="s">
        <v>28</v>
      </c>
      <c r="T37">
        <v>2244</v>
      </c>
      <c r="U37">
        <v>24440</v>
      </c>
      <c r="V37">
        <v>1</v>
      </c>
      <c r="W37" t="s">
        <v>29</v>
      </c>
      <c r="X37" t="s">
        <v>9</v>
      </c>
      <c r="Y37">
        <v>13</v>
      </c>
      <c r="Z37">
        <v>3</v>
      </c>
      <c r="AA37">
        <v>4</v>
      </c>
      <c r="AB37">
        <v>80</v>
      </c>
      <c r="AC37">
        <v>1</v>
      </c>
      <c r="AD37">
        <v>2</v>
      </c>
      <c r="AE37">
        <v>1</v>
      </c>
      <c r="AF37">
        <v>3</v>
      </c>
      <c r="AG37">
        <v>2</v>
      </c>
      <c r="AH37">
        <v>1</v>
      </c>
      <c r="AI37">
        <v>1</v>
      </c>
      <c r="AJ37">
        <v>2</v>
      </c>
    </row>
    <row r="38" spans="1:36" s="15" customFormat="1" x14ac:dyDescent="0.25">
      <c r="A38">
        <v>869</v>
      </c>
      <c r="B38">
        <v>45</v>
      </c>
      <c r="C38" t="s">
        <v>9</v>
      </c>
      <c r="D38" t="s">
        <v>15</v>
      </c>
      <c r="E38">
        <v>1457</v>
      </c>
      <c r="F38" t="s">
        <v>119</v>
      </c>
      <c r="G38">
        <v>7</v>
      </c>
      <c r="H38">
        <v>3</v>
      </c>
      <c r="I38" t="s">
        <v>17</v>
      </c>
      <c r="J38">
        <v>1</v>
      </c>
      <c r="K38">
        <v>1195</v>
      </c>
      <c r="L38">
        <v>1</v>
      </c>
      <c r="M38" t="s">
        <v>24</v>
      </c>
      <c r="N38">
        <v>83</v>
      </c>
      <c r="O38">
        <v>3</v>
      </c>
      <c r="P38">
        <v>1</v>
      </c>
      <c r="Q38" t="s">
        <v>32</v>
      </c>
      <c r="R38">
        <v>3</v>
      </c>
      <c r="S38" t="s">
        <v>28</v>
      </c>
      <c r="T38">
        <v>4477</v>
      </c>
      <c r="U38">
        <v>20100</v>
      </c>
      <c r="V38">
        <v>4</v>
      </c>
      <c r="W38" t="s">
        <v>29</v>
      </c>
      <c r="X38" t="s">
        <v>10</v>
      </c>
      <c r="Y38">
        <v>19</v>
      </c>
      <c r="Z38">
        <v>3</v>
      </c>
      <c r="AA38">
        <v>3</v>
      </c>
      <c r="AB38">
        <v>80</v>
      </c>
      <c r="AC38">
        <v>1</v>
      </c>
      <c r="AD38">
        <v>7</v>
      </c>
      <c r="AE38">
        <v>2</v>
      </c>
      <c r="AF38">
        <v>2</v>
      </c>
      <c r="AG38">
        <v>3</v>
      </c>
      <c r="AH38">
        <v>2</v>
      </c>
      <c r="AI38">
        <v>0</v>
      </c>
      <c r="AJ38">
        <v>2</v>
      </c>
    </row>
    <row r="39" spans="1:36" s="15" customFormat="1" x14ac:dyDescent="0.25">
      <c r="A39" s="15">
        <v>380</v>
      </c>
      <c r="B39" s="15">
        <v>30</v>
      </c>
      <c r="C39" s="15" t="s">
        <v>10</v>
      </c>
      <c r="D39" s="15" t="s">
        <v>15</v>
      </c>
      <c r="E39" s="15">
        <v>138</v>
      </c>
      <c r="F39" s="15" t="s">
        <v>119</v>
      </c>
      <c r="G39" s="15">
        <v>22</v>
      </c>
      <c r="H39" s="15">
        <v>3</v>
      </c>
      <c r="I39" s="15" t="s">
        <v>21</v>
      </c>
      <c r="J39" s="15">
        <v>1</v>
      </c>
      <c r="K39" s="15">
        <v>1004</v>
      </c>
      <c r="L39" s="15">
        <v>1</v>
      </c>
      <c r="M39" s="15" t="s">
        <v>24</v>
      </c>
      <c r="N39" s="15">
        <v>48</v>
      </c>
      <c r="O39" s="15">
        <v>3</v>
      </c>
      <c r="P39" s="15">
        <v>1</v>
      </c>
      <c r="Q39" s="15" t="s">
        <v>32</v>
      </c>
      <c r="R39" s="15">
        <v>3</v>
      </c>
      <c r="S39" s="15" t="s">
        <v>28</v>
      </c>
      <c r="T39" s="15">
        <v>2132</v>
      </c>
      <c r="U39" s="15">
        <v>11539</v>
      </c>
      <c r="V39" s="15">
        <v>4</v>
      </c>
      <c r="W39" s="15" t="s">
        <v>29</v>
      </c>
      <c r="X39" s="15" t="s">
        <v>10</v>
      </c>
      <c r="Y39" s="15">
        <v>11</v>
      </c>
      <c r="Z39" s="15">
        <v>3</v>
      </c>
      <c r="AA39" s="15">
        <v>2</v>
      </c>
      <c r="AB39" s="15">
        <v>80</v>
      </c>
      <c r="AC39" s="15">
        <v>0</v>
      </c>
      <c r="AD39" s="15">
        <v>7</v>
      </c>
      <c r="AE39" s="15">
        <v>2</v>
      </c>
      <c r="AF39" s="15">
        <v>3</v>
      </c>
      <c r="AG39" s="15">
        <v>5</v>
      </c>
      <c r="AH39" s="15">
        <v>2</v>
      </c>
      <c r="AI39" s="15">
        <v>0</v>
      </c>
      <c r="AJ39" s="15">
        <v>1</v>
      </c>
    </row>
    <row r="40" spans="1:36" s="15" customFormat="1" x14ac:dyDescent="0.25">
      <c r="A40" s="15">
        <v>222</v>
      </c>
      <c r="B40" s="15">
        <v>45</v>
      </c>
      <c r="C40" s="15" t="s">
        <v>10</v>
      </c>
      <c r="D40" s="15" t="s">
        <v>11</v>
      </c>
      <c r="E40" s="15">
        <v>306</v>
      </c>
      <c r="F40" s="15" t="s">
        <v>118</v>
      </c>
      <c r="G40" s="15">
        <v>26</v>
      </c>
      <c r="H40" s="15">
        <v>4</v>
      </c>
      <c r="I40" s="15" t="s">
        <v>21</v>
      </c>
      <c r="J40" s="15">
        <v>1</v>
      </c>
      <c r="K40" s="15">
        <v>684</v>
      </c>
      <c r="L40" s="15">
        <v>1</v>
      </c>
      <c r="M40" s="15" t="s">
        <v>24</v>
      </c>
      <c r="N40" s="15">
        <v>100</v>
      </c>
      <c r="O40" s="15">
        <v>3</v>
      </c>
      <c r="P40" s="15">
        <v>2</v>
      </c>
      <c r="Q40" s="15" t="s">
        <v>25</v>
      </c>
      <c r="R40" s="15">
        <v>1</v>
      </c>
      <c r="S40" s="15" t="s">
        <v>28</v>
      </c>
      <c r="T40" s="15">
        <v>4286</v>
      </c>
      <c r="U40" s="15">
        <v>5630</v>
      </c>
      <c r="V40" s="15">
        <v>2</v>
      </c>
      <c r="W40" s="15" t="s">
        <v>29</v>
      </c>
      <c r="X40" s="15" t="s">
        <v>9</v>
      </c>
      <c r="Y40" s="15">
        <v>14</v>
      </c>
      <c r="Z40" s="15">
        <v>3</v>
      </c>
      <c r="AA40" s="15">
        <v>4</v>
      </c>
      <c r="AB40" s="15">
        <v>80</v>
      </c>
      <c r="AC40" s="15">
        <v>2</v>
      </c>
      <c r="AD40" s="15">
        <v>5</v>
      </c>
      <c r="AE40" s="15">
        <v>4</v>
      </c>
      <c r="AF40" s="15">
        <v>3</v>
      </c>
      <c r="AG40" s="15">
        <v>1</v>
      </c>
      <c r="AH40" s="15">
        <v>1</v>
      </c>
      <c r="AI40" s="15">
        <v>0</v>
      </c>
      <c r="AJ40" s="15">
        <v>0</v>
      </c>
    </row>
    <row r="41" spans="1:36" s="15" customFormat="1" x14ac:dyDescent="0.25">
      <c r="A41">
        <v>457</v>
      </c>
      <c r="B41">
        <v>31</v>
      </c>
      <c r="C41" t="s">
        <v>9</v>
      </c>
      <c r="D41" t="s">
        <v>15</v>
      </c>
      <c r="E41">
        <v>1112</v>
      </c>
      <c r="F41" t="s">
        <v>118</v>
      </c>
      <c r="G41">
        <v>5</v>
      </c>
      <c r="H41">
        <v>4</v>
      </c>
      <c r="I41" t="s">
        <v>21</v>
      </c>
      <c r="J41">
        <v>1</v>
      </c>
      <c r="K41">
        <v>1673</v>
      </c>
      <c r="L41">
        <v>1</v>
      </c>
      <c r="M41" t="s">
        <v>24</v>
      </c>
      <c r="N41">
        <v>67</v>
      </c>
      <c r="O41">
        <v>3</v>
      </c>
      <c r="P41">
        <v>2</v>
      </c>
      <c r="Q41" t="s">
        <v>25</v>
      </c>
      <c r="R41">
        <v>4</v>
      </c>
      <c r="S41" t="s">
        <v>28</v>
      </c>
      <c r="T41">
        <v>5476</v>
      </c>
      <c r="U41">
        <v>22589</v>
      </c>
      <c r="V41">
        <v>1</v>
      </c>
      <c r="W41" t="s">
        <v>29</v>
      </c>
      <c r="X41" t="s">
        <v>9</v>
      </c>
      <c r="Y41">
        <v>11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2</v>
      </c>
      <c r="AF41">
        <v>3</v>
      </c>
      <c r="AG41">
        <v>10</v>
      </c>
      <c r="AH41">
        <v>0</v>
      </c>
      <c r="AI41">
        <v>0</v>
      </c>
      <c r="AJ41">
        <v>2</v>
      </c>
    </row>
    <row r="42" spans="1:36" s="15" customFormat="1" x14ac:dyDescent="0.25">
      <c r="A42">
        <v>500</v>
      </c>
      <c r="B42">
        <v>39</v>
      </c>
      <c r="C42" t="s">
        <v>9</v>
      </c>
      <c r="D42" t="s">
        <v>16</v>
      </c>
      <c r="E42">
        <v>1251</v>
      </c>
      <c r="F42" t="s">
        <v>118</v>
      </c>
      <c r="G42">
        <v>21</v>
      </c>
      <c r="H42">
        <v>4</v>
      </c>
      <c r="I42" t="s">
        <v>21</v>
      </c>
      <c r="J42">
        <v>1</v>
      </c>
      <c r="K42">
        <v>1929</v>
      </c>
      <c r="L42">
        <v>1</v>
      </c>
      <c r="M42" t="s">
        <v>24</v>
      </c>
      <c r="N42">
        <v>32</v>
      </c>
      <c r="O42">
        <v>1</v>
      </c>
      <c r="P42">
        <v>2</v>
      </c>
      <c r="Q42" t="s">
        <v>25</v>
      </c>
      <c r="R42">
        <v>3</v>
      </c>
      <c r="S42" t="s">
        <v>28</v>
      </c>
      <c r="T42">
        <v>5736</v>
      </c>
      <c r="U42">
        <v>3987</v>
      </c>
      <c r="V42">
        <v>6</v>
      </c>
      <c r="W42" t="s">
        <v>29</v>
      </c>
      <c r="X42" t="s">
        <v>9</v>
      </c>
      <c r="Y42">
        <v>19</v>
      </c>
      <c r="Z42">
        <v>3</v>
      </c>
      <c r="AA42">
        <v>3</v>
      </c>
      <c r="AB42">
        <v>80</v>
      </c>
      <c r="AC42">
        <v>1</v>
      </c>
      <c r="AD42">
        <v>10</v>
      </c>
      <c r="AE42">
        <v>1</v>
      </c>
      <c r="AF42">
        <v>3</v>
      </c>
      <c r="AG42">
        <v>3</v>
      </c>
      <c r="AH42">
        <v>2</v>
      </c>
      <c r="AI42">
        <v>1</v>
      </c>
      <c r="AJ42">
        <v>2</v>
      </c>
    </row>
    <row r="43" spans="1:36" s="15" customFormat="1" x14ac:dyDescent="0.25">
      <c r="A43">
        <v>511</v>
      </c>
      <c r="B43">
        <v>38</v>
      </c>
      <c r="C43" t="s">
        <v>9</v>
      </c>
      <c r="D43" t="s">
        <v>15</v>
      </c>
      <c r="E43">
        <v>345</v>
      </c>
      <c r="F43" t="s">
        <v>118</v>
      </c>
      <c r="G43">
        <v>10</v>
      </c>
      <c r="H43">
        <v>2</v>
      </c>
      <c r="I43" t="s">
        <v>21</v>
      </c>
      <c r="J43">
        <v>1</v>
      </c>
      <c r="K43">
        <v>2041</v>
      </c>
      <c r="L43">
        <v>1</v>
      </c>
      <c r="M43" t="s">
        <v>24</v>
      </c>
      <c r="N43">
        <v>100</v>
      </c>
      <c r="O43">
        <v>3</v>
      </c>
      <c r="P43">
        <v>2</v>
      </c>
      <c r="Q43" t="s">
        <v>25</v>
      </c>
      <c r="R43">
        <v>4</v>
      </c>
      <c r="S43" t="s">
        <v>28</v>
      </c>
      <c r="T43">
        <v>5343</v>
      </c>
      <c r="U43">
        <v>5982</v>
      </c>
      <c r="V43">
        <v>1</v>
      </c>
      <c r="W43" t="s">
        <v>29</v>
      </c>
      <c r="X43" t="s">
        <v>9</v>
      </c>
      <c r="Y43">
        <v>11</v>
      </c>
      <c r="Z43">
        <v>3</v>
      </c>
      <c r="AA43">
        <v>3</v>
      </c>
      <c r="AB43">
        <v>80</v>
      </c>
      <c r="AC43">
        <v>1</v>
      </c>
      <c r="AD43">
        <v>10</v>
      </c>
      <c r="AE43">
        <v>1</v>
      </c>
      <c r="AF43">
        <v>3</v>
      </c>
      <c r="AG43">
        <v>10</v>
      </c>
      <c r="AH43">
        <v>7</v>
      </c>
      <c r="AI43">
        <v>1</v>
      </c>
      <c r="AJ43">
        <v>9</v>
      </c>
    </row>
    <row r="44" spans="1:36" s="15" customFormat="1" x14ac:dyDescent="0.25">
      <c r="A44">
        <v>192</v>
      </c>
      <c r="B44">
        <v>31</v>
      </c>
      <c r="C44" t="s">
        <v>9</v>
      </c>
      <c r="D44" t="s">
        <v>11</v>
      </c>
      <c r="E44">
        <v>1125</v>
      </c>
      <c r="F44" t="s">
        <v>118</v>
      </c>
      <c r="G44">
        <v>7</v>
      </c>
      <c r="H44">
        <v>4</v>
      </c>
      <c r="I44" t="s">
        <v>18</v>
      </c>
      <c r="J44">
        <v>1</v>
      </c>
      <c r="K44">
        <v>1833</v>
      </c>
      <c r="L44">
        <v>1</v>
      </c>
      <c r="M44" t="s">
        <v>24</v>
      </c>
      <c r="N44">
        <v>68</v>
      </c>
      <c r="O44">
        <v>3</v>
      </c>
      <c r="P44">
        <v>3</v>
      </c>
      <c r="Q44" t="s">
        <v>25</v>
      </c>
      <c r="R44">
        <v>1</v>
      </c>
      <c r="S44" t="s">
        <v>28</v>
      </c>
      <c r="T44">
        <v>9637</v>
      </c>
      <c r="U44">
        <v>8277</v>
      </c>
      <c r="V44">
        <v>2</v>
      </c>
      <c r="W44" t="s">
        <v>29</v>
      </c>
      <c r="X44" t="s">
        <v>9</v>
      </c>
      <c r="Y44">
        <v>14</v>
      </c>
      <c r="Z44">
        <v>3</v>
      </c>
      <c r="AA44">
        <v>4</v>
      </c>
      <c r="AB44">
        <v>80</v>
      </c>
      <c r="AC44">
        <v>2</v>
      </c>
      <c r="AD44">
        <v>9</v>
      </c>
      <c r="AE44">
        <v>3</v>
      </c>
      <c r="AF44">
        <v>3</v>
      </c>
      <c r="AG44">
        <v>3</v>
      </c>
      <c r="AH44">
        <v>2</v>
      </c>
      <c r="AI44">
        <v>2</v>
      </c>
      <c r="AJ44">
        <v>2</v>
      </c>
    </row>
    <row r="45" spans="1:36" s="15" customFormat="1" x14ac:dyDescent="0.25">
      <c r="A45">
        <v>407</v>
      </c>
      <c r="B45">
        <v>31</v>
      </c>
      <c r="C45" t="s">
        <v>9</v>
      </c>
      <c r="D45" t="s">
        <v>15</v>
      </c>
      <c r="E45">
        <v>196</v>
      </c>
      <c r="F45" t="s">
        <v>118</v>
      </c>
      <c r="G45">
        <v>29</v>
      </c>
      <c r="H45">
        <v>4</v>
      </c>
      <c r="I45" t="s">
        <v>18</v>
      </c>
      <c r="J45">
        <v>1</v>
      </c>
      <c r="K45">
        <v>1784</v>
      </c>
      <c r="L45">
        <v>1</v>
      </c>
      <c r="M45" t="s">
        <v>24</v>
      </c>
      <c r="N45">
        <v>91</v>
      </c>
      <c r="O45">
        <v>2</v>
      </c>
      <c r="P45">
        <v>2</v>
      </c>
      <c r="Q45" t="s">
        <v>25</v>
      </c>
      <c r="R45">
        <v>4</v>
      </c>
      <c r="S45" t="s">
        <v>28</v>
      </c>
      <c r="T45">
        <v>5468</v>
      </c>
      <c r="U45">
        <v>13402</v>
      </c>
      <c r="V45">
        <v>1</v>
      </c>
      <c r="W45" t="s">
        <v>29</v>
      </c>
      <c r="X45" t="s">
        <v>9</v>
      </c>
      <c r="Y45">
        <v>14</v>
      </c>
      <c r="Z45">
        <v>3</v>
      </c>
      <c r="AA45">
        <v>1</v>
      </c>
      <c r="AB45">
        <v>80</v>
      </c>
      <c r="AC45">
        <v>2</v>
      </c>
      <c r="AD45">
        <v>13</v>
      </c>
      <c r="AE45">
        <v>3</v>
      </c>
      <c r="AF45">
        <v>3</v>
      </c>
      <c r="AG45">
        <v>12</v>
      </c>
      <c r="AH45">
        <v>7</v>
      </c>
      <c r="AI45">
        <v>5</v>
      </c>
      <c r="AJ45">
        <v>7</v>
      </c>
    </row>
    <row r="46" spans="1:36" s="15" customFormat="1" x14ac:dyDescent="0.25">
      <c r="A46">
        <v>229</v>
      </c>
      <c r="B46">
        <v>24</v>
      </c>
      <c r="C46" t="s">
        <v>9</v>
      </c>
      <c r="D46" t="s">
        <v>15</v>
      </c>
      <c r="E46">
        <v>1353</v>
      </c>
      <c r="F46" t="s">
        <v>118</v>
      </c>
      <c r="G46">
        <v>3</v>
      </c>
      <c r="H46">
        <v>2</v>
      </c>
      <c r="I46" t="s">
        <v>19</v>
      </c>
      <c r="J46">
        <v>1</v>
      </c>
      <c r="K46">
        <v>128</v>
      </c>
      <c r="L46">
        <v>1</v>
      </c>
      <c r="M46" t="s">
        <v>24</v>
      </c>
      <c r="N46">
        <v>33</v>
      </c>
      <c r="O46">
        <v>3</v>
      </c>
      <c r="P46">
        <v>2</v>
      </c>
      <c r="Q46" t="s">
        <v>25</v>
      </c>
      <c r="R46">
        <v>3</v>
      </c>
      <c r="S46" t="s">
        <v>28</v>
      </c>
      <c r="T46">
        <v>4999</v>
      </c>
      <c r="U46">
        <v>17519</v>
      </c>
      <c r="V46">
        <v>0</v>
      </c>
      <c r="W46" t="s">
        <v>29</v>
      </c>
      <c r="X46" t="s">
        <v>9</v>
      </c>
      <c r="Y46">
        <v>21</v>
      </c>
      <c r="Z46">
        <v>4</v>
      </c>
      <c r="AA46">
        <v>1</v>
      </c>
      <c r="AB46">
        <v>80</v>
      </c>
      <c r="AC46">
        <v>1</v>
      </c>
      <c r="AD46">
        <v>4</v>
      </c>
      <c r="AE46">
        <v>2</v>
      </c>
      <c r="AF46">
        <v>2</v>
      </c>
      <c r="AG46">
        <v>3</v>
      </c>
      <c r="AH46">
        <v>2</v>
      </c>
      <c r="AI46">
        <v>0</v>
      </c>
      <c r="AJ46">
        <v>2</v>
      </c>
    </row>
    <row r="47" spans="1:36" s="15" customFormat="1" x14ac:dyDescent="0.25">
      <c r="A47">
        <v>290</v>
      </c>
      <c r="B47">
        <v>35</v>
      </c>
      <c r="C47" t="s">
        <v>9</v>
      </c>
      <c r="D47" t="s">
        <v>15</v>
      </c>
      <c r="E47">
        <v>384</v>
      </c>
      <c r="F47" t="s">
        <v>118</v>
      </c>
      <c r="G47">
        <v>8</v>
      </c>
      <c r="H47">
        <v>4</v>
      </c>
      <c r="I47" t="s">
        <v>21</v>
      </c>
      <c r="J47">
        <v>1</v>
      </c>
      <c r="K47">
        <v>805</v>
      </c>
      <c r="L47">
        <v>1</v>
      </c>
      <c r="M47" t="s">
        <v>24</v>
      </c>
      <c r="N47">
        <v>72</v>
      </c>
      <c r="O47">
        <v>3</v>
      </c>
      <c r="P47">
        <v>1</v>
      </c>
      <c r="Q47" t="s">
        <v>33</v>
      </c>
      <c r="R47">
        <v>4</v>
      </c>
      <c r="S47" t="s">
        <v>28</v>
      </c>
      <c r="T47">
        <v>2572</v>
      </c>
      <c r="U47">
        <v>20317</v>
      </c>
      <c r="V47">
        <v>1</v>
      </c>
      <c r="W47" t="s">
        <v>29</v>
      </c>
      <c r="X47" t="s">
        <v>9</v>
      </c>
      <c r="Y47">
        <v>16</v>
      </c>
      <c r="Z47">
        <v>3</v>
      </c>
      <c r="AA47">
        <v>2</v>
      </c>
      <c r="AB47">
        <v>80</v>
      </c>
      <c r="AC47">
        <v>1</v>
      </c>
      <c r="AD47">
        <v>3</v>
      </c>
      <c r="AE47">
        <v>1</v>
      </c>
      <c r="AF47">
        <v>2</v>
      </c>
      <c r="AG47">
        <v>3</v>
      </c>
      <c r="AH47">
        <v>2</v>
      </c>
      <c r="AI47">
        <v>0</v>
      </c>
      <c r="AJ47">
        <v>2</v>
      </c>
    </row>
    <row r="48" spans="1:36" s="15" customFormat="1" x14ac:dyDescent="0.25">
      <c r="A48" s="15">
        <v>613</v>
      </c>
      <c r="B48" s="15">
        <v>33</v>
      </c>
      <c r="C48" s="15" t="s">
        <v>10</v>
      </c>
      <c r="D48" s="15" t="s">
        <v>15</v>
      </c>
      <c r="E48" s="15">
        <v>465</v>
      </c>
      <c r="F48" s="15" t="s">
        <v>119</v>
      </c>
      <c r="G48" s="15">
        <v>2</v>
      </c>
      <c r="H48" s="15">
        <v>2</v>
      </c>
      <c r="I48" s="15" t="s">
        <v>21</v>
      </c>
      <c r="J48" s="15">
        <v>1</v>
      </c>
      <c r="K48" s="15">
        <v>328</v>
      </c>
      <c r="L48" s="15">
        <v>1</v>
      </c>
      <c r="M48" s="15" t="s">
        <v>24</v>
      </c>
      <c r="N48" s="15">
        <v>39</v>
      </c>
      <c r="O48" s="15">
        <v>3</v>
      </c>
      <c r="P48" s="15">
        <v>1</v>
      </c>
      <c r="Q48" s="15" t="s">
        <v>36</v>
      </c>
      <c r="R48" s="15">
        <v>1</v>
      </c>
      <c r="S48" s="15" t="s">
        <v>28</v>
      </c>
      <c r="T48" s="15">
        <v>2707</v>
      </c>
      <c r="U48" s="15">
        <v>21509</v>
      </c>
      <c r="V48" s="15">
        <v>7</v>
      </c>
      <c r="W48" s="15" t="s">
        <v>29</v>
      </c>
      <c r="X48" s="15" t="s">
        <v>9</v>
      </c>
      <c r="Y48" s="15">
        <v>20</v>
      </c>
      <c r="Z48" s="15">
        <v>4</v>
      </c>
      <c r="AA48" s="15">
        <v>1</v>
      </c>
      <c r="AB48" s="15">
        <v>80</v>
      </c>
      <c r="AC48" s="15">
        <v>0</v>
      </c>
      <c r="AD48" s="15">
        <v>13</v>
      </c>
      <c r="AE48" s="15">
        <v>3</v>
      </c>
      <c r="AF48" s="15">
        <v>4</v>
      </c>
      <c r="AG48" s="15">
        <v>9</v>
      </c>
      <c r="AH48" s="15">
        <v>7</v>
      </c>
      <c r="AI48" s="15">
        <v>1</v>
      </c>
      <c r="AJ48" s="15">
        <v>7</v>
      </c>
    </row>
    <row r="49" spans="1:36" s="15" customFormat="1" x14ac:dyDescent="0.25">
      <c r="A49">
        <v>94</v>
      </c>
      <c r="B49">
        <v>35</v>
      </c>
      <c r="C49" t="s">
        <v>9</v>
      </c>
      <c r="D49" t="s">
        <v>15</v>
      </c>
      <c r="E49">
        <v>670</v>
      </c>
      <c r="F49" t="s">
        <v>119</v>
      </c>
      <c r="G49">
        <v>10</v>
      </c>
      <c r="H49">
        <v>4</v>
      </c>
      <c r="I49" t="s">
        <v>17</v>
      </c>
      <c r="J49">
        <v>1</v>
      </c>
      <c r="K49">
        <v>1587</v>
      </c>
      <c r="L49">
        <v>1</v>
      </c>
      <c r="M49" t="s">
        <v>24</v>
      </c>
      <c r="N49">
        <v>51</v>
      </c>
      <c r="O49">
        <v>3</v>
      </c>
      <c r="P49">
        <v>2</v>
      </c>
      <c r="Q49" t="s">
        <v>34</v>
      </c>
      <c r="R49">
        <v>3</v>
      </c>
      <c r="S49" t="s">
        <v>27</v>
      </c>
      <c r="T49">
        <v>6142</v>
      </c>
      <c r="U49">
        <v>4223</v>
      </c>
      <c r="V49">
        <v>3</v>
      </c>
      <c r="W49" t="s">
        <v>29</v>
      </c>
      <c r="X49" t="s">
        <v>10</v>
      </c>
      <c r="Y49">
        <v>16</v>
      </c>
      <c r="Z49">
        <v>3</v>
      </c>
      <c r="AA49">
        <v>3</v>
      </c>
      <c r="AB49">
        <v>80</v>
      </c>
      <c r="AC49">
        <v>0</v>
      </c>
      <c r="AD49">
        <v>10</v>
      </c>
      <c r="AE49">
        <v>4</v>
      </c>
      <c r="AF49">
        <v>3</v>
      </c>
      <c r="AG49">
        <v>5</v>
      </c>
      <c r="AH49">
        <v>2</v>
      </c>
      <c r="AI49">
        <v>0</v>
      </c>
      <c r="AJ49">
        <v>4</v>
      </c>
    </row>
    <row r="50" spans="1:36" s="15" customFormat="1" x14ac:dyDescent="0.25">
      <c r="A50">
        <v>612</v>
      </c>
      <c r="B50">
        <v>41</v>
      </c>
      <c r="C50" t="s">
        <v>9</v>
      </c>
      <c r="D50" t="s">
        <v>16</v>
      </c>
      <c r="E50">
        <v>509</v>
      </c>
      <c r="F50" t="s">
        <v>119</v>
      </c>
      <c r="G50">
        <v>2</v>
      </c>
      <c r="H50">
        <v>4</v>
      </c>
      <c r="I50" t="s">
        <v>19</v>
      </c>
      <c r="J50">
        <v>1</v>
      </c>
      <c r="K50">
        <v>616</v>
      </c>
      <c r="L50">
        <v>1</v>
      </c>
      <c r="M50" t="s">
        <v>24</v>
      </c>
      <c r="N50">
        <v>62</v>
      </c>
      <c r="O50">
        <v>2</v>
      </c>
      <c r="P50">
        <v>2</v>
      </c>
      <c r="Q50" t="s">
        <v>34</v>
      </c>
      <c r="R50">
        <v>3</v>
      </c>
      <c r="S50" t="s">
        <v>27</v>
      </c>
      <c r="T50">
        <v>6811</v>
      </c>
      <c r="U50">
        <v>2112</v>
      </c>
      <c r="V50">
        <v>2</v>
      </c>
      <c r="W50" t="s">
        <v>29</v>
      </c>
      <c r="X50" t="s">
        <v>10</v>
      </c>
      <c r="Y50">
        <v>17</v>
      </c>
      <c r="Z50">
        <v>3</v>
      </c>
      <c r="AA50">
        <v>1</v>
      </c>
      <c r="AB50">
        <v>80</v>
      </c>
      <c r="AC50">
        <v>0</v>
      </c>
      <c r="AD50">
        <v>10</v>
      </c>
      <c r="AE50">
        <v>3</v>
      </c>
      <c r="AF50">
        <v>3</v>
      </c>
      <c r="AG50">
        <v>8</v>
      </c>
      <c r="AH50">
        <v>7</v>
      </c>
      <c r="AI50">
        <v>0</v>
      </c>
      <c r="AJ50">
        <v>7</v>
      </c>
    </row>
    <row r="51" spans="1:36" s="15" customFormat="1" x14ac:dyDescent="0.25">
      <c r="A51" s="15">
        <v>207</v>
      </c>
      <c r="B51" s="15">
        <v>43</v>
      </c>
      <c r="C51" s="15" t="s">
        <v>10</v>
      </c>
      <c r="D51" s="15" t="s">
        <v>15</v>
      </c>
      <c r="E51" s="15">
        <v>1372</v>
      </c>
      <c r="F51" s="15" t="s">
        <v>118</v>
      </c>
      <c r="G51" s="15">
        <v>9</v>
      </c>
      <c r="H51" s="15">
        <v>3</v>
      </c>
      <c r="I51" s="15" t="s">
        <v>18</v>
      </c>
      <c r="J51" s="15">
        <v>1</v>
      </c>
      <c r="K51" s="15">
        <v>1188</v>
      </c>
      <c r="L51" s="15">
        <v>1</v>
      </c>
      <c r="M51" s="15" t="s">
        <v>24</v>
      </c>
      <c r="N51" s="15">
        <v>85</v>
      </c>
      <c r="O51" s="15">
        <v>1</v>
      </c>
      <c r="P51" s="15">
        <v>2</v>
      </c>
      <c r="Q51" s="15" t="s">
        <v>25</v>
      </c>
      <c r="R51" s="15">
        <v>3</v>
      </c>
      <c r="S51" s="15" t="s">
        <v>27</v>
      </c>
      <c r="T51" s="15">
        <v>5346</v>
      </c>
      <c r="U51" s="15">
        <v>9489</v>
      </c>
      <c r="V51" s="15">
        <v>8</v>
      </c>
      <c r="W51" s="15" t="s">
        <v>29</v>
      </c>
      <c r="X51" s="15" t="s">
        <v>9</v>
      </c>
      <c r="Y51" s="15">
        <v>13</v>
      </c>
      <c r="Z51" s="15">
        <v>3</v>
      </c>
      <c r="AA51" s="15">
        <v>2</v>
      </c>
      <c r="AB51" s="15">
        <v>80</v>
      </c>
      <c r="AC51" s="15">
        <v>0</v>
      </c>
      <c r="AD51" s="15">
        <v>7</v>
      </c>
      <c r="AE51" s="15">
        <v>2</v>
      </c>
      <c r="AF51" s="15">
        <v>2</v>
      </c>
      <c r="AG51" s="15">
        <v>4</v>
      </c>
      <c r="AH51" s="15">
        <v>3</v>
      </c>
      <c r="AI51" s="15">
        <v>1</v>
      </c>
      <c r="AJ51" s="15">
        <v>3</v>
      </c>
    </row>
    <row r="52" spans="1:36" s="15" customFormat="1" x14ac:dyDescent="0.25">
      <c r="A52">
        <v>46</v>
      </c>
      <c r="B52">
        <v>42</v>
      </c>
      <c r="C52" t="s">
        <v>9</v>
      </c>
      <c r="D52" t="s">
        <v>11</v>
      </c>
      <c r="E52">
        <v>748</v>
      </c>
      <c r="F52" t="s">
        <v>119</v>
      </c>
      <c r="G52">
        <v>9</v>
      </c>
      <c r="H52">
        <v>2</v>
      </c>
      <c r="I52" t="s">
        <v>17</v>
      </c>
      <c r="J52">
        <v>1</v>
      </c>
      <c r="K52">
        <v>1480</v>
      </c>
      <c r="L52">
        <v>1</v>
      </c>
      <c r="M52" t="s">
        <v>24</v>
      </c>
      <c r="N52">
        <v>74</v>
      </c>
      <c r="O52">
        <v>3</v>
      </c>
      <c r="P52">
        <v>1</v>
      </c>
      <c r="Q52" t="s">
        <v>36</v>
      </c>
      <c r="R52">
        <v>4</v>
      </c>
      <c r="S52" t="s">
        <v>27</v>
      </c>
      <c r="T52">
        <v>3673</v>
      </c>
      <c r="U52">
        <v>16458</v>
      </c>
      <c r="V52">
        <v>1</v>
      </c>
      <c r="W52" t="s">
        <v>29</v>
      </c>
      <c r="X52" t="s">
        <v>9</v>
      </c>
      <c r="Y52">
        <v>13</v>
      </c>
      <c r="Z52">
        <v>3</v>
      </c>
      <c r="AA52">
        <v>3</v>
      </c>
      <c r="AB52">
        <v>80</v>
      </c>
      <c r="AC52">
        <v>0</v>
      </c>
      <c r="AD52">
        <v>12</v>
      </c>
      <c r="AE52">
        <v>3</v>
      </c>
      <c r="AF52">
        <v>3</v>
      </c>
      <c r="AG52">
        <v>12</v>
      </c>
      <c r="AH52">
        <v>9</v>
      </c>
      <c r="AI52">
        <v>5</v>
      </c>
      <c r="AJ52">
        <v>8</v>
      </c>
    </row>
    <row r="53" spans="1:36" s="15" customFormat="1" x14ac:dyDescent="0.25">
      <c r="A53">
        <v>589</v>
      </c>
      <c r="B53">
        <v>37</v>
      </c>
      <c r="C53" t="s">
        <v>9</v>
      </c>
      <c r="D53" t="s">
        <v>15</v>
      </c>
      <c r="E53">
        <v>1462</v>
      </c>
      <c r="F53" t="s">
        <v>119</v>
      </c>
      <c r="G53">
        <v>11</v>
      </c>
      <c r="H53">
        <v>3</v>
      </c>
      <c r="I53" t="s">
        <v>17</v>
      </c>
      <c r="J53">
        <v>1</v>
      </c>
      <c r="K53">
        <v>1411</v>
      </c>
      <c r="L53">
        <v>1</v>
      </c>
      <c r="M53" t="s">
        <v>24</v>
      </c>
      <c r="N53">
        <v>94</v>
      </c>
      <c r="O53">
        <v>3</v>
      </c>
      <c r="P53">
        <v>1</v>
      </c>
      <c r="Q53" t="s">
        <v>36</v>
      </c>
      <c r="R53">
        <v>3</v>
      </c>
      <c r="S53" t="s">
        <v>27</v>
      </c>
      <c r="T53">
        <v>3629</v>
      </c>
      <c r="U53">
        <v>19106</v>
      </c>
      <c r="V53">
        <v>4</v>
      </c>
      <c r="W53" t="s">
        <v>29</v>
      </c>
      <c r="X53" t="s">
        <v>9</v>
      </c>
      <c r="Y53">
        <v>18</v>
      </c>
      <c r="Z53">
        <v>3</v>
      </c>
      <c r="AA53">
        <v>1</v>
      </c>
      <c r="AB53">
        <v>80</v>
      </c>
      <c r="AC53">
        <v>0</v>
      </c>
      <c r="AD53">
        <v>8</v>
      </c>
      <c r="AE53">
        <v>6</v>
      </c>
      <c r="AF53">
        <v>3</v>
      </c>
      <c r="AG53">
        <v>3</v>
      </c>
      <c r="AH53">
        <v>2</v>
      </c>
      <c r="AI53">
        <v>0</v>
      </c>
      <c r="AJ53">
        <v>2</v>
      </c>
    </row>
    <row r="54" spans="1:36" s="15" customFormat="1" x14ac:dyDescent="0.25">
      <c r="A54">
        <v>579</v>
      </c>
      <c r="B54">
        <v>39</v>
      </c>
      <c r="C54" t="s">
        <v>9</v>
      </c>
      <c r="D54" t="s">
        <v>11</v>
      </c>
      <c r="E54">
        <v>711</v>
      </c>
      <c r="F54" t="s">
        <v>119</v>
      </c>
      <c r="G54">
        <v>4</v>
      </c>
      <c r="H54">
        <v>3</v>
      </c>
      <c r="I54" t="s">
        <v>17</v>
      </c>
      <c r="J54">
        <v>1</v>
      </c>
      <c r="K54">
        <v>1633</v>
      </c>
      <c r="L54">
        <v>1</v>
      </c>
      <c r="M54" t="s">
        <v>24</v>
      </c>
      <c r="N54">
        <v>81</v>
      </c>
      <c r="O54">
        <v>3</v>
      </c>
      <c r="P54">
        <v>2</v>
      </c>
      <c r="Q54" t="s">
        <v>31</v>
      </c>
      <c r="R54">
        <v>3</v>
      </c>
      <c r="S54" t="s">
        <v>27</v>
      </c>
      <c r="T54">
        <v>5042</v>
      </c>
      <c r="U54">
        <v>3140</v>
      </c>
      <c r="V54">
        <v>0</v>
      </c>
      <c r="W54" t="s">
        <v>29</v>
      </c>
      <c r="X54" t="s">
        <v>9</v>
      </c>
      <c r="Y54">
        <v>13</v>
      </c>
      <c r="Z54">
        <v>3</v>
      </c>
      <c r="AA54">
        <v>4</v>
      </c>
      <c r="AB54">
        <v>80</v>
      </c>
      <c r="AC54">
        <v>0</v>
      </c>
      <c r="AD54">
        <v>10</v>
      </c>
      <c r="AE54">
        <v>2</v>
      </c>
      <c r="AF54">
        <v>1</v>
      </c>
      <c r="AG54">
        <v>9</v>
      </c>
      <c r="AH54">
        <v>2</v>
      </c>
      <c r="AI54">
        <v>3</v>
      </c>
      <c r="AJ54">
        <v>8</v>
      </c>
    </row>
    <row r="55" spans="1:36" s="15" customFormat="1" x14ac:dyDescent="0.25">
      <c r="A55">
        <v>514</v>
      </c>
      <c r="B55">
        <v>33</v>
      </c>
      <c r="C55" t="s">
        <v>9</v>
      </c>
      <c r="D55" t="s">
        <v>11</v>
      </c>
      <c r="E55">
        <v>515</v>
      </c>
      <c r="F55" t="s">
        <v>119</v>
      </c>
      <c r="G55">
        <v>1</v>
      </c>
      <c r="H55">
        <v>2</v>
      </c>
      <c r="I55" t="s">
        <v>21</v>
      </c>
      <c r="J55">
        <v>1</v>
      </c>
      <c r="K55">
        <v>73</v>
      </c>
      <c r="L55">
        <v>1</v>
      </c>
      <c r="M55" t="s">
        <v>24</v>
      </c>
      <c r="N55">
        <v>98</v>
      </c>
      <c r="O55">
        <v>3</v>
      </c>
      <c r="P55">
        <v>3</v>
      </c>
      <c r="Q55" t="s">
        <v>30</v>
      </c>
      <c r="R55">
        <v>4</v>
      </c>
      <c r="S55" t="s">
        <v>27</v>
      </c>
      <c r="T55">
        <v>13458</v>
      </c>
      <c r="U55">
        <v>15146</v>
      </c>
      <c r="V55">
        <v>1</v>
      </c>
      <c r="W55" t="s">
        <v>29</v>
      </c>
      <c r="X55" t="s">
        <v>10</v>
      </c>
      <c r="Y55">
        <v>12</v>
      </c>
      <c r="Z55">
        <v>3</v>
      </c>
      <c r="AA55">
        <v>3</v>
      </c>
      <c r="AB55">
        <v>80</v>
      </c>
      <c r="AC55">
        <v>0</v>
      </c>
      <c r="AD55">
        <v>15</v>
      </c>
      <c r="AE55">
        <v>1</v>
      </c>
      <c r="AF55">
        <v>3</v>
      </c>
      <c r="AG55">
        <v>15</v>
      </c>
      <c r="AH55">
        <v>14</v>
      </c>
      <c r="AI55">
        <v>8</v>
      </c>
      <c r="AJ55">
        <v>12</v>
      </c>
    </row>
    <row r="56" spans="1:36" s="15" customFormat="1" x14ac:dyDescent="0.25">
      <c r="A56">
        <v>582</v>
      </c>
      <c r="B56">
        <v>42</v>
      </c>
      <c r="C56" t="s">
        <v>9</v>
      </c>
      <c r="D56" t="s">
        <v>15</v>
      </c>
      <c r="E56">
        <v>810</v>
      </c>
      <c r="F56" t="s">
        <v>119</v>
      </c>
      <c r="G56">
        <v>23</v>
      </c>
      <c r="H56">
        <v>5</v>
      </c>
      <c r="I56" t="s">
        <v>21</v>
      </c>
      <c r="J56">
        <v>1</v>
      </c>
      <c r="K56">
        <v>468</v>
      </c>
      <c r="L56">
        <v>1</v>
      </c>
      <c r="M56" t="s">
        <v>24</v>
      </c>
      <c r="N56">
        <v>44</v>
      </c>
      <c r="O56">
        <v>3</v>
      </c>
      <c r="P56">
        <v>4</v>
      </c>
      <c r="Q56" t="s">
        <v>30</v>
      </c>
      <c r="R56">
        <v>4</v>
      </c>
      <c r="S56" t="s">
        <v>27</v>
      </c>
      <c r="T56">
        <v>15992</v>
      </c>
      <c r="U56">
        <v>15901</v>
      </c>
      <c r="V56">
        <v>2</v>
      </c>
      <c r="W56" t="s">
        <v>29</v>
      </c>
      <c r="X56" t="s">
        <v>9</v>
      </c>
      <c r="Y56">
        <v>14</v>
      </c>
      <c r="Z56">
        <v>3</v>
      </c>
      <c r="AA56">
        <v>2</v>
      </c>
      <c r="AB56">
        <v>80</v>
      </c>
      <c r="AC56">
        <v>0</v>
      </c>
      <c r="AD56">
        <v>16</v>
      </c>
      <c r="AE56">
        <v>2</v>
      </c>
      <c r="AF56">
        <v>3</v>
      </c>
      <c r="AG56">
        <v>1</v>
      </c>
      <c r="AH56">
        <v>0</v>
      </c>
      <c r="AI56">
        <v>0</v>
      </c>
      <c r="AJ56">
        <v>0</v>
      </c>
    </row>
    <row r="57" spans="1:36" s="15" customFormat="1" x14ac:dyDescent="0.25">
      <c r="A57">
        <v>786</v>
      </c>
      <c r="B57">
        <v>31</v>
      </c>
      <c r="C57" t="s">
        <v>9</v>
      </c>
      <c r="D57" t="s">
        <v>15</v>
      </c>
      <c r="E57">
        <v>182</v>
      </c>
      <c r="F57" t="s">
        <v>119</v>
      </c>
      <c r="G57">
        <v>8</v>
      </c>
      <c r="H57">
        <v>5</v>
      </c>
      <c r="I57" t="s">
        <v>21</v>
      </c>
      <c r="J57">
        <v>1</v>
      </c>
      <c r="K57">
        <v>1430</v>
      </c>
      <c r="L57">
        <v>1</v>
      </c>
      <c r="M57" t="s">
        <v>24</v>
      </c>
      <c r="N57">
        <v>93</v>
      </c>
      <c r="O57">
        <v>3</v>
      </c>
      <c r="P57">
        <v>4</v>
      </c>
      <c r="Q57" t="s">
        <v>30</v>
      </c>
      <c r="R57">
        <v>2</v>
      </c>
      <c r="S57" t="s">
        <v>27</v>
      </c>
      <c r="T57">
        <v>16422</v>
      </c>
      <c r="U57">
        <v>8847</v>
      </c>
      <c r="V57">
        <v>3</v>
      </c>
      <c r="W57" t="s">
        <v>29</v>
      </c>
      <c r="X57" t="s">
        <v>9</v>
      </c>
      <c r="Y57">
        <v>11</v>
      </c>
      <c r="Z57">
        <v>3</v>
      </c>
      <c r="AA57">
        <v>3</v>
      </c>
      <c r="AB57">
        <v>80</v>
      </c>
      <c r="AC57">
        <v>0</v>
      </c>
      <c r="AD57">
        <v>9</v>
      </c>
      <c r="AE57">
        <v>3</v>
      </c>
      <c r="AF57">
        <v>4</v>
      </c>
      <c r="AG57">
        <v>3</v>
      </c>
      <c r="AH57">
        <v>2</v>
      </c>
      <c r="AI57">
        <v>1</v>
      </c>
      <c r="AJ57">
        <v>0</v>
      </c>
    </row>
    <row r="58" spans="1:36" s="15" customFormat="1" x14ac:dyDescent="0.25">
      <c r="A58">
        <v>219</v>
      </c>
      <c r="B58">
        <v>30</v>
      </c>
      <c r="C58" t="s">
        <v>9</v>
      </c>
      <c r="D58" t="s">
        <v>15</v>
      </c>
      <c r="E58">
        <v>438</v>
      </c>
      <c r="F58" t="s">
        <v>119</v>
      </c>
      <c r="G58">
        <v>18</v>
      </c>
      <c r="H58">
        <v>3</v>
      </c>
      <c r="I58" t="s">
        <v>21</v>
      </c>
      <c r="J58">
        <v>1</v>
      </c>
      <c r="K58">
        <v>194</v>
      </c>
      <c r="L58">
        <v>1</v>
      </c>
      <c r="M58" t="s">
        <v>24</v>
      </c>
      <c r="N58">
        <v>75</v>
      </c>
      <c r="O58">
        <v>3</v>
      </c>
      <c r="P58">
        <v>1</v>
      </c>
      <c r="Q58" t="s">
        <v>32</v>
      </c>
      <c r="R58">
        <v>3</v>
      </c>
      <c r="S58" t="s">
        <v>27</v>
      </c>
      <c r="T58">
        <v>2632</v>
      </c>
      <c r="U58">
        <v>23910</v>
      </c>
      <c r="V58">
        <v>1</v>
      </c>
      <c r="W58" t="s">
        <v>29</v>
      </c>
      <c r="X58" t="s">
        <v>9</v>
      </c>
      <c r="Y58">
        <v>14</v>
      </c>
      <c r="Z58">
        <v>3</v>
      </c>
      <c r="AA58">
        <v>3</v>
      </c>
      <c r="AB58">
        <v>80</v>
      </c>
      <c r="AC58">
        <v>0</v>
      </c>
      <c r="AD58">
        <v>5</v>
      </c>
      <c r="AE58">
        <v>4</v>
      </c>
      <c r="AF58">
        <v>2</v>
      </c>
      <c r="AG58">
        <v>5</v>
      </c>
      <c r="AH58">
        <v>4</v>
      </c>
      <c r="AI58">
        <v>0</v>
      </c>
      <c r="AJ58">
        <v>4</v>
      </c>
    </row>
    <row r="59" spans="1:36" s="15" customFormat="1" x14ac:dyDescent="0.25">
      <c r="A59">
        <v>129</v>
      </c>
      <c r="B59">
        <v>43</v>
      </c>
      <c r="C59" t="s">
        <v>9</v>
      </c>
      <c r="D59" t="s">
        <v>15</v>
      </c>
      <c r="E59">
        <v>930</v>
      </c>
      <c r="F59" t="s">
        <v>119</v>
      </c>
      <c r="G59">
        <v>6</v>
      </c>
      <c r="H59">
        <v>3</v>
      </c>
      <c r="I59" t="s">
        <v>17</v>
      </c>
      <c r="J59">
        <v>1</v>
      </c>
      <c r="K59">
        <v>1402</v>
      </c>
      <c r="L59">
        <v>1</v>
      </c>
      <c r="M59" t="s">
        <v>24</v>
      </c>
      <c r="N59">
        <v>73</v>
      </c>
      <c r="O59">
        <v>2</v>
      </c>
      <c r="P59">
        <v>2</v>
      </c>
      <c r="Q59" t="s">
        <v>32</v>
      </c>
      <c r="R59">
        <v>3</v>
      </c>
      <c r="S59" t="s">
        <v>27</v>
      </c>
      <c r="T59">
        <v>4081</v>
      </c>
      <c r="U59">
        <v>20003</v>
      </c>
      <c r="V59">
        <v>1</v>
      </c>
      <c r="W59" t="s">
        <v>29</v>
      </c>
      <c r="X59" t="s">
        <v>10</v>
      </c>
      <c r="Y59">
        <v>14</v>
      </c>
      <c r="Z59">
        <v>3</v>
      </c>
      <c r="AA59">
        <v>1</v>
      </c>
      <c r="AB59">
        <v>80</v>
      </c>
      <c r="AC59">
        <v>0</v>
      </c>
      <c r="AD59">
        <v>20</v>
      </c>
      <c r="AE59">
        <v>3</v>
      </c>
      <c r="AF59">
        <v>1</v>
      </c>
      <c r="AG59">
        <v>20</v>
      </c>
      <c r="AH59">
        <v>7</v>
      </c>
      <c r="AI59">
        <v>1</v>
      </c>
      <c r="AJ59">
        <v>8</v>
      </c>
    </row>
    <row r="60" spans="1:36" s="15" customFormat="1" x14ac:dyDescent="0.25">
      <c r="A60">
        <v>370</v>
      </c>
      <c r="B60">
        <v>32</v>
      </c>
      <c r="C60" t="s">
        <v>9</v>
      </c>
      <c r="D60" t="s">
        <v>15</v>
      </c>
      <c r="E60">
        <v>1018</v>
      </c>
      <c r="F60" t="s">
        <v>119</v>
      </c>
      <c r="G60">
        <v>2</v>
      </c>
      <c r="H60">
        <v>4</v>
      </c>
      <c r="I60" t="s">
        <v>17</v>
      </c>
      <c r="J60">
        <v>1</v>
      </c>
      <c r="K60">
        <v>439</v>
      </c>
      <c r="L60">
        <v>1</v>
      </c>
      <c r="M60" t="s">
        <v>24</v>
      </c>
      <c r="N60">
        <v>74</v>
      </c>
      <c r="O60">
        <v>4</v>
      </c>
      <c r="P60">
        <v>2</v>
      </c>
      <c r="Q60" t="s">
        <v>32</v>
      </c>
      <c r="R60">
        <v>4</v>
      </c>
      <c r="S60" t="s">
        <v>27</v>
      </c>
      <c r="T60">
        <v>5055</v>
      </c>
      <c r="U60">
        <v>10557</v>
      </c>
      <c r="V60">
        <v>7</v>
      </c>
      <c r="W60" t="s">
        <v>29</v>
      </c>
      <c r="X60" t="s">
        <v>9</v>
      </c>
      <c r="Y60">
        <v>16</v>
      </c>
      <c r="Z60">
        <v>3</v>
      </c>
      <c r="AA60">
        <v>3</v>
      </c>
      <c r="AB60">
        <v>80</v>
      </c>
      <c r="AC60">
        <v>0</v>
      </c>
      <c r="AD60">
        <v>10</v>
      </c>
      <c r="AE60">
        <v>0</v>
      </c>
      <c r="AF60">
        <v>2</v>
      </c>
      <c r="AG60">
        <v>7</v>
      </c>
      <c r="AH60">
        <v>7</v>
      </c>
      <c r="AI60">
        <v>0</v>
      </c>
      <c r="AJ60">
        <v>7</v>
      </c>
    </row>
    <row r="61" spans="1:36" s="15" customFormat="1" x14ac:dyDescent="0.25">
      <c r="A61" s="15">
        <v>760</v>
      </c>
      <c r="B61" s="15">
        <v>45</v>
      </c>
      <c r="C61" s="15" t="s">
        <v>10</v>
      </c>
      <c r="D61" s="15" t="s">
        <v>15</v>
      </c>
      <c r="E61" s="15">
        <v>1449</v>
      </c>
      <c r="F61" s="15" t="s">
        <v>118</v>
      </c>
      <c r="G61" s="15">
        <v>2</v>
      </c>
      <c r="H61" s="15">
        <v>3</v>
      </c>
      <c r="I61" s="15" t="s">
        <v>18</v>
      </c>
      <c r="J61" s="15">
        <v>1</v>
      </c>
      <c r="K61" s="15">
        <v>1277</v>
      </c>
      <c r="L61" s="15">
        <v>1</v>
      </c>
      <c r="M61" s="15" t="s">
        <v>24</v>
      </c>
      <c r="N61" s="15">
        <v>94</v>
      </c>
      <c r="O61" s="15">
        <v>1</v>
      </c>
      <c r="P61" s="15">
        <v>5</v>
      </c>
      <c r="Q61" s="15" t="s">
        <v>35</v>
      </c>
      <c r="R61" s="15">
        <v>2</v>
      </c>
      <c r="S61" s="15" t="s">
        <v>27</v>
      </c>
      <c r="T61" s="15">
        <v>18824</v>
      </c>
      <c r="U61" s="15">
        <v>2493</v>
      </c>
      <c r="V61" s="15">
        <v>2</v>
      </c>
      <c r="W61" s="15" t="s">
        <v>29</v>
      </c>
      <c r="X61" s="15" t="s">
        <v>10</v>
      </c>
      <c r="Y61" s="15">
        <v>16</v>
      </c>
      <c r="Z61" s="15">
        <v>3</v>
      </c>
      <c r="AA61" s="15">
        <v>1</v>
      </c>
      <c r="AB61" s="15">
        <v>80</v>
      </c>
      <c r="AC61" s="15">
        <v>0</v>
      </c>
      <c r="AD61" s="15">
        <v>26</v>
      </c>
      <c r="AE61" s="15">
        <v>2</v>
      </c>
      <c r="AF61" s="15">
        <v>3</v>
      </c>
      <c r="AG61" s="15">
        <v>24</v>
      </c>
      <c r="AH61" s="15">
        <v>10</v>
      </c>
      <c r="AI61" s="15">
        <v>1</v>
      </c>
      <c r="AJ61" s="15">
        <v>11</v>
      </c>
    </row>
    <row r="62" spans="1:36" s="15" customFormat="1" x14ac:dyDescent="0.25">
      <c r="A62" s="15">
        <v>204</v>
      </c>
      <c r="B62" s="15">
        <v>28</v>
      </c>
      <c r="C62" s="15" t="s">
        <v>10</v>
      </c>
      <c r="D62" s="15" t="s">
        <v>15</v>
      </c>
      <c r="E62" s="15">
        <v>654</v>
      </c>
      <c r="F62" s="15" t="s">
        <v>119</v>
      </c>
      <c r="G62" s="15">
        <v>1</v>
      </c>
      <c r="H62" s="15">
        <v>2</v>
      </c>
      <c r="I62" s="15" t="s">
        <v>21</v>
      </c>
      <c r="J62" s="15">
        <v>1</v>
      </c>
      <c r="K62" s="15">
        <v>741</v>
      </c>
      <c r="L62" s="15">
        <v>1</v>
      </c>
      <c r="M62" s="15" t="s">
        <v>24</v>
      </c>
      <c r="N62" s="15">
        <v>67</v>
      </c>
      <c r="O62" s="15">
        <v>1</v>
      </c>
      <c r="P62" s="15">
        <v>1</v>
      </c>
      <c r="Q62" s="15" t="s">
        <v>32</v>
      </c>
      <c r="R62" s="15">
        <v>2</v>
      </c>
      <c r="S62" s="15" t="s">
        <v>27</v>
      </c>
      <c r="T62" s="15">
        <v>2216</v>
      </c>
      <c r="U62" s="15">
        <v>3872</v>
      </c>
      <c r="V62" s="15">
        <v>7</v>
      </c>
      <c r="W62" s="15" t="s">
        <v>29</v>
      </c>
      <c r="X62" s="15" t="s">
        <v>10</v>
      </c>
      <c r="Y62" s="15">
        <v>13</v>
      </c>
      <c r="Z62" s="15">
        <v>3</v>
      </c>
      <c r="AA62" s="15">
        <v>4</v>
      </c>
      <c r="AB62" s="15">
        <v>80</v>
      </c>
      <c r="AC62" s="15">
        <v>0</v>
      </c>
      <c r="AD62" s="15">
        <v>10</v>
      </c>
      <c r="AE62" s="15">
        <v>4</v>
      </c>
      <c r="AF62" s="15">
        <v>3</v>
      </c>
      <c r="AG62" s="15">
        <v>7</v>
      </c>
      <c r="AH62" s="15">
        <v>7</v>
      </c>
      <c r="AI62" s="15">
        <v>3</v>
      </c>
      <c r="AJ62" s="15">
        <v>7</v>
      </c>
    </row>
    <row r="63" spans="1:36" s="15" customFormat="1" x14ac:dyDescent="0.25">
      <c r="A63">
        <v>5</v>
      </c>
      <c r="B63">
        <v>24</v>
      </c>
      <c r="C63" t="s">
        <v>9</v>
      </c>
      <c r="D63" t="s">
        <v>11</v>
      </c>
      <c r="E63">
        <v>567</v>
      </c>
      <c r="F63" t="s">
        <v>119</v>
      </c>
      <c r="G63">
        <v>2</v>
      </c>
      <c r="H63">
        <v>1</v>
      </c>
      <c r="I63" t="s">
        <v>22</v>
      </c>
      <c r="J63">
        <v>1</v>
      </c>
      <c r="K63">
        <v>1646</v>
      </c>
      <c r="L63">
        <v>1</v>
      </c>
      <c r="M63" t="s">
        <v>24</v>
      </c>
      <c r="N63">
        <v>32</v>
      </c>
      <c r="O63">
        <v>3</v>
      </c>
      <c r="P63">
        <v>1</v>
      </c>
      <c r="Q63" t="s">
        <v>32</v>
      </c>
      <c r="R63">
        <v>4</v>
      </c>
      <c r="S63" t="s">
        <v>27</v>
      </c>
      <c r="T63">
        <v>3760</v>
      </c>
      <c r="U63">
        <v>17218</v>
      </c>
      <c r="V63">
        <v>1</v>
      </c>
      <c r="W63" t="s">
        <v>29</v>
      </c>
      <c r="X63" t="s">
        <v>10</v>
      </c>
      <c r="Y63">
        <v>13</v>
      </c>
      <c r="Z63">
        <v>3</v>
      </c>
      <c r="AA63">
        <v>3</v>
      </c>
      <c r="AB63">
        <v>80</v>
      </c>
      <c r="AC63">
        <v>0</v>
      </c>
      <c r="AD63">
        <v>6</v>
      </c>
      <c r="AE63">
        <v>2</v>
      </c>
      <c r="AF63">
        <v>3</v>
      </c>
      <c r="AG63">
        <v>6</v>
      </c>
      <c r="AH63">
        <v>3</v>
      </c>
      <c r="AI63">
        <v>1</v>
      </c>
      <c r="AJ63">
        <v>3</v>
      </c>
    </row>
    <row r="64" spans="1:36" s="15" customFormat="1" x14ac:dyDescent="0.25">
      <c r="A64" s="15">
        <v>336</v>
      </c>
      <c r="B64" s="15">
        <v>33</v>
      </c>
      <c r="C64" s="15" t="s">
        <v>10</v>
      </c>
      <c r="D64" s="15" t="s">
        <v>11</v>
      </c>
      <c r="E64" s="15">
        <v>827</v>
      </c>
      <c r="F64" s="15" t="s">
        <v>119</v>
      </c>
      <c r="G64" s="15">
        <v>29</v>
      </c>
      <c r="H64" s="15">
        <v>4</v>
      </c>
      <c r="I64" s="15" t="s">
        <v>17</v>
      </c>
      <c r="J64" s="15">
        <v>1</v>
      </c>
      <c r="K64" s="15">
        <v>1101</v>
      </c>
      <c r="L64" s="15">
        <v>1</v>
      </c>
      <c r="M64" s="15" t="s">
        <v>24</v>
      </c>
      <c r="N64" s="15">
        <v>54</v>
      </c>
      <c r="O64" s="15">
        <v>2</v>
      </c>
      <c r="P64" s="15">
        <v>2</v>
      </c>
      <c r="Q64" s="15" t="s">
        <v>32</v>
      </c>
      <c r="R64" s="15">
        <v>3</v>
      </c>
      <c r="S64" s="15" t="s">
        <v>27</v>
      </c>
      <c r="T64" s="15">
        <v>4508</v>
      </c>
      <c r="U64" s="15">
        <v>3129</v>
      </c>
      <c r="V64" s="15">
        <v>1</v>
      </c>
      <c r="W64" s="15" t="s">
        <v>29</v>
      </c>
      <c r="X64" s="15" t="s">
        <v>9</v>
      </c>
      <c r="Y64" s="15">
        <v>22</v>
      </c>
      <c r="Z64" s="15">
        <v>4</v>
      </c>
      <c r="AA64" s="15">
        <v>2</v>
      </c>
      <c r="AB64" s="15">
        <v>80</v>
      </c>
      <c r="AC64" s="15">
        <v>0</v>
      </c>
      <c r="AD64" s="15">
        <v>14</v>
      </c>
      <c r="AE64" s="15">
        <v>4</v>
      </c>
      <c r="AF64" s="15">
        <v>3</v>
      </c>
      <c r="AG64" s="15">
        <v>13</v>
      </c>
      <c r="AH64" s="15">
        <v>7</v>
      </c>
      <c r="AI64" s="15">
        <v>3</v>
      </c>
      <c r="AJ64" s="15">
        <v>8</v>
      </c>
    </row>
    <row r="65" spans="1:36" s="15" customFormat="1" x14ac:dyDescent="0.25">
      <c r="A65">
        <v>180</v>
      </c>
      <c r="B65">
        <v>38</v>
      </c>
      <c r="C65" t="s">
        <v>9</v>
      </c>
      <c r="D65" t="s">
        <v>15</v>
      </c>
      <c r="E65">
        <v>702</v>
      </c>
      <c r="F65" t="s">
        <v>118</v>
      </c>
      <c r="G65">
        <v>1</v>
      </c>
      <c r="H65">
        <v>4</v>
      </c>
      <c r="I65" t="s">
        <v>21</v>
      </c>
      <c r="J65">
        <v>1</v>
      </c>
      <c r="K65">
        <v>230</v>
      </c>
      <c r="L65">
        <v>1</v>
      </c>
      <c r="M65" t="s">
        <v>24</v>
      </c>
      <c r="N65">
        <v>59</v>
      </c>
      <c r="O65">
        <v>2</v>
      </c>
      <c r="P65">
        <v>2</v>
      </c>
      <c r="Q65" t="s">
        <v>25</v>
      </c>
      <c r="R65">
        <v>4</v>
      </c>
      <c r="S65" t="s">
        <v>27</v>
      </c>
      <c r="T65">
        <v>8686</v>
      </c>
      <c r="U65">
        <v>12930</v>
      </c>
      <c r="V65">
        <v>4</v>
      </c>
      <c r="W65" t="s">
        <v>29</v>
      </c>
      <c r="X65" t="s">
        <v>9</v>
      </c>
      <c r="Y65">
        <v>22</v>
      </c>
      <c r="Z65">
        <v>4</v>
      </c>
      <c r="AA65">
        <v>3</v>
      </c>
      <c r="AB65">
        <v>80</v>
      </c>
      <c r="AC65">
        <v>0</v>
      </c>
      <c r="AD65">
        <v>12</v>
      </c>
      <c r="AE65">
        <v>2</v>
      </c>
      <c r="AF65">
        <v>4</v>
      </c>
      <c r="AG65">
        <v>8</v>
      </c>
      <c r="AH65">
        <v>3</v>
      </c>
      <c r="AI65">
        <v>0</v>
      </c>
      <c r="AJ65">
        <v>7</v>
      </c>
    </row>
    <row r="66" spans="1:36" s="15" customFormat="1" x14ac:dyDescent="0.25">
      <c r="A66">
        <v>607</v>
      </c>
      <c r="B66">
        <v>59</v>
      </c>
      <c r="C66" t="s">
        <v>9</v>
      </c>
      <c r="D66" t="s">
        <v>11</v>
      </c>
      <c r="E66">
        <v>1225</v>
      </c>
      <c r="F66" t="s">
        <v>118</v>
      </c>
      <c r="G66">
        <v>1</v>
      </c>
      <c r="H66">
        <v>1</v>
      </c>
      <c r="I66" t="s">
        <v>21</v>
      </c>
      <c r="J66">
        <v>1</v>
      </c>
      <c r="K66">
        <v>91</v>
      </c>
      <c r="L66">
        <v>1</v>
      </c>
      <c r="M66" t="s">
        <v>24</v>
      </c>
      <c r="N66">
        <v>57</v>
      </c>
      <c r="O66">
        <v>2</v>
      </c>
      <c r="P66">
        <v>2</v>
      </c>
      <c r="Q66" t="s">
        <v>25</v>
      </c>
      <c r="R66">
        <v>3</v>
      </c>
      <c r="S66" t="s">
        <v>27</v>
      </c>
      <c r="T66">
        <v>5473</v>
      </c>
      <c r="U66">
        <v>24668</v>
      </c>
      <c r="V66">
        <v>7</v>
      </c>
      <c r="W66" t="s">
        <v>29</v>
      </c>
      <c r="X66" t="s">
        <v>9</v>
      </c>
      <c r="Y66">
        <v>11</v>
      </c>
      <c r="Z66">
        <v>3</v>
      </c>
      <c r="AA66">
        <v>4</v>
      </c>
      <c r="AB66">
        <v>80</v>
      </c>
      <c r="AC66">
        <v>0</v>
      </c>
      <c r="AD66">
        <v>20</v>
      </c>
      <c r="AE66">
        <v>2</v>
      </c>
      <c r="AF66">
        <v>2</v>
      </c>
      <c r="AG66">
        <v>4</v>
      </c>
      <c r="AH66">
        <v>3</v>
      </c>
      <c r="AI66">
        <v>1</v>
      </c>
      <c r="AJ66">
        <v>3</v>
      </c>
    </row>
    <row r="67" spans="1:36" s="15" customFormat="1" x14ac:dyDescent="0.25">
      <c r="A67" s="15">
        <v>28</v>
      </c>
      <c r="B67" s="15">
        <v>33</v>
      </c>
      <c r="C67" s="15" t="s">
        <v>10</v>
      </c>
      <c r="D67" s="15" t="s">
        <v>15</v>
      </c>
      <c r="E67" s="15">
        <v>603</v>
      </c>
      <c r="F67" s="15" t="s">
        <v>118</v>
      </c>
      <c r="G67" s="15">
        <v>9</v>
      </c>
      <c r="H67" s="15">
        <v>4</v>
      </c>
      <c r="I67" s="15" t="s">
        <v>18</v>
      </c>
      <c r="J67" s="15">
        <v>1</v>
      </c>
      <c r="K67" s="15">
        <v>1157</v>
      </c>
      <c r="L67" s="15">
        <v>1</v>
      </c>
      <c r="M67" s="15" t="s">
        <v>24</v>
      </c>
      <c r="N67" s="15">
        <v>77</v>
      </c>
      <c r="O67" s="15">
        <v>3</v>
      </c>
      <c r="P67" s="15">
        <v>2</v>
      </c>
      <c r="Q67" s="15" t="s">
        <v>25</v>
      </c>
      <c r="R67" s="15">
        <v>1</v>
      </c>
      <c r="S67" s="15" t="s">
        <v>27</v>
      </c>
      <c r="T67" s="15">
        <v>8224</v>
      </c>
      <c r="U67" s="15">
        <v>18385</v>
      </c>
      <c r="V67" s="15">
        <v>0</v>
      </c>
      <c r="W67" s="15" t="s">
        <v>29</v>
      </c>
      <c r="X67" s="15" t="s">
        <v>10</v>
      </c>
      <c r="Y67" s="15">
        <v>17</v>
      </c>
      <c r="Z67" s="15">
        <v>3</v>
      </c>
      <c r="AA67" s="15">
        <v>1</v>
      </c>
      <c r="AB67" s="15">
        <v>80</v>
      </c>
      <c r="AC67" s="15">
        <v>0</v>
      </c>
      <c r="AD67" s="15">
        <v>6</v>
      </c>
      <c r="AE67" s="15">
        <v>3</v>
      </c>
      <c r="AF67" s="15">
        <v>3</v>
      </c>
      <c r="AG67" s="15">
        <v>5</v>
      </c>
      <c r="AH67" s="15">
        <v>2</v>
      </c>
      <c r="AI67" s="15">
        <v>0</v>
      </c>
      <c r="AJ67" s="15">
        <v>3</v>
      </c>
    </row>
    <row r="68" spans="1:36" s="15" customFormat="1" x14ac:dyDescent="0.25">
      <c r="A68">
        <v>736</v>
      </c>
      <c r="B68">
        <v>27</v>
      </c>
      <c r="C68" t="s">
        <v>9</v>
      </c>
      <c r="D68" t="s">
        <v>15</v>
      </c>
      <c r="E68">
        <v>511</v>
      </c>
      <c r="F68" t="s">
        <v>118</v>
      </c>
      <c r="G68">
        <v>2</v>
      </c>
      <c r="H68">
        <v>2</v>
      </c>
      <c r="I68" t="s">
        <v>17</v>
      </c>
      <c r="J68">
        <v>1</v>
      </c>
      <c r="K68">
        <v>1898</v>
      </c>
      <c r="L68">
        <v>1</v>
      </c>
      <c r="M68" t="s">
        <v>24</v>
      </c>
      <c r="N68">
        <v>89</v>
      </c>
      <c r="O68">
        <v>4</v>
      </c>
      <c r="P68">
        <v>2</v>
      </c>
      <c r="Q68" t="s">
        <v>25</v>
      </c>
      <c r="R68">
        <v>3</v>
      </c>
      <c r="S68" t="s">
        <v>27</v>
      </c>
      <c r="T68">
        <v>6500</v>
      </c>
      <c r="U68">
        <v>26997</v>
      </c>
      <c r="V68">
        <v>0</v>
      </c>
      <c r="W68" t="s">
        <v>29</v>
      </c>
      <c r="X68" t="s">
        <v>9</v>
      </c>
      <c r="Y68">
        <v>14</v>
      </c>
      <c r="Z68">
        <v>3</v>
      </c>
      <c r="AA68">
        <v>2</v>
      </c>
      <c r="AB68">
        <v>80</v>
      </c>
      <c r="AC68">
        <v>0</v>
      </c>
      <c r="AD68">
        <v>9</v>
      </c>
      <c r="AE68">
        <v>5</v>
      </c>
      <c r="AF68">
        <v>2</v>
      </c>
      <c r="AG68">
        <v>8</v>
      </c>
      <c r="AH68">
        <v>7</v>
      </c>
      <c r="AI68">
        <v>0</v>
      </c>
      <c r="AJ68">
        <v>7</v>
      </c>
    </row>
    <row r="69" spans="1:36" s="15" customFormat="1" x14ac:dyDescent="0.25">
      <c r="A69" s="15">
        <v>390</v>
      </c>
      <c r="B69" s="15">
        <v>21</v>
      </c>
      <c r="C69" s="15" t="s">
        <v>10</v>
      </c>
      <c r="D69" s="15" t="s">
        <v>11</v>
      </c>
      <c r="E69" s="15">
        <v>756</v>
      </c>
      <c r="F69" s="15" t="s">
        <v>118</v>
      </c>
      <c r="G69" s="15">
        <v>1</v>
      </c>
      <c r="H69" s="15">
        <v>1</v>
      </c>
      <c r="I69" s="15" t="s">
        <v>22</v>
      </c>
      <c r="J69" s="15">
        <v>1</v>
      </c>
      <c r="K69" s="15">
        <v>478</v>
      </c>
      <c r="L69" s="15">
        <v>1</v>
      </c>
      <c r="M69" s="15" t="s">
        <v>24</v>
      </c>
      <c r="N69" s="15">
        <v>99</v>
      </c>
      <c r="O69" s="15">
        <v>2</v>
      </c>
      <c r="P69" s="15">
        <v>1</v>
      </c>
      <c r="Q69" s="15" t="s">
        <v>33</v>
      </c>
      <c r="R69" s="15">
        <v>2</v>
      </c>
      <c r="S69" s="15" t="s">
        <v>27</v>
      </c>
      <c r="T69" s="15">
        <v>2174</v>
      </c>
      <c r="U69" s="15">
        <v>9150</v>
      </c>
      <c r="V69" s="15">
        <v>1</v>
      </c>
      <c r="W69" s="15" t="s">
        <v>29</v>
      </c>
      <c r="X69" s="15" t="s">
        <v>10</v>
      </c>
      <c r="Y69" s="15">
        <v>11</v>
      </c>
      <c r="Z69" s="15">
        <v>3</v>
      </c>
      <c r="AA69" s="15">
        <v>3</v>
      </c>
      <c r="AB69" s="15">
        <v>80</v>
      </c>
      <c r="AC69" s="15">
        <v>0</v>
      </c>
      <c r="AD69" s="15">
        <v>3</v>
      </c>
      <c r="AE69" s="15">
        <v>3</v>
      </c>
      <c r="AF69" s="15">
        <v>3</v>
      </c>
      <c r="AG69" s="15">
        <v>3</v>
      </c>
      <c r="AH69" s="15">
        <v>2</v>
      </c>
      <c r="AI69" s="15">
        <v>1</v>
      </c>
      <c r="AJ69" s="15">
        <v>2</v>
      </c>
    </row>
    <row r="70" spans="1:36" s="15" customFormat="1" x14ac:dyDescent="0.25">
      <c r="A70" s="15">
        <v>539</v>
      </c>
      <c r="B70" s="15">
        <v>24</v>
      </c>
      <c r="C70" s="15" t="s">
        <v>10</v>
      </c>
      <c r="D70" s="15" t="s">
        <v>15</v>
      </c>
      <c r="E70" s="15">
        <v>1448</v>
      </c>
      <c r="F70" s="15" t="s">
        <v>118</v>
      </c>
      <c r="G70" s="15">
        <v>1</v>
      </c>
      <c r="H70" s="15">
        <v>1</v>
      </c>
      <c r="I70" s="15" t="s">
        <v>22</v>
      </c>
      <c r="J70" s="15">
        <v>1</v>
      </c>
      <c r="K70" s="15">
        <v>554</v>
      </c>
      <c r="L70" s="15">
        <v>1</v>
      </c>
      <c r="M70" s="15" t="s">
        <v>24</v>
      </c>
      <c r="N70" s="15">
        <v>62</v>
      </c>
      <c r="O70" s="15">
        <v>3</v>
      </c>
      <c r="P70" s="15">
        <v>1</v>
      </c>
      <c r="Q70" s="15" t="s">
        <v>33</v>
      </c>
      <c r="R70" s="15">
        <v>2</v>
      </c>
      <c r="S70" s="15" t="s">
        <v>27</v>
      </c>
      <c r="T70" s="15">
        <v>3202</v>
      </c>
      <c r="U70" s="15">
        <v>21972</v>
      </c>
      <c r="V70" s="15">
        <v>1</v>
      </c>
      <c r="W70" s="15" t="s">
        <v>29</v>
      </c>
      <c r="X70" s="15" t="s">
        <v>10</v>
      </c>
      <c r="Y70" s="15">
        <v>16</v>
      </c>
      <c r="Z70" s="15">
        <v>3</v>
      </c>
      <c r="AA70" s="15">
        <v>2</v>
      </c>
      <c r="AB70" s="15">
        <v>80</v>
      </c>
      <c r="AC70" s="15">
        <v>0</v>
      </c>
      <c r="AD70" s="15">
        <v>6</v>
      </c>
      <c r="AE70" s="15">
        <v>4</v>
      </c>
      <c r="AF70" s="15">
        <v>3</v>
      </c>
      <c r="AG70" s="15">
        <v>5</v>
      </c>
      <c r="AH70" s="15">
        <v>3</v>
      </c>
      <c r="AI70" s="15">
        <v>1</v>
      </c>
      <c r="AJ70" s="15">
        <v>4</v>
      </c>
    </row>
    <row r="71" spans="1:36" s="15" customFormat="1" x14ac:dyDescent="0.25">
      <c r="A71" s="15">
        <v>799</v>
      </c>
      <c r="B71" s="15">
        <v>19</v>
      </c>
      <c r="C71" s="15" t="s">
        <v>10</v>
      </c>
      <c r="D71" s="15" t="s">
        <v>16</v>
      </c>
      <c r="E71" s="15">
        <v>504</v>
      </c>
      <c r="F71" s="15" t="s">
        <v>119</v>
      </c>
      <c r="G71" s="15">
        <v>10</v>
      </c>
      <c r="H71" s="15">
        <v>3</v>
      </c>
      <c r="I71" s="15" t="s">
        <v>17</v>
      </c>
      <c r="J71" s="15">
        <v>1</v>
      </c>
      <c r="K71" s="15">
        <v>1248</v>
      </c>
      <c r="L71" s="15">
        <v>1</v>
      </c>
      <c r="M71" s="15" t="s">
        <v>24</v>
      </c>
      <c r="N71" s="15">
        <v>96</v>
      </c>
      <c r="O71" s="15">
        <v>2</v>
      </c>
      <c r="P71" s="15">
        <v>1</v>
      </c>
      <c r="Q71" s="15" t="s">
        <v>32</v>
      </c>
      <c r="R71" s="15">
        <v>2</v>
      </c>
      <c r="S71" s="15" t="s">
        <v>27</v>
      </c>
      <c r="T71" s="15">
        <v>1859</v>
      </c>
      <c r="U71" s="15">
        <v>6148</v>
      </c>
      <c r="V71" s="15">
        <v>1</v>
      </c>
      <c r="W71" s="15" t="s">
        <v>29</v>
      </c>
      <c r="X71" s="15" t="s">
        <v>10</v>
      </c>
      <c r="Y71" s="15">
        <v>25</v>
      </c>
      <c r="Z71" s="15">
        <v>4</v>
      </c>
      <c r="AA71" s="15">
        <v>2</v>
      </c>
      <c r="AB71" s="15">
        <v>80</v>
      </c>
      <c r="AC71" s="15">
        <v>0</v>
      </c>
      <c r="AD71" s="15">
        <v>1</v>
      </c>
      <c r="AE71" s="15">
        <v>2</v>
      </c>
      <c r="AF71" s="15">
        <v>4</v>
      </c>
      <c r="AG71" s="15">
        <v>1</v>
      </c>
      <c r="AH71" s="15">
        <v>1</v>
      </c>
      <c r="AI71" s="15">
        <v>0</v>
      </c>
      <c r="AJ71" s="15">
        <v>0</v>
      </c>
    </row>
    <row r="72" spans="1:36" s="15" customFormat="1" x14ac:dyDescent="0.25">
      <c r="A72" s="15">
        <v>592</v>
      </c>
      <c r="B72" s="15">
        <v>34</v>
      </c>
      <c r="C72" s="15" t="s">
        <v>10</v>
      </c>
      <c r="D72" s="15" t="s">
        <v>15</v>
      </c>
      <c r="E72" s="15">
        <v>790</v>
      </c>
      <c r="F72" s="15" t="s">
        <v>118</v>
      </c>
      <c r="G72" s="15">
        <v>24</v>
      </c>
      <c r="H72" s="15">
        <v>4</v>
      </c>
      <c r="I72" s="15" t="s">
        <v>17</v>
      </c>
      <c r="J72" s="15">
        <v>1</v>
      </c>
      <c r="K72" s="15">
        <v>1489</v>
      </c>
      <c r="L72" s="15">
        <v>1</v>
      </c>
      <c r="M72" s="15" t="s">
        <v>24</v>
      </c>
      <c r="N72" s="15">
        <v>40</v>
      </c>
      <c r="O72" s="15">
        <v>2</v>
      </c>
      <c r="P72" s="15">
        <v>2</v>
      </c>
      <c r="Q72" s="15" t="s">
        <v>25</v>
      </c>
      <c r="R72" s="15">
        <v>2</v>
      </c>
      <c r="S72" s="15" t="s">
        <v>27</v>
      </c>
      <c r="T72" s="15">
        <v>4599</v>
      </c>
      <c r="U72" s="15">
        <v>7815</v>
      </c>
      <c r="V72" s="15">
        <v>0</v>
      </c>
      <c r="W72" s="15" t="s">
        <v>29</v>
      </c>
      <c r="X72" s="15" t="s">
        <v>10</v>
      </c>
      <c r="Y72" s="15">
        <v>23</v>
      </c>
      <c r="Z72" s="15">
        <v>4</v>
      </c>
      <c r="AA72" s="15">
        <v>3</v>
      </c>
      <c r="AB72" s="15">
        <v>80</v>
      </c>
      <c r="AC72" s="15">
        <v>0</v>
      </c>
      <c r="AD72" s="15">
        <v>16</v>
      </c>
      <c r="AE72" s="15">
        <v>2</v>
      </c>
      <c r="AF72" s="15">
        <v>4</v>
      </c>
      <c r="AG72" s="15">
        <v>15</v>
      </c>
      <c r="AH72" s="15">
        <v>9</v>
      </c>
      <c r="AI72" s="15">
        <v>10</v>
      </c>
      <c r="AJ72" s="15">
        <v>10</v>
      </c>
    </row>
    <row r="73" spans="1:36" s="15" customFormat="1" x14ac:dyDescent="0.25">
      <c r="A73">
        <v>642</v>
      </c>
      <c r="B73">
        <v>40</v>
      </c>
      <c r="C73" t="s">
        <v>9</v>
      </c>
      <c r="D73" t="s">
        <v>15</v>
      </c>
      <c r="E73">
        <v>750</v>
      </c>
      <c r="F73" t="s">
        <v>119</v>
      </c>
      <c r="G73">
        <v>12</v>
      </c>
      <c r="H73">
        <v>3</v>
      </c>
      <c r="I73" t="s">
        <v>21</v>
      </c>
      <c r="J73">
        <v>1</v>
      </c>
      <c r="K73">
        <v>1829</v>
      </c>
      <c r="L73">
        <v>2</v>
      </c>
      <c r="M73" t="s">
        <v>24</v>
      </c>
      <c r="N73">
        <v>47</v>
      </c>
      <c r="O73">
        <v>3</v>
      </c>
      <c r="P73">
        <v>2</v>
      </c>
      <c r="Q73" t="s">
        <v>34</v>
      </c>
      <c r="R73">
        <v>1</v>
      </c>
      <c r="S73" t="s">
        <v>26</v>
      </c>
      <c r="T73">
        <v>4448</v>
      </c>
      <c r="U73">
        <v>10748</v>
      </c>
      <c r="V73">
        <v>2</v>
      </c>
      <c r="W73" t="s">
        <v>29</v>
      </c>
      <c r="X73" t="s">
        <v>9</v>
      </c>
      <c r="Y73">
        <v>12</v>
      </c>
      <c r="Z73">
        <v>3</v>
      </c>
      <c r="AA73">
        <v>2</v>
      </c>
      <c r="AB73">
        <v>80</v>
      </c>
      <c r="AC73">
        <v>1</v>
      </c>
      <c r="AD73">
        <v>15</v>
      </c>
      <c r="AE73">
        <v>3</v>
      </c>
      <c r="AF73">
        <v>3</v>
      </c>
      <c r="AG73">
        <v>7</v>
      </c>
      <c r="AH73">
        <v>4</v>
      </c>
      <c r="AI73">
        <v>7</v>
      </c>
      <c r="AJ73">
        <v>7</v>
      </c>
    </row>
    <row r="74" spans="1:36" s="15" customFormat="1" x14ac:dyDescent="0.25">
      <c r="A74">
        <v>145</v>
      </c>
      <c r="B74">
        <v>40</v>
      </c>
      <c r="C74" t="s">
        <v>9</v>
      </c>
      <c r="D74" t="s">
        <v>15</v>
      </c>
      <c r="E74">
        <v>1202</v>
      </c>
      <c r="F74" t="s">
        <v>119</v>
      </c>
      <c r="G74">
        <v>2</v>
      </c>
      <c r="H74">
        <v>1</v>
      </c>
      <c r="I74" t="s">
        <v>17</v>
      </c>
      <c r="J74">
        <v>1</v>
      </c>
      <c r="K74">
        <v>1375</v>
      </c>
      <c r="L74">
        <v>2</v>
      </c>
      <c r="M74" t="s">
        <v>24</v>
      </c>
      <c r="N74">
        <v>89</v>
      </c>
      <c r="O74">
        <v>4</v>
      </c>
      <c r="P74">
        <v>2</v>
      </c>
      <c r="Q74" t="s">
        <v>34</v>
      </c>
      <c r="R74">
        <v>3</v>
      </c>
      <c r="S74" t="s">
        <v>26</v>
      </c>
      <c r="T74">
        <v>6377</v>
      </c>
      <c r="U74">
        <v>13888</v>
      </c>
      <c r="V74">
        <v>5</v>
      </c>
      <c r="W74" t="s">
        <v>29</v>
      </c>
      <c r="X74" t="s">
        <v>9</v>
      </c>
      <c r="Y74">
        <v>20</v>
      </c>
      <c r="Z74">
        <v>4</v>
      </c>
      <c r="AA74">
        <v>2</v>
      </c>
      <c r="AB74">
        <v>80</v>
      </c>
      <c r="AC74">
        <v>3</v>
      </c>
      <c r="AD74">
        <v>15</v>
      </c>
      <c r="AE74">
        <v>0</v>
      </c>
      <c r="AF74">
        <v>3</v>
      </c>
      <c r="AG74">
        <v>12</v>
      </c>
      <c r="AH74">
        <v>11</v>
      </c>
      <c r="AI74">
        <v>11</v>
      </c>
      <c r="AJ74">
        <v>8</v>
      </c>
    </row>
    <row r="75" spans="1:36" s="15" customFormat="1" x14ac:dyDescent="0.25">
      <c r="A75">
        <v>188</v>
      </c>
      <c r="B75">
        <v>47</v>
      </c>
      <c r="C75" t="s">
        <v>9</v>
      </c>
      <c r="D75" t="s">
        <v>15</v>
      </c>
      <c r="E75">
        <v>1225</v>
      </c>
      <c r="F75" t="s">
        <v>118</v>
      </c>
      <c r="G75">
        <v>2</v>
      </c>
      <c r="H75">
        <v>4</v>
      </c>
      <c r="I75" t="s">
        <v>21</v>
      </c>
      <c r="J75">
        <v>1</v>
      </c>
      <c r="K75">
        <v>1676</v>
      </c>
      <c r="L75">
        <v>2</v>
      </c>
      <c r="M75" t="s">
        <v>24</v>
      </c>
      <c r="N75">
        <v>47</v>
      </c>
      <c r="O75">
        <v>4</v>
      </c>
      <c r="P75">
        <v>4</v>
      </c>
      <c r="Q75" t="s">
        <v>35</v>
      </c>
      <c r="R75">
        <v>2</v>
      </c>
      <c r="S75" t="s">
        <v>26</v>
      </c>
      <c r="T75">
        <v>15972</v>
      </c>
      <c r="U75">
        <v>21086</v>
      </c>
      <c r="V75">
        <v>6</v>
      </c>
      <c r="W75" t="s">
        <v>29</v>
      </c>
      <c r="X75" t="s">
        <v>9</v>
      </c>
      <c r="Y75">
        <v>14</v>
      </c>
      <c r="Z75">
        <v>3</v>
      </c>
      <c r="AA75">
        <v>3</v>
      </c>
      <c r="AB75">
        <v>80</v>
      </c>
      <c r="AC75">
        <v>3</v>
      </c>
      <c r="AD75">
        <v>29</v>
      </c>
      <c r="AE75">
        <v>2</v>
      </c>
      <c r="AF75">
        <v>3</v>
      </c>
      <c r="AG75">
        <v>3</v>
      </c>
      <c r="AH75">
        <v>2</v>
      </c>
      <c r="AI75">
        <v>1</v>
      </c>
      <c r="AJ75">
        <v>2</v>
      </c>
    </row>
    <row r="76" spans="1:36" s="15" customFormat="1" x14ac:dyDescent="0.25">
      <c r="A76">
        <v>658</v>
      </c>
      <c r="B76">
        <v>54</v>
      </c>
      <c r="C76" t="s">
        <v>9</v>
      </c>
      <c r="D76" t="s">
        <v>11</v>
      </c>
      <c r="E76">
        <v>1050</v>
      </c>
      <c r="F76" t="s">
        <v>119</v>
      </c>
      <c r="G76">
        <v>11</v>
      </c>
      <c r="H76">
        <v>4</v>
      </c>
      <c r="I76" t="s">
        <v>17</v>
      </c>
      <c r="J76">
        <v>1</v>
      </c>
      <c r="K76">
        <v>1520</v>
      </c>
      <c r="L76">
        <v>2</v>
      </c>
      <c r="M76" t="s">
        <v>24</v>
      </c>
      <c r="N76">
        <v>87</v>
      </c>
      <c r="O76">
        <v>3</v>
      </c>
      <c r="P76">
        <v>4</v>
      </c>
      <c r="Q76" t="s">
        <v>35</v>
      </c>
      <c r="R76">
        <v>4</v>
      </c>
      <c r="S76" t="s">
        <v>26</v>
      </c>
      <c r="T76">
        <v>16032</v>
      </c>
      <c r="U76">
        <v>24456</v>
      </c>
      <c r="V76">
        <v>3</v>
      </c>
      <c r="W76" t="s">
        <v>29</v>
      </c>
      <c r="X76" t="s">
        <v>9</v>
      </c>
      <c r="Y76">
        <v>20</v>
      </c>
      <c r="Z76">
        <v>4</v>
      </c>
      <c r="AA76">
        <v>1</v>
      </c>
      <c r="AB76">
        <v>80</v>
      </c>
      <c r="AC76">
        <v>1</v>
      </c>
      <c r="AD76">
        <v>26</v>
      </c>
      <c r="AE76">
        <v>2</v>
      </c>
      <c r="AF76">
        <v>3</v>
      </c>
      <c r="AG76">
        <v>14</v>
      </c>
      <c r="AH76">
        <v>9</v>
      </c>
      <c r="AI76">
        <v>1</v>
      </c>
      <c r="AJ76">
        <v>12</v>
      </c>
    </row>
    <row r="77" spans="1:36" s="15" customFormat="1" x14ac:dyDescent="0.25">
      <c r="A77">
        <v>504</v>
      </c>
      <c r="B77">
        <v>29</v>
      </c>
      <c r="C77" t="s">
        <v>9</v>
      </c>
      <c r="D77" t="s">
        <v>15</v>
      </c>
      <c r="E77">
        <v>1389</v>
      </c>
      <c r="F77" t="s">
        <v>119</v>
      </c>
      <c r="G77">
        <v>21</v>
      </c>
      <c r="H77">
        <v>4</v>
      </c>
      <c r="I77" t="s">
        <v>21</v>
      </c>
      <c r="J77">
        <v>1</v>
      </c>
      <c r="K77">
        <v>20</v>
      </c>
      <c r="L77">
        <v>2</v>
      </c>
      <c r="M77" t="s">
        <v>24</v>
      </c>
      <c r="N77">
        <v>51</v>
      </c>
      <c r="O77">
        <v>4</v>
      </c>
      <c r="P77">
        <v>3</v>
      </c>
      <c r="Q77" t="s">
        <v>31</v>
      </c>
      <c r="R77">
        <v>1</v>
      </c>
      <c r="S77" t="s">
        <v>26</v>
      </c>
      <c r="T77">
        <v>9980</v>
      </c>
      <c r="U77">
        <v>10195</v>
      </c>
      <c r="V77">
        <v>1</v>
      </c>
      <c r="W77" t="s">
        <v>29</v>
      </c>
      <c r="X77" t="s">
        <v>9</v>
      </c>
      <c r="Y77">
        <v>11</v>
      </c>
      <c r="Z77">
        <v>3</v>
      </c>
      <c r="AA77">
        <v>3</v>
      </c>
      <c r="AB77">
        <v>80</v>
      </c>
      <c r="AC77">
        <v>1</v>
      </c>
      <c r="AD77">
        <v>10</v>
      </c>
      <c r="AE77">
        <v>1</v>
      </c>
      <c r="AF77">
        <v>3</v>
      </c>
      <c r="AG77">
        <v>10</v>
      </c>
      <c r="AH77">
        <v>9</v>
      </c>
      <c r="AI77">
        <v>8</v>
      </c>
      <c r="AJ77">
        <v>8</v>
      </c>
    </row>
    <row r="78" spans="1:36" s="15" customFormat="1" x14ac:dyDescent="0.25">
      <c r="A78">
        <v>150</v>
      </c>
      <c r="B78">
        <v>28</v>
      </c>
      <c r="C78" t="s">
        <v>9</v>
      </c>
      <c r="D78" t="s">
        <v>15</v>
      </c>
      <c r="E78">
        <v>580</v>
      </c>
      <c r="F78" t="s">
        <v>119</v>
      </c>
      <c r="G78">
        <v>27</v>
      </c>
      <c r="H78">
        <v>3</v>
      </c>
      <c r="I78" t="s">
        <v>17</v>
      </c>
      <c r="J78">
        <v>1</v>
      </c>
      <c r="K78">
        <v>1622</v>
      </c>
      <c r="L78">
        <v>2</v>
      </c>
      <c r="M78" t="s">
        <v>24</v>
      </c>
      <c r="N78">
        <v>39</v>
      </c>
      <c r="O78">
        <v>1</v>
      </c>
      <c r="P78">
        <v>2</v>
      </c>
      <c r="Q78" t="s">
        <v>31</v>
      </c>
      <c r="R78">
        <v>1</v>
      </c>
      <c r="S78" t="s">
        <v>26</v>
      </c>
      <c r="T78">
        <v>4877</v>
      </c>
      <c r="U78">
        <v>20460</v>
      </c>
      <c r="V78">
        <v>0</v>
      </c>
      <c r="W78" t="s">
        <v>29</v>
      </c>
      <c r="X78" t="s">
        <v>9</v>
      </c>
      <c r="Y78">
        <v>21</v>
      </c>
      <c r="Z78">
        <v>4</v>
      </c>
      <c r="AA78">
        <v>2</v>
      </c>
      <c r="AB78">
        <v>80</v>
      </c>
      <c r="AC78">
        <v>1</v>
      </c>
      <c r="AD78">
        <v>6</v>
      </c>
      <c r="AE78">
        <v>5</v>
      </c>
      <c r="AF78">
        <v>2</v>
      </c>
      <c r="AG78">
        <v>5</v>
      </c>
      <c r="AH78">
        <v>3</v>
      </c>
      <c r="AI78">
        <v>0</v>
      </c>
      <c r="AJ78">
        <v>0</v>
      </c>
    </row>
    <row r="79" spans="1:36" s="15" customFormat="1" x14ac:dyDescent="0.25">
      <c r="A79">
        <v>327</v>
      </c>
      <c r="B79">
        <v>44</v>
      </c>
      <c r="C79" t="s">
        <v>9</v>
      </c>
      <c r="D79" t="s">
        <v>15</v>
      </c>
      <c r="E79">
        <v>1313</v>
      </c>
      <c r="F79" t="s">
        <v>119</v>
      </c>
      <c r="G79">
        <v>7</v>
      </c>
      <c r="H79">
        <v>3</v>
      </c>
      <c r="I79" t="s">
        <v>17</v>
      </c>
      <c r="J79">
        <v>1</v>
      </c>
      <c r="K79">
        <v>1608</v>
      </c>
      <c r="L79">
        <v>2</v>
      </c>
      <c r="M79" t="s">
        <v>24</v>
      </c>
      <c r="N79">
        <v>31</v>
      </c>
      <c r="O79">
        <v>3</v>
      </c>
      <c r="P79">
        <v>5</v>
      </c>
      <c r="Q79" t="s">
        <v>30</v>
      </c>
      <c r="R79">
        <v>4</v>
      </c>
      <c r="S79" t="s">
        <v>26</v>
      </c>
      <c r="T79">
        <v>19049</v>
      </c>
      <c r="U79">
        <v>3549</v>
      </c>
      <c r="V79">
        <v>0</v>
      </c>
      <c r="W79" t="s">
        <v>29</v>
      </c>
      <c r="X79" t="s">
        <v>10</v>
      </c>
      <c r="Y79">
        <v>14</v>
      </c>
      <c r="Z79">
        <v>3</v>
      </c>
      <c r="AA79">
        <v>4</v>
      </c>
      <c r="AB79">
        <v>80</v>
      </c>
      <c r="AC79">
        <v>1</v>
      </c>
      <c r="AD79">
        <v>23</v>
      </c>
      <c r="AE79">
        <v>4</v>
      </c>
      <c r="AF79">
        <v>2</v>
      </c>
      <c r="AG79">
        <v>22</v>
      </c>
      <c r="AH79">
        <v>7</v>
      </c>
      <c r="AI79">
        <v>1</v>
      </c>
      <c r="AJ79">
        <v>10</v>
      </c>
    </row>
    <row r="80" spans="1:36" s="15" customFormat="1" x14ac:dyDescent="0.25">
      <c r="A80">
        <v>587</v>
      </c>
      <c r="B80">
        <v>38</v>
      </c>
      <c r="C80" t="s">
        <v>9</v>
      </c>
      <c r="D80" t="s">
        <v>16</v>
      </c>
      <c r="E80">
        <v>573</v>
      </c>
      <c r="F80" t="s">
        <v>119</v>
      </c>
      <c r="G80">
        <v>6</v>
      </c>
      <c r="H80">
        <v>3</v>
      </c>
      <c r="I80" t="s">
        <v>17</v>
      </c>
      <c r="J80">
        <v>1</v>
      </c>
      <c r="K80">
        <v>107</v>
      </c>
      <c r="L80">
        <v>2</v>
      </c>
      <c r="M80" t="s">
        <v>24</v>
      </c>
      <c r="N80">
        <v>79</v>
      </c>
      <c r="O80">
        <v>1</v>
      </c>
      <c r="P80">
        <v>2</v>
      </c>
      <c r="Q80" t="s">
        <v>32</v>
      </c>
      <c r="R80">
        <v>4</v>
      </c>
      <c r="S80" t="s">
        <v>26</v>
      </c>
      <c r="T80">
        <v>5329</v>
      </c>
      <c r="U80">
        <v>15717</v>
      </c>
      <c r="V80">
        <v>7</v>
      </c>
      <c r="W80" t="s">
        <v>29</v>
      </c>
      <c r="X80" t="s">
        <v>10</v>
      </c>
      <c r="Y80">
        <v>12</v>
      </c>
      <c r="Z80">
        <v>3</v>
      </c>
      <c r="AA80">
        <v>4</v>
      </c>
      <c r="AB80">
        <v>80</v>
      </c>
      <c r="AC80">
        <v>3</v>
      </c>
      <c r="AD80">
        <v>17</v>
      </c>
      <c r="AE80">
        <v>3</v>
      </c>
      <c r="AF80">
        <v>3</v>
      </c>
      <c r="AG80">
        <v>13</v>
      </c>
      <c r="AH80">
        <v>11</v>
      </c>
      <c r="AI80">
        <v>1</v>
      </c>
      <c r="AJ80">
        <v>9</v>
      </c>
    </row>
    <row r="81" spans="1:36" s="15" customFormat="1" x14ac:dyDescent="0.25">
      <c r="A81">
        <v>182</v>
      </c>
      <c r="B81">
        <v>38</v>
      </c>
      <c r="C81" t="s">
        <v>9</v>
      </c>
      <c r="D81" t="s">
        <v>15</v>
      </c>
      <c r="E81">
        <v>1009</v>
      </c>
      <c r="F81" t="s">
        <v>118</v>
      </c>
      <c r="G81">
        <v>2</v>
      </c>
      <c r="H81">
        <v>2</v>
      </c>
      <c r="I81" t="s">
        <v>21</v>
      </c>
      <c r="J81">
        <v>1</v>
      </c>
      <c r="K81">
        <v>1355</v>
      </c>
      <c r="L81">
        <v>2</v>
      </c>
      <c r="M81" t="s">
        <v>24</v>
      </c>
      <c r="N81">
        <v>31</v>
      </c>
      <c r="O81">
        <v>3</v>
      </c>
      <c r="P81">
        <v>2</v>
      </c>
      <c r="Q81" t="s">
        <v>25</v>
      </c>
      <c r="R81">
        <v>1</v>
      </c>
      <c r="S81" t="s">
        <v>26</v>
      </c>
      <c r="T81">
        <v>6893</v>
      </c>
      <c r="U81">
        <v>19461</v>
      </c>
      <c r="V81">
        <v>3</v>
      </c>
      <c r="W81" t="s">
        <v>29</v>
      </c>
      <c r="X81" t="s">
        <v>9</v>
      </c>
      <c r="Y81">
        <v>15</v>
      </c>
      <c r="Z81">
        <v>3</v>
      </c>
      <c r="AA81">
        <v>4</v>
      </c>
      <c r="AB81">
        <v>80</v>
      </c>
      <c r="AC81">
        <v>1</v>
      </c>
      <c r="AD81">
        <v>11</v>
      </c>
      <c r="AE81">
        <v>3</v>
      </c>
      <c r="AF81">
        <v>3</v>
      </c>
      <c r="AG81">
        <v>7</v>
      </c>
      <c r="AH81">
        <v>7</v>
      </c>
      <c r="AI81">
        <v>1</v>
      </c>
      <c r="AJ81">
        <v>7</v>
      </c>
    </row>
    <row r="82" spans="1:36" s="15" customFormat="1" x14ac:dyDescent="0.25">
      <c r="A82">
        <v>618</v>
      </c>
      <c r="B82">
        <v>44</v>
      </c>
      <c r="C82" t="s">
        <v>9</v>
      </c>
      <c r="D82" t="s">
        <v>15</v>
      </c>
      <c r="E82">
        <v>1488</v>
      </c>
      <c r="F82" t="s">
        <v>118</v>
      </c>
      <c r="G82">
        <v>1</v>
      </c>
      <c r="H82">
        <v>5</v>
      </c>
      <c r="I82" t="s">
        <v>18</v>
      </c>
      <c r="J82">
        <v>1</v>
      </c>
      <c r="K82">
        <v>68</v>
      </c>
      <c r="L82">
        <v>2</v>
      </c>
      <c r="M82" t="s">
        <v>24</v>
      </c>
      <c r="N82">
        <v>75</v>
      </c>
      <c r="O82">
        <v>3</v>
      </c>
      <c r="P82">
        <v>2</v>
      </c>
      <c r="Q82" t="s">
        <v>25</v>
      </c>
      <c r="R82">
        <v>1</v>
      </c>
      <c r="S82" t="s">
        <v>26</v>
      </c>
      <c r="T82">
        <v>5454</v>
      </c>
      <c r="U82">
        <v>4009</v>
      </c>
      <c r="V82">
        <v>5</v>
      </c>
      <c r="W82" t="s">
        <v>29</v>
      </c>
      <c r="X82" t="s">
        <v>10</v>
      </c>
      <c r="Y82">
        <v>21</v>
      </c>
      <c r="Z82">
        <v>4</v>
      </c>
      <c r="AA82">
        <v>3</v>
      </c>
      <c r="AB82">
        <v>80</v>
      </c>
      <c r="AC82">
        <v>1</v>
      </c>
      <c r="AD82">
        <v>9</v>
      </c>
      <c r="AE82">
        <v>2</v>
      </c>
      <c r="AF82">
        <v>2</v>
      </c>
      <c r="AG82">
        <v>4</v>
      </c>
      <c r="AH82">
        <v>3</v>
      </c>
      <c r="AI82">
        <v>1</v>
      </c>
      <c r="AJ82">
        <v>3</v>
      </c>
    </row>
    <row r="83" spans="1:36" s="15" customFormat="1" x14ac:dyDescent="0.25">
      <c r="A83">
        <v>772</v>
      </c>
      <c r="B83">
        <v>46</v>
      </c>
      <c r="C83" t="s">
        <v>9</v>
      </c>
      <c r="D83" t="s">
        <v>15</v>
      </c>
      <c r="E83">
        <v>526</v>
      </c>
      <c r="F83" t="s">
        <v>118</v>
      </c>
      <c r="G83">
        <v>1</v>
      </c>
      <c r="H83">
        <v>2</v>
      </c>
      <c r="I83" t="s">
        <v>18</v>
      </c>
      <c r="J83">
        <v>1</v>
      </c>
      <c r="K83">
        <v>244</v>
      </c>
      <c r="L83">
        <v>2</v>
      </c>
      <c r="M83" t="s">
        <v>24</v>
      </c>
      <c r="N83">
        <v>92</v>
      </c>
      <c r="O83">
        <v>3</v>
      </c>
      <c r="P83">
        <v>3</v>
      </c>
      <c r="Q83" t="s">
        <v>25</v>
      </c>
      <c r="R83">
        <v>1</v>
      </c>
      <c r="S83" t="s">
        <v>26</v>
      </c>
      <c r="T83">
        <v>10453</v>
      </c>
      <c r="U83">
        <v>2137</v>
      </c>
      <c r="V83">
        <v>1</v>
      </c>
      <c r="W83" t="s">
        <v>29</v>
      </c>
      <c r="X83" t="s">
        <v>9</v>
      </c>
      <c r="Y83">
        <v>25</v>
      </c>
      <c r="Z83">
        <v>4</v>
      </c>
      <c r="AA83">
        <v>3</v>
      </c>
      <c r="AB83">
        <v>80</v>
      </c>
      <c r="AC83">
        <v>3</v>
      </c>
      <c r="AD83">
        <v>24</v>
      </c>
      <c r="AE83">
        <v>2</v>
      </c>
      <c r="AF83">
        <v>3</v>
      </c>
      <c r="AG83">
        <v>24</v>
      </c>
      <c r="AH83">
        <v>13</v>
      </c>
      <c r="AI83">
        <v>15</v>
      </c>
      <c r="AJ83">
        <v>7</v>
      </c>
    </row>
    <row r="84" spans="1:36" s="15" customFormat="1" x14ac:dyDescent="0.25">
      <c r="A84">
        <v>404</v>
      </c>
      <c r="B84">
        <v>36</v>
      </c>
      <c r="C84" t="s">
        <v>9</v>
      </c>
      <c r="D84" t="s">
        <v>15</v>
      </c>
      <c r="E84">
        <v>711</v>
      </c>
      <c r="F84" t="s">
        <v>119</v>
      </c>
      <c r="G84">
        <v>5</v>
      </c>
      <c r="H84">
        <v>4</v>
      </c>
      <c r="I84" t="s">
        <v>21</v>
      </c>
      <c r="J84">
        <v>1</v>
      </c>
      <c r="K84">
        <v>1651</v>
      </c>
      <c r="L84">
        <v>2</v>
      </c>
      <c r="M84" t="s">
        <v>24</v>
      </c>
      <c r="N84">
        <v>42</v>
      </c>
      <c r="O84">
        <v>3</v>
      </c>
      <c r="P84">
        <v>3</v>
      </c>
      <c r="Q84" t="s">
        <v>34</v>
      </c>
      <c r="R84">
        <v>1</v>
      </c>
      <c r="S84" t="s">
        <v>28</v>
      </c>
      <c r="T84">
        <v>8008</v>
      </c>
      <c r="U84">
        <v>22792</v>
      </c>
      <c r="V84">
        <v>4</v>
      </c>
      <c r="W84" t="s">
        <v>29</v>
      </c>
      <c r="X84" t="s">
        <v>9</v>
      </c>
      <c r="Y84">
        <v>12</v>
      </c>
      <c r="Z84">
        <v>3</v>
      </c>
      <c r="AA84">
        <v>3</v>
      </c>
      <c r="AB84">
        <v>80</v>
      </c>
      <c r="AC84">
        <v>2</v>
      </c>
      <c r="AD84">
        <v>9</v>
      </c>
      <c r="AE84">
        <v>6</v>
      </c>
      <c r="AF84">
        <v>3</v>
      </c>
      <c r="AG84">
        <v>3</v>
      </c>
      <c r="AH84">
        <v>2</v>
      </c>
      <c r="AI84">
        <v>0</v>
      </c>
      <c r="AJ84">
        <v>2</v>
      </c>
    </row>
    <row r="85" spans="1:36" s="15" customFormat="1" x14ac:dyDescent="0.25">
      <c r="A85">
        <v>451</v>
      </c>
      <c r="B85">
        <v>33</v>
      </c>
      <c r="C85" t="s">
        <v>9</v>
      </c>
      <c r="D85" t="s">
        <v>15</v>
      </c>
      <c r="E85">
        <v>501</v>
      </c>
      <c r="F85" t="s">
        <v>119</v>
      </c>
      <c r="G85">
        <v>15</v>
      </c>
      <c r="H85">
        <v>2</v>
      </c>
      <c r="I85" t="s">
        <v>17</v>
      </c>
      <c r="J85">
        <v>1</v>
      </c>
      <c r="K85">
        <v>2009</v>
      </c>
      <c r="L85">
        <v>2</v>
      </c>
      <c r="M85" t="s">
        <v>24</v>
      </c>
      <c r="N85">
        <v>95</v>
      </c>
      <c r="O85">
        <v>3</v>
      </c>
      <c r="P85">
        <v>2</v>
      </c>
      <c r="Q85" t="s">
        <v>34</v>
      </c>
      <c r="R85">
        <v>4</v>
      </c>
      <c r="S85" t="s">
        <v>28</v>
      </c>
      <c r="T85">
        <v>4878</v>
      </c>
      <c r="U85">
        <v>21653</v>
      </c>
      <c r="V85">
        <v>0</v>
      </c>
      <c r="W85" t="s">
        <v>29</v>
      </c>
      <c r="X85" t="s">
        <v>10</v>
      </c>
      <c r="Y85">
        <v>13</v>
      </c>
      <c r="Z85">
        <v>3</v>
      </c>
      <c r="AA85">
        <v>1</v>
      </c>
      <c r="AB85">
        <v>80</v>
      </c>
      <c r="AC85">
        <v>1</v>
      </c>
      <c r="AD85">
        <v>10</v>
      </c>
      <c r="AE85">
        <v>6</v>
      </c>
      <c r="AF85">
        <v>3</v>
      </c>
      <c r="AG85">
        <v>9</v>
      </c>
      <c r="AH85">
        <v>7</v>
      </c>
      <c r="AI85">
        <v>8</v>
      </c>
      <c r="AJ85">
        <v>1</v>
      </c>
    </row>
    <row r="86" spans="1:36" s="15" customFormat="1" x14ac:dyDescent="0.25">
      <c r="A86">
        <v>292</v>
      </c>
      <c r="B86">
        <v>36</v>
      </c>
      <c r="C86" t="s">
        <v>9</v>
      </c>
      <c r="D86" t="s">
        <v>16</v>
      </c>
      <c r="E86">
        <v>1105</v>
      </c>
      <c r="F86" t="s">
        <v>119</v>
      </c>
      <c r="G86">
        <v>24</v>
      </c>
      <c r="H86">
        <v>4</v>
      </c>
      <c r="I86" t="s">
        <v>21</v>
      </c>
      <c r="J86">
        <v>1</v>
      </c>
      <c r="K86">
        <v>419</v>
      </c>
      <c r="L86">
        <v>2</v>
      </c>
      <c r="M86" t="s">
        <v>24</v>
      </c>
      <c r="N86">
        <v>47</v>
      </c>
      <c r="O86">
        <v>3</v>
      </c>
      <c r="P86">
        <v>2</v>
      </c>
      <c r="Q86" t="s">
        <v>36</v>
      </c>
      <c r="R86">
        <v>2</v>
      </c>
      <c r="S86" t="s">
        <v>28</v>
      </c>
      <c r="T86">
        <v>5674</v>
      </c>
      <c r="U86">
        <v>6927</v>
      </c>
      <c r="V86">
        <v>7</v>
      </c>
      <c r="W86" t="s">
        <v>29</v>
      </c>
      <c r="X86" t="s">
        <v>9</v>
      </c>
      <c r="Y86">
        <v>15</v>
      </c>
      <c r="Z86">
        <v>3</v>
      </c>
      <c r="AA86">
        <v>3</v>
      </c>
      <c r="AB86">
        <v>80</v>
      </c>
      <c r="AC86">
        <v>1</v>
      </c>
      <c r="AD86">
        <v>11</v>
      </c>
      <c r="AE86">
        <v>3</v>
      </c>
      <c r="AF86">
        <v>3</v>
      </c>
      <c r="AG86">
        <v>9</v>
      </c>
      <c r="AH86">
        <v>8</v>
      </c>
      <c r="AI86">
        <v>0</v>
      </c>
      <c r="AJ86">
        <v>8</v>
      </c>
    </row>
    <row r="87" spans="1:36" s="15" customFormat="1" x14ac:dyDescent="0.25">
      <c r="A87">
        <v>468</v>
      </c>
      <c r="B87">
        <v>36</v>
      </c>
      <c r="C87" t="s">
        <v>9</v>
      </c>
      <c r="D87" t="s">
        <v>15</v>
      </c>
      <c r="E87">
        <v>132</v>
      </c>
      <c r="F87" t="s">
        <v>119</v>
      </c>
      <c r="G87">
        <v>6</v>
      </c>
      <c r="H87">
        <v>3</v>
      </c>
      <c r="I87" t="s">
        <v>21</v>
      </c>
      <c r="J87">
        <v>1</v>
      </c>
      <c r="K87">
        <v>97</v>
      </c>
      <c r="L87">
        <v>2</v>
      </c>
      <c r="M87" t="s">
        <v>24</v>
      </c>
      <c r="N87">
        <v>55</v>
      </c>
      <c r="O87">
        <v>4</v>
      </c>
      <c r="P87">
        <v>1</v>
      </c>
      <c r="Q87" t="s">
        <v>36</v>
      </c>
      <c r="R87">
        <v>4</v>
      </c>
      <c r="S87" t="s">
        <v>28</v>
      </c>
      <c r="T87">
        <v>3038</v>
      </c>
      <c r="U87">
        <v>22002</v>
      </c>
      <c r="V87">
        <v>3</v>
      </c>
      <c r="W87" t="s">
        <v>29</v>
      </c>
      <c r="X87" t="s">
        <v>9</v>
      </c>
      <c r="Y87">
        <v>12</v>
      </c>
      <c r="Z87">
        <v>3</v>
      </c>
      <c r="AA87">
        <v>2</v>
      </c>
      <c r="AB87">
        <v>80</v>
      </c>
      <c r="AC87">
        <v>0</v>
      </c>
      <c r="AD87">
        <v>5</v>
      </c>
      <c r="AE87">
        <v>3</v>
      </c>
      <c r="AF87">
        <v>3</v>
      </c>
      <c r="AG87">
        <v>1</v>
      </c>
      <c r="AH87">
        <v>0</v>
      </c>
      <c r="AI87">
        <v>0</v>
      </c>
      <c r="AJ87">
        <v>0</v>
      </c>
    </row>
    <row r="88" spans="1:36" s="15" customFormat="1" x14ac:dyDescent="0.25">
      <c r="A88">
        <v>598</v>
      </c>
      <c r="B88">
        <v>40</v>
      </c>
      <c r="C88" t="s">
        <v>9</v>
      </c>
      <c r="D88" t="s">
        <v>15</v>
      </c>
      <c r="E88">
        <v>555</v>
      </c>
      <c r="F88" t="s">
        <v>119</v>
      </c>
      <c r="G88">
        <v>2</v>
      </c>
      <c r="H88">
        <v>3</v>
      </c>
      <c r="I88" t="s">
        <v>17</v>
      </c>
      <c r="J88">
        <v>1</v>
      </c>
      <c r="K88">
        <v>521</v>
      </c>
      <c r="L88">
        <v>2</v>
      </c>
      <c r="M88" t="s">
        <v>24</v>
      </c>
      <c r="N88">
        <v>78</v>
      </c>
      <c r="O88">
        <v>2</v>
      </c>
      <c r="P88">
        <v>2</v>
      </c>
      <c r="Q88" t="s">
        <v>36</v>
      </c>
      <c r="R88">
        <v>3</v>
      </c>
      <c r="S88" t="s">
        <v>28</v>
      </c>
      <c r="T88">
        <v>3448</v>
      </c>
      <c r="U88">
        <v>13436</v>
      </c>
      <c r="V88">
        <v>6</v>
      </c>
      <c r="W88" t="s">
        <v>29</v>
      </c>
      <c r="X88" t="s">
        <v>9</v>
      </c>
      <c r="Y88">
        <v>22</v>
      </c>
      <c r="Z88">
        <v>4</v>
      </c>
      <c r="AA88">
        <v>2</v>
      </c>
      <c r="AB88">
        <v>80</v>
      </c>
      <c r="AC88">
        <v>1</v>
      </c>
      <c r="AD88">
        <v>20</v>
      </c>
      <c r="AE88">
        <v>3</v>
      </c>
      <c r="AF88">
        <v>3</v>
      </c>
      <c r="AG88">
        <v>1</v>
      </c>
      <c r="AH88">
        <v>0</v>
      </c>
      <c r="AI88">
        <v>0</v>
      </c>
      <c r="AJ88">
        <v>0</v>
      </c>
    </row>
    <row r="89" spans="1:36" s="15" customFormat="1" x14ac:dyDescent="0.25">
      <c r="A89">
        <v>604</v>
      </c>
      <c r="B89">
        <v>29</v>
      </c>
      <c r="C89" t="s">
        <v>9</v>
      </c>
      <c r="D89" t="s">
        <v>15</v>
      </c>
      <c r="E89">
        <v>1401</v>
      </c>
      <c r="F89" t="s">
        <v>119</v>
      </c>
      <c r="G89">
        <v>6</v>
      </c>
      <c r="H89">
        <v>1</v>
      </c>
      <c r="I89" t="s">
        <v>17</v>
      </c>
      <c r="J89">
        <v>1</v>
      </c>
      <c r="K89">
        <v>1192</v>
      </c>
      <c r="L89">
        <v>2</v>
      </c>
      <c r="M89" t="s">
        <v>24</v>
      </c>
      <c r="N89">
        <v>54</v>
      </c>
      <c r="O89">
        <v>3</v>
      </c>
      <c r="P89">
        <v>1</v>
      </c>
      <c r="Q89" t="s">
        <v>36</v>
      </c>
      <c r="R89">
        <v>4</v>
      </c>
      <c r="S89" t="s">
        <v>28</v>
      </c>
      <c r="T89">
        <v>3131</v>
      </c>
      <c r="U89">
        <v>26342</v>
      </c>
      <c r="V89">
        <v>1</v>
      </c>
      <c r="W89" t="s">
        <v>29</v>
      </c>
      <c r="X89" t="s">
        <v>9</v>
      </c>
      <c r="Y89">
        <v>13</v>
      </c>
      <c r="Z89">
        <v>3</v>
      </c>
      <c r="AA89">
        <v>1</v>
      </c>
      <c r="AB89">
        <v>80</v>
      </c>
      <c r="AC89">
        <v>1</v>
      </c>
      <c r="AD89">
        <v>10</v>
      </c>
      <c r="AE89">
        <v>5</v>
      </c>
      <c r="AF89">
        <v>3</v>
      </c>
      <c r="AG89">
        <v>10</v>
      </c>
      <c r="AH89">
        <v>8</v>
      </c>
      <c r="AI89">
        <v>0</v>
      </c>
      <c r="AJ89">
        <v>8</v>
      </c>
    </row>
    <row r="90" spans="1:36" s="15" customFormat="1" x14ac:dyDescent="0.25">
      <c r="A90">
        <v>250</v>
      </c>
      <c r="B90">
        <v>41</v>
      </c>
      <c r="C90" t="s">
        <v>9</v>
      </c>
      <c r="D90" t="s">
        <v>15</v>
      </c>
      <c r="E90">
        <v>1276</v>
      </c>
      <c r="F90" t="s">
        <v>118</v>
      </c>
      <c r="G90">
        <v>2</v>
      </c>
      <c r="H90">
        <v>5</v>
      </c>
      <c r="I90" t="s">
        <v>21</v>
      </c>
      <c r="J90">
        <v>1</v>
      </c>
      <c r="K90">
        <v>625</v>
      </c>
      <c r="L90">
        <v>2</v>
      </c>
      <c r="M90" t="s">
        <v>24</v>
      </c>
      <c r="N90">
        <v>91</v>
      </c>
      <c r="O90">
        <v>3</v>
      </c>
      <c r="P90">
        <v>4</v>
      </c>
      <c r="Q90" t="s">
        <v>35</v>
      </c>
      <c r="R90">
        <v>1</v>
      </c>
      <c r="S90" t="s">
        <v>28</v>
      </c>
      <c r="T90">
        <v>16595</v>
      </c>
      <c r="U90">
        <v>5626</v>
      </c>
      <c r="V90">
        <v>7</v>
      </c>
      <c r="W90" t="s">
        <v>29</v>
      </c>
      <c r="X90" t="s">
        <v>9</v>
      </c>
      <c r="Y90">
        <v>16</v>
      </c>
      <c r="Z90">
        <v>3</v>
      </c>
      <c r="AA90">
        <v>2</v>
      </c>
      <c r="AB90">
        <v>80</v>
      </c>
      <c r="AC90">
        <v>1</v>
      </c>
      <c r="AD90">
        <v>22</v>
      </c>
      <c r="AE90">
        <v>2</v>
      </c>
      <c r="AF90">
        <v>3</v>
      </c>
      <c r="AG90">
        <v>18</v>
      </c>
      <c r="AH90">
        <v>16</v>
      </c>
      <c r="AI90">
        <v>11</v>
      </c>
      <c r="AJ90">
        <v>8</v>
      </c>
    </row>
    <row r="91" spans="1:36" s="15" customFormat="1" x14ac:dyDescent="0.25">
      <c r="A91">
        <v>711</v>
      </c>
      <c r="B91">
        <v>30</v>
      </c>
      <c r="C91" t="s">
        <v>9</v>
      </c>
      <c r="D91" t="s">
        <v>15</v>
      </c>
      <c r="E91">
        <v>634</v>
      </c>
      <c r="F91" t="s">
        <v>119</v>
      </c>
      <c r="G91">
        <v>17</v>
      </c>
      <c r="H91">
        <v>4</v>
      </c>
      <c r="I91" t="s">
        <v>17</v>
      </c>
      <c r="J91">
        <v>1</v>
      </c>
      <c r="K91">
        <v>1321</v>
      </c>
      <c r="L91">
        <v>2</v>
      </c>
      <c r="M91" t="s">
        <v>24</v>
      </c>
      <c r="N91">
        <v>95</v>
      </c>
      <c r="O91">
        <v>3</v>
      </c>
      <c r="P91">
        <v>3</v>
      </c>
      <c r="Q91" t="s">
        <v>35</v>
      </c>
      <c r="R91">
        <v>1</v>
      </c>
      <c r="S91" t="s">
        <v>28</v>
      </c>
      <c r="T91">
        <v>11916</v>
      </c>
      <c r="U91">
        <v>25927</v>
      </c>
      <c r="V91">
        <v>1</v>
      </c>
      <c r="W91" t="s">
        <v>29</v>
      </c>
      <c r="X91" t="s">
        <v>10</v>
      </c>
      <c r="Y91">
        <v>23</v>
      </c>
      <c r="Z91">
        <v>4</v>
      </c>
      <c r="AA91">
        <v>4</v>
      </c>
      <c r="AB91">
        <v>80</v>
      </c>
      <c r="AC91">
        <v>2</v>
      </c>
      <c r="AD91">
        <v>9</v>
      </c>
      <c r="AE91">
        <v>2</v>
      </c>
      <c r="AF91">
        <v>3</v>
      </c>
      <c r="AG91">
        <v>9</v>
      </c>
      <c r="AH91">
        <v>1</v>
      </c>
      <c r="AI91">
        <v>0</v>
      </c>
      <c r="AJ91">
        <v>8</v>
      </c>
    </row>
    <row r="92" spans="1:36" s="15" customFormat="1" x14ac:dyDescent="0.25">
      <c r="A92">
        <v>128</v>
      </c>
      <c r="B92">
        <v>45</v>
      </c>
      <c r="C92" t="s">
        <v>9</v>
      </c>
      <c r="D92" t="s">
        <v>15</v>
      </c>
      <c r="E92">
        <v>556</v>
      </c>
      <c r="F92" t="s">
        <v>119</v>
      </c>
      <c r="G92">
        <v>25</v>
      </c>
      <c r="H92">
        <v>2</v>
      </c>
      <c r="I92" t="s">
        <v>21</v>
      </c>
      <c r="J92">
        <v>1</v>
      </c>
      <c r="K92">
        <v>1888</v>
      </c>
      <c r="L92">
        <v>2</v>
      </c>
      <c r="M92" t="s">
        <v>24</v>
      </c>
      <c r="N92">
        <v>93</v>
      </c>
      <c r="O92">
        <v>2</v>
      </c>
      <c r="P92">
        <v>2</v>
      </c>
      <c r="Q92" t="s">
        <v>31</v>
      </c>
      <c r="R92">
        <v>4</v>
      </c>
      <c r="S92" t="s">
        <v>28</v>
      </c>
      <c r="T92">
        <v>5906</v>
      </c>
      <c r="U92">
        <v>23888</v>
      </c>
      <c r="V92">
        <v>0</v>
      </c>
      <c r="W92" t="s">
        <v>29</v>
      </c>
      <c r="X92" t="s">
        <v>9</v>
      </c>
      <c r="Y92">
        <v>13</v>
      </c>
      <c r="Z92">
        <v>3</v>
      </c>
      <c r="AA92">
        <v>4</v>
      </c>
      <c r="AB92">
        <v>80</v>
      </c>
      <c r="AC92">
        <v>2</v>
      </c>
      <c r="AD92">
        <v>10</v>
      </c>
      <c r="AE92">
        <v>2</v>
      </c>
      <c r="AF92">
        <v>2</v>
      </c>
      <c r="AG92">
        <v>9</v>
      </c>
      <c r="AH92">
        <v>8</v>
      </c>
      <c r="AI92">
        <v>3</v>
      </c>
      <c r="AJ92">
        <v>8</v>
      </c>
    </row>
    <row r="93" spans="1:36" s="15" customFormat="1" x14ac:dyDescent="0.25">
      <c r="A93">
        <v>603</v>
      </c>
      <c r="B93">
        <v>30</v>
      </c>
      <c r="C93" t="s">
        <v>9</v>
      </c>
      <c r="D93" t="s">
        <v>15</v>
      </c>
      <c r="E93">
        <v>153</v>
      </c>
      <c r="F93" t="s">
        <v>119</v>
      </c>
      <c r="G93">
        <v>8</v>
      </c>
      <c r="H93">
        <v>2</v>
      </c>
      <c r="I93" t="s">
        <v>21</v>
      </c>
      <c r="J93">
        <v>1</v>
      </c>
      <c r="K93">
        <v>1015</v>
      </c>
      <c r="L93">
        <v>2</v>
      </c>
      <c r="M93" t="s">
        <v>24</v>
      </c>
      <c r="N93">
        <v>73</v>
      </c>
      <c r="O93">
        <v>4</v>
      </c>
      <c r="P93">
        <v>3</v>
      </c>
      <c r="Q93" t="s">
        <v>30</v>
      </c>
      <c r="R93">
        <v>1</v>
      </c>
      <c r="S93" t="s">
        <v>28</v>
      </c>
      <c r="T93">
        <v>11416</v>
      </c>
      <c r="U93">
        <v>17802</v>
      </c>
      <c r="V93">
        <v>0</v>
      </c>
      <c r="W93" t="s">
        <v>29</v>
      </c>
      <c r="X93" t="s">
        <v>10</v>
      </c>
      <c r="Y93">
        <v>12</v>
      </c>
      <c r="Z93">
        <v>3</v>
      </c>
      <c r="AA93">
        <v>3</v>
      </c>
      <c r="AB93">
        <v>80</v>
      </c>
      <c r="AC93">
        <v>3</v>
      </c>
      <c r="AD93">
        <v>9</v>
      </c>
      <c r="AE93">
        <v>4</v>
      </c>
      <c r="AF93">
        <v>2</v>
      </c>
      <c r="AG93">
        <v>8</v>
      </c>
      <c r="AH93">
        <v>7</v>
      </c>
      <c r="AI93">
        <v>1</v>
      </c>
      <c r="AJ93">
        <v>7</v>
      </c>
    </row>
    <row r="94" spans="1:36" s="15" customFormat="1" x14ac:dyDescent="0.25">
      <c r="A94" s="15">
        <v>137</v>
      </c>
      <c r="B94" s="15">
        <v>29</v>
      </c>
      <c r="C94" s="15" t="s">
        <v>10</v>
      </c>
      <c r="D94" s="15" t="s">
        <v>15</v>
      </c>
      <c r="E94" s="15">
        <v>805</v>
      </c>
      <c r="F94" s="15" t="s">
        <v>119</v>
      </c>
      <c r="G94" s="15">
        <v>1</v>
      </c>
      <c r="H94" s="15">
        <v>2</v>
      </c>
      <c r="I94" s="15" t="s">
        <v>21</v>
      </c>
      <c r="J94" s="15">
        <v>1</v>
      </c>
      <c r="K94" s="15">
        <v>816</v>
      </c>
      <c r="L94" s="15">
        <v>2</v>
      </c>
      <c r="M94" s="15" t="s">
        <v>24</v>
      </c>
      <c r="N94" s="15">
        <v>36</v>
      </c>
      <c r="O94" s="15">
        <v>2</v>
      </c>
      <c r="P94" s="15">
        <v>1</v>
      </c>
      <c r="Q94" s="15" t="s">
        <v>36</v>
      </c>
      <c r="R94" s="15">
        <v>1</v>
      </c>
      <c r="S94" s="15" t="s">
        <v>28</v>
      </c>
      <c r="T94" s="15">
        <v>2319</v>
      </c>
      <c r="U94" s="15">
        <v>6689</v>
      </c>
      <c r="V94" s="15">
        <v>1</v>
      </c>
      <c r="W94" s="15" t="s">
        <v>29</v>
      </c>
      <c r="X94" s="15" t="s">
        <v>10</v>
      </c>
      <c r="Y94" s="15">
        <v>11</v>
      </c>
      <c r="Z94" s="15">
        <v>3</v>
      </c>
      <c r="AA94" s="15">
        <v>4</v>
      </c>
      <c r="AB94" s="15">
        <v>80</v>
      </c>
      <c r="AC94" s="15">
        <v>1</v>
      </c>
      <c r="AD94" s="15">
        <v>1</v>
      </c>
      <c r="AE94" s="15">
        <v>1</v>
      </c>
      <c r="AF94" s="15">
        <v>3</v>
      </c>
      <c r="AG94" s="15">
        <v>1</v>
      </c>
      <c r="AH94" s="15">
        <v>0</v>
      </c>
      <c r="AI94" s="15">
        <v>0</v>
      </c>
      <c r="AJ94" s="15">
        <v>0</v>
      </c>
    </row>
    <row r="95" spans="1:36" s="15" customFormat="1" x14ac:dyDescent="0.25">
      <c r="A95">
        <v>341</v>
      </c>
      <c r="B95">
        <v>36</v>
      </c>
      <c r="C95" t="s">
        <v>9</v>
      </c>
      <c r="D95" t="s">
        <v>15</v>
      </c>
      <c r="E95">
        <v>852</v>
      </c>
      <c r="F95" t="s">
        <v>119</v>
      </c>
      <c r="G95">
        <v>5</v>
      </c>
      <c r="H95">
        <v>4</v>
      </c>
      <c r="I95" t="s">
        <v>21</v>
      </c>
      <c r="J95">
        <v>1</v>
      </c>
      <c r="K95">
        <v>51</v>
      </c>
      <c r="L95">
        <v>2</v>
      </c>
      <c r="M95" t="s">
        <v>24</v>
      </c>
      <c r="N95">
        <v>82</v>
      </c>
      <c r="O95">
        <v>2</v>
      </c>
      <c r="P95">
        <v>1</v>
      </c>
      <c r="Q95" t="s">
        <v>32</v>
      </c>
      <c r="R95">
        <v>1</v>
      </c>
      <c r="S95" t="s">
        <v>28</v>
      </c>
      <c r="T95">
        <v>3419</v>
      </c>
      <c r="U95">
        <v>13072</v>
      </c>
      <c r="V95">
        <v>9</v>
      </c>
      <c r="W95" t="s">
        <v>29</v>
      </c>
      <c r="X95" t="s">
        <v>10</v>
      </c>
      <c r="Y95">
        <v>14</v>
      </c>
      <c r="Z95">
        <v>3</v>
      </c>
      <c r="AA95">
        <v>4</v>
      </c>
      <c r="AB95">
        <v>80</v>
      </c>
      <c r="AC95">
        <v>1</v>
      </c>
      <c r="AD95">
        <v>6</v>
      </c>
      <c r="AE95">
        <v>3</v>
      </c>
      <c r="AF95">
        <v>4</v>
      </c>
      <c r="AG95">
        <v>1</v>
      </c>
      <c r="AH95">
        <v>1</v>
      </c>
      <c r="AI95">
        <v>0</v>
      </c>
      <c r="AJ95">
        <v>0</v>
      </c>
    </row>
    <row r="96" spans="1:36" s="15" customFormat="1" x14ac:dyDescent="0.25">
      <c r="A96">
        <v>379</v>
      </c>
      <c r="B96">
        <v>29</v>
      </c>
      <c r="C96" t="s">
        <v>9</v>
      </c>
      <c r="D96" t="s">
        <v>15</v>
      </c>
      <c r="E96">
        <v>942</v>
      </c>
      <c r="F96" t="s">
        <v>119</v>
      </c>
      <c r="G96">
        <v>15</v>
      </c>
      <c r="H96">
        <v>1</v>
      </c>
      <c r="I96" t="s">
        <v>21</v>
      </c>
      <c r="J96">
        <v>1</v>
      </c>
      <c r="K96">
        <v>1202</v>
      </c>
      <c r="L96">
        <v>2</v>
      </c>
      <c r="M96" t="s">
        <v>24</v>
      </c>
      <c r="N96">
        <v>69</v>
      </c>
      <c r="O96">
        <v>1</v>
      </c>
      <c r="P96">
        <v>1</v>
      </c>
      <c r="Q96" t="s">
        <v>32</v>
      </c>
      <c r="R96">
        <v>4</v>
      </c>
      <c r="S96" t="s">
        <v>28</v>
      </c>
      <c r="T96">
        <v>2168</v>
      </c>
      <c r="U96">
        <v>26933</v>
      </c>
      <c r="V96">
        <v>0</v>
      </c>
      <c r="W96" t="s">
        <v>29</v>
      </c>
      <c r="X96" t="s">
        <v>10</v>
      </c>
      <c r="Y96">
        <v>18</v>
      </c>
      <c r="Z96">
        <v>3</v>
      </c>
      <c r="AA96">
        <v>1</v>
      </c>
      <c r="AB96">
        <v>80</v>
      </c>
      <c r="AC96">
        <v>1</v>
      </c>
      <c r="AD96">
        <v>6</v>
      </c>
      <c r="AE96">
        <v>2</v>
      </c>
      <c r="AF96">
        <v>2</v>
      </c>
      <c r="AG96">
        <v>5</v>
      </c>
      <c r="AH96">
        <v>4</v>
      </c>
      <c r="AI96">
        <v>1</v>
      </c>
      <c r="AJ96">
        <v>3</v>
      </c>
    </row>
    <row r="97" spans="1:36" s="15" customFormat="1" x14ac:dyDescent="0.25">
      <c r="A97">
        <v>546</v>
      </c>
      <c r="B97">
        <v>34</v>
      </c>
      <c r="C97" t="s">
        <v>9</v>
      </c>
      <c r="D97" t="s">
        <v>15</v>
      </c>
      <c r="E97">
        <v>678</v>
      </c>
      <c r="F97" t="s">
        <v>119</v>
      </c>
      <c r="G97">
        <v>19</v>
      </c>
      <c r="H97">
        <v>3</v>
      </c>
      <c r="I97" t="s">
        <v>21</v>
      </c>
      <c r="J97">
        <v>1</v>
      </c>
      <c r="K97">
        <v>1701</v>
      </c>
      <c r="L97">
        <v>2</v>
      </c>
      <c r="M97" t="s">
        <v>24</v>
      </c>
      <c r="N97">
        <v>35</v>
      </c>
      <c r="O97">
        <v>2</v>
      </c>
      <c r="P97">
        <v>1</v>
      </c>
      <c r="Q97" t="s">
        <v>32</v>
      </c>
      <c r="R97">
        <v>4</v>
      </c>
      <c r="S97" t="s">
        <v>28</v>
      </c>
      <c r="T97">
        <v>2929</v>
      </c>
      <c r="U97">
        <v>20338</v>
      </c>
      <c r="V97">
        <v>1</v>
      </c>
      <c r="W97" t="s">
        <v>29</v>
      </c>
      <c r="X97" t="s">
        <v>9</v>
      </c>
      <c r="Y97">
        <v>12</v>
      </c>
      <c r="Z97">
        <v>3</v>
      </c>
      <c r="AA97">
        <v>2</v>
      </c>
      <c r="AB97">
        <v>80</v>
      </c>
      <c r="AC97">
        <v>0</v>
      </c>
      <c r="AD97">
        <v>10</v>
      </c>
      <c r="AE97">
        <v>3</v>
      </c>
      <c r="AF97">
        <v>3</v>
      </c>
      <c r="AG97">
        <v>10</v>
      </c>
      <c r="AH97">
        <v>9</v>
      </c>
      <c r="AI97">
        <v>8</v>
      </c>
      <c r="AJ97">
        <v>7</v>
      </c>
    </row>
    <row r="98" spans="1:36" s="15" customFormat="1" x14ac:dyDescent="0.25">
      <c r="A98">
        <v>374</v>
      </c>
      <c r="B98">
        <v>37</v>
      </c>
      <c r="C98" t="s">
        <v>9</v>
      </c>
      <c r="D98" t="s">
        <v>15</v>
      </c>
      <c r="E98">
        <v>1470</v>
      </c>
      <c r="F98" t="s">
        <v>119</v>
      </c>
      <c r="G98">
        <v>10</v>
      </c>
      <c r="H98">
        <v>3</v>
      </c>
      <c r="I98" t="s">
        <v>17</v>
      </c>
      <c r="J98">
        <v>1</v>
      </c>
      <c r="K98">
        <v>1640</v>
      </c>
      <c r="L98">
        <v>2</v>
      </c>
      <c r="M98" t="s">
        <v>24</v>
      </c>
      <c r="N98">
        <v>71</v>
      </c>
      <c r="O98">
        <v>3</v>
      </c>
      <c r="P98">
        <v>1</v>
      </c>
      <c r="Q98" t="s">
        <v>32</v>
      </c>
      <c r="R98">
        <v>2</v>
      </c>
      <c r="S98" t="s">
        <v>28</v>
      </c>
      <c r="T98">
        <v>3936</v>
      </c>
      <c r="U98">
        <v>9953</v>
      </c>
      <c r="V98">
        <v>1</v>
      </c>
      <c r="W98" t="s">
        <v>29</v>
      </c>
      <c r="X98" t="s">
        <v>9</v>
      </c>
      <c r="Y98">
        <v>11</v>
      </c>
      <c r="Z98">
        <v>3</v>
      </c>
      <c r="AA98">
        <v>1</v>
      </c>
      <c r="AB98">
        <v>80</v>
      </c>
      <c r="AC98">
        <v>1</v>
      </c>
      <c r="AD98">
        <v>8</v>
      </c>
      <c r="AE98">
        <v>2</v>
      </c>
      <c r="AF98">
        <v>1</v>
      </c>
      <c r="AG98">
        <v>8</v>
      </c>
      <c r="AH98">
        <v>4</v>
      </c>
      <c r="AI98">
        <v>7</v>
      </c>
      <c r="AJ98">
        <v>7</v>
      </c>
    </row>
    <row r="99" spans="1:36" s="15" customFormat="1" x14ac:dyDescent="0.25">
      <c r="A99">
        <v>422</v>
      </c>
      <c r="B99">
        <v>37</v>
      </c>
      <c r="C99" t="s">
        <v>9</v>
      </c>
      <c r="D99" t="s">
        <v>16</v>
      </c>
      <c r="E99">
        <v>1063</v>
      </c>
      <c r="F99" t="s">
        <v>119</v>
      </c>
      <c r="G99">
        <v>25</v>
      </c>
      <c r="H99">
        <v>5</v>
      </c>
      <c r="I99" t="s">
        <v>17</v>
      </c>
      <c r="J99">
        <v>1</v>
      </c>
      <c r="K99">
        <v>529</v>
      </c>
      <c r="L99">
        <v>2</v>
      </c>
      <c r="M99" t="s">
        <v>24</v>
      </c>
      <c r="N99">
        <v>72</v>
      </c>
      <c r="O99">
        <v>3</v>
      </c>
      <c r="P99">
        <v>2</v>
      </c>
      <c r="Q99" t="s">
        <v>32</v>
      </c>
      <c r="R99">
        <v>3</v>
      </c>
      <c r="S99" t="s">
        <v>28</v>
      </c>
      <c r="T99">
        <v>4449</v>
      </c>
      <c r="U99">
        <v>23866</v>
      </c>
      <c r="V99">
        <v>3</v>
      </c>
      <c r="W99" t="s">
        <v>29</v>
      </c>
      <c r="X99" t="s">
        <v>10</v>
      </c>
      <c r="Y99">
        <v>15</v>
      </c>
      <c r="Z99">
        <v>3</v>
      </c>
      <c r="AA99">
        <v>1</v>
      </c>
      <c r="AB99">
        <v>80</v>
      </c>
      <c r="AC99">
        <v>2</v>
      </c>
      <c r="AD99">
        <v>15</v>
      </c>
      <c r="AE99">
        <v>2</v>
      </c>
      <c r="AF99">
        <v>3</v>
      </c>
      <c r="AG99">
        <v>13</v>
      </c>
      <c r="AH99">
        <v>11</v>
      </c>
      <c r="AI99">
        <v>10</v>
      </c>
      <c r="AJ99">
        <v>7</v>
      </c>
    </row>
    <row r="100" spans="1:36" s="15" customFormat="1" x14ac:dyDescent="0.25">
      <c r="A100">
        <v>675</v>
      </c>
      <c r="B100">
        <v>27</v>
      </c>
      <c r="C100" t="s">
        <v>9</v>
      </c>
      <c r="D100" t="s">
        <v>15</v>
      </c>
      <c r="E100">
        <v>486</v>
      </c>
      <c r="F100" t="s">
        <v>119</v>
      </c>
      <c r="G100">
        <v>8</v>
      </c>
      <c r="H100">
        <v>3</v>
      </c>
      <c r="I100" t="s">
        <v>17</v>
      </c>
      <c r="J100">
        <v>1</v>
      </c>
      <c r="K100">
        <v>1647</v>
      </c>
      <c r="L100">
        <v>2</v>
      </c>
      <c r="M100" t="s">
        <v>24</v>
      </c>
      <c r="N100">
        <v>86</v>
      </c>
      <c r="O100">
        <v>4</v>
      </c>
      <c r="P100">
        <v>1</v>
      </c>
      <c r="Q100" t="s">
        <v>32</v>
      </c>
      <c r="R100">
        <v>3</v>
      </c>
      <c r="S100" t="s">
        <v>28</v>
      </c>
      <c r="T100">
        <v>3517</v>
      </c>
      <c r="U100">
        <v>22490</v>
      </c>
      <c r="V100">
        <v>7</v>
      </c>
      <c r="W100" t="s">
        <v>29</v>
      </c>
      <c r="X100" t="s">
        <v>9</v>
      </c>
      <c r="Y100">
        <v>17</v>
      </c>
      <c r="Z100">
        <v>3</v>
      </c>
      <c r="AA100">
        <v>1</v>
      </c>
      <c r="AB100">
        <v>80</v>
      </c>
      <c r="AC100">
        <v>0</v>
      </c>
      <c r="AD100">
        <v>5</v>
      </c>
      <c r="AE100">
        <v>0</v>
      </c>
      <c r="AF100">
        <v>3</v>
      </c>
      <c r="AG100">
        <v>3</v>
      </c>
      <c r="AH100">
        <v>2</v>
      </c>
      <c r="AI100">
        <v>0</v>
      </c>
      <c r="AJ100">
        <v>2</v>
      </c>
    </row>
    <row r="101" spans="1:36" s="15" customFormat="1" x14ac:dyDescent="0.25">
      <c r="A101">
        <v>591</v>
      </c>
      <c r="B101">
        <v>22</v>
      </c>
      <c r="C101" t="s">
        <v>9</v>
      </c>
      <c r="D101" t="s">
        <v>16</v>
      </c>
      <c r="E101">
        <v>457</v>
      </c>
      <c r="F101" t="s">
        <v>119</v>
      </c>
      <c r="G101">
        <v>26</v>
      </c>
      <c r="H101">
        <v>2</v>
      </c>
      <c r="I101" t="s">
        <v>19</v>
      </c>
      <c r="J101">
        <v>1</v>
      </c>
      <c r="K101">
        <v>1605</v>
      </c>
      <c r="L101">
        <v>2</v>
      </c>
      <c r="M101" t="s">
        <v>24</v>
      </c>
      <c r="N101">
        <v>85</v>
      </c>
      <c r="O101">
        <v>2</v>
      </c>
      <c r="P101">
        <v>1</v>
      </c>
      <c r="Q101" t="s">
        <v>32</v>
      </c>
      <c r="R101">
        <v>3</v>
      </c>
      <c r="S101" t="s">
        <v>28</v>
      </c>
      <c r="T101">
        <v>2814</v>
      </c>
      <c r="U101">
        <v>10293</v>
      </c>
      <c r="V101">
        <v>1</v>
      </c>
      <c r="W101" t="s">
        <v>29</v>
      </c>
      <c r="X101" t="s">
        <v>10</v>
      </c>
      <c r="Y101">
        <v>14</v>
      </c>
      <c r="Z101">
        <v>3</v>
      </c>
      <c r="AA101">
        <v>2</v>
      </c>
      <c r="AB101">
        <v>80</v>
      </c>
      <c r="AC101">
        <v>0</v>
      </c>
      <c r="AD101">
        <v>4</v>
      </c>
      <c r="AE101">
        <v>2</v>
      </c>
      <c r="AF101">
        <v>2</v>
      </c>
      <c r="AG101">
        <v>4</v>
      </c>
      <c r="AH101">
        <v>2</v>
      </c>
      <c r="AI101">
        <v>1</v>
      </c>
      <c r="AJ101">
        <v>3</v>
      </c>
    </row>
    <row r="102" spans="1:36" s="15" customFormat="1" x14ac:dyDescent="0.25">
      <c r="A102">
        <v>821</v>
      </c>
      <c r="B102">
        <v>32</v>
      </c>
      <c r="C102" t="s">
        <v>9</v>
      </c>
      <c r="D102" t="s">
        <v>15</v>
      </c>
      <c r="E102">
        <v>634</v>
      </c>
      <c r="F102" t="s">
        <v>119</v>
      </c>
      <c r="G102">
        <v>5</v>
      </c>
      <c r="H102">
        <v>4</v>
      </c>
      <c r="I102" t="s">
        <v>19</v>
      </c>
      <c r="J102">
        <v>1</v>
      </c>
      <c r="K102">
        <v>1607</v>
      </c>
      <c r="L102">
        <v>2</v>
      </c>
      <c r="M102" t="s">
        <v>24</v>
      </c>
      <c r="N102">
        <v>35</v>
      </c>
      <c r="O102">
        <v>4</v>
      </c>
      <c r="P102">
        <v>1</v>
      </c>
      <c r="Q102" t="s">
        <v>32</v>
      </c>
      <c r="R102">
        <v>4</v>
      </c>
      <c r="S102" t="s">
        <v>28</v>
      </c>
      <c r="T102">
        <v>3312</v>
      </c>
      <c r="U102">
        <v>18783</v>
      </c>
      <c r="V102">
        <v>3</v>
      </c>
      <c r="W102" t="s">
        <v>29</v>
      </c>
      <c r="X102" t="s">
        <v>9</v>
      </c>
      <c r="Y102">
        <v>17</v>
      </c>
      <c r="Z102">
        <v>3</v>
      </c>
      <c r="AA102">
        <v>4</v>
      </c>
      <c r="AB102">
        <v>80</v>
      </c>
      <c r="AC102">
        <v>2</v>
      </c>
      <c r="AD102">
        <v>6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s="15" customFormat="1" x14ac:dyDescent="0.25">
      <c r="A103" s="15">
        <v>510</v>
      </c>
      <c r="B103" s="15">
        <v>41</v>
      </c>
      <c r="C103" s="15" t="s">
        <v>10</v>
      </c>
      <c r="D103" s="15" t="s">
        <v>15</v>
      </c>
      <c r="E103" s="15">
        <v>1360</v>
      </c>
      <c r="F103" s="15" t="s">
        <v>119</v>
      </c>
      <c r="G103" s="15">
        <v>12</v>
      </c>
      <c r="H103" s="15">
        <v>3</v>
      </c>
      <c r="I103" s="15" t="s">
        <v>22</v>
      </c>
      <c r="J103" s="15">
        <v>1</v>
      </c>
      <c r="K103" s="15">
        <v>58</v>
      </c>
      <c r="L103" s="15">
        <v>2</v>
      </c>
      <c r="M103" s="15" t="s">
        <v>24</v>
      </c>
      <c r="N103" s="15">
        <v>49</v>
      </c>
      <c r="O103" s="15">
        <v>3</v>
      </c>
      <c r="P103" s="15">
        <v>5</v>
      </c>
      <c r="Q103" s="15" t="s">
        <v>30</v>
      </c>
      <c r="R103" s="15">
        <v>3</v>
      </c>
      <c r="S103" s="15" t="s">
        <v>28</v>
      </c>
      <c r="T103" s="15">
        <v>19545</v>
      </c>
      <c r="U103" s="15">
        <v>16280</v>
      </c>
      <c r="V103" s="15">
        <v>1</v>
      </c>
      <c r="W103" s="15" t="s">
        <v>29</v>
      </c>
      <c r="X103" s="15" t="s">
        <v>9</v>
      </c>
      <c r="Y103" s="15">
        <v>12</v>
      </c>
      <c r="Z103" s="15">
        <v>3</v>
      </c>
      <c r="AA103" s="15">
        <v>4</v>
      </c>
      <c r="AB103" s="15">
        <v>80</v>
      </c>
      <c r="AC103" s="15">
        <v>0</v>
      </c>
      <c r="AD103" s="15">
        <v>23</v>
      </c>
      <c r="AE103" s="15">
        <v>0</v>
      </c>
      <c r="AF103" s="15">
        <v>3</v>
      </c>
      <c r="AG103" s="15">
        <v>22</v>
      </c>
      <c r="AH103" s="15">
        <v>15</v>
      </c>
      <c r="AI103" s="15">
        <v>15</v>
      </c>
      <c r="AJ103" s="15">
        <v>8</v>
      </c>
    </row>
    <row r="104" spans="1:36" s="15" customFormat="1" x14ac:dyDescent="0.25">
      <c r="A104">
        <v>767</v>
      </c>
      <c r="B104">
        <v>41</v>
      </c>
      <c r="C104" t="s">
        <v>9</v>
      </c>
      <c r="D104" t="s">
        <v>15</v>
      </c>
      <c r="E104">
        <v>509</v>
      </c>
      <c r="F104" t="s">
        <v>119</v>
      </c>
      <c r="G104">
        <v>7</v>
      </c>
      <c r="H104">
        <v>2</v>
      </c>
      <c r="I104" t="s">
        <v>22</v>
      </c>
      <c r="J104">
        <v>1</v>
      </c>
      <c r="K104">
        <v>1085</v>
      </c>
      <c r="L104">
        <v>2</v>
      </c>
      <c r="M104" t="s">
        <v>24</v>
      </c>
      <c r="N104">
        <v>43</v>
      </c>
      <c r="O104">
        <v>4</v>
      </c>
      <c r="P104">
        <v>1</v>
      </c>
      <c r="Q104" t="s">
        <v>32</v>
      </c>
      <c r="R104">
        <v>3</v>
      </c>
      <c r="S104" t="s">
        <v>28</v>
      </c>
      <c r="T104">
        <v>3376</v>
      </c>
      <c r="U104">
        <v>18863</v>
      </c>
      <c r="V104">
        <v>1</v>
      </c>
      <c r="W104" t="s">
        <v>29</v>
      </c>
      <c r="X104" t="s">
        <v>9</v>
      </c>
      <c r="Y104">
        <v>13</v>
      </c>
      <c r="Z104">
        <v>3</v>
      </c>
      <c r="AA104">
        <v>3</v>
      </c>
      <c r="AB104">
        <v>80</v>
      </c>
      <c r="AC104">
        <v>0</v>
      </c>
      <c r="AD104">
        <v>10</v>
      </c>
      <c r="AE104">
        <v>3</v>
      </c>
      <c r="AF104">
        <v>3</v>
      </c>
      <c r="AG104">
        <v>10</v>
      </c>
      <c r="AH104">
        <v>6</v>
      </c>
      <c r="AI104">
        <v>0</v>
      </c>
      <c r="AJ104">
        <v>8</v>
      </c>
    </row>
    <row r="105" spans="1:36" s="15" customFormat="1" x14ac:dyDescent="0.25">
      <c r="A105" s="15">
        <v>530</v>
      </c>
      <c r="B105" s="15">
        <v>56</v>
      </c>
      <c r="C105" s="15" t="s">
        <v>10</v>
      </c>
      <c r="D105" s="15" t="s">
        <v>15</v>
      </c>
      <c r="E105" s="15">
        <v>441</v>
      </c>
      <c r="F105" s="15" t="s">
        <v>119</v>
      </c>
      <c r="G105" s="15">
        <v>14</v>
      </c>
      <c r="H105" s="15">
        <v>4</v>
      </c>
      <c r="I105" s="15" t="s">
        <v>21</v>
      </c>
      <c r="J105" s="15">
        <v>1</v>
      </c>
      <c r="K105" s="15">
        <v>161</v>
      </c>
      <c r="L105" s="15">
        <v>2</v>
      </c>
      <c r="M105" s="15" t="s">
        <v>24</v>
      </c>
      <c r="N105" s="15">
        <v>72</v>
      </c>
      <c r="O105" s="15">
        <v>3</v>
      </c>
      <c r="P105" s="15">
        <v>1</v>
      </c>
      <c r="Q105" s="15" t="s">
        <v>32</v>
      </c>
      <c r="R105" s="15">
        <v>2</v>
      </c>
      <c r="S105" s="15" t="s">
        <v>28</v>
      </c>
      <c r="T105" s="15">
        <v>4963</v>
      </c>
      <c r="U105" s="15">
        <v>4510</v>
      </c>
      <c r="V105" s="15">
        <v>9</v>
      </c>
      <c r="W105" s="15" t="s">
        <v>29</v>
      </c>
      <c r="X105" s="15" t="s">
        <v>10</v>
      </c>
      <c r="Y105" s="15">
        <v>18</v>
      </c>
      <c r="Z105" s="15">
        <v>3</v>
      </c>
      <c r="AA105" s="15">
        <v>1</v>
      </c>
      <c r="AB105" s="15">
        <v>80</v>
      </c>
      <c r="AC105" s="15">
        <v>3</v>
      </c>
      <c r="AD105" s="15">
        <v>7</v>
      </c>
      <c r="AE105" s="15">
        <v>2</v>
      </c>
      <c r="AF105" s="15">
        <v>3</v>
      </c>
      <c r="AG105" s="15">
        <v>5</v>
      </c>
      <c r="AH105" s="15">
        <v>4</v>
      </c>
      <c r="AI105" s="15">
        <v>4</v>
      </c>
      <c r="AJ105" s="15">
        <v>3</v>
      </c>
    </row>
    <row r="106" spans="1:36" s="15" customFormat="1" x14ac:dyDescent="0.25">
      <c r="A106">
        <v>702</v>
      </c>
      <c r="B106">
        <v>34</v>
      </c>
      <c r="C106" t="s">
        <v>9</v>
      </c>
      <c r="D106" t="s">
        <v>15</v>
      </c>
      <c r="E106">
        <v>1400</v>
      </c>
      <c r="F106" t="s">
        <v>118</v>
      </c>
      <c r="G106">
        <v>9</v>
      </c>
      <c r="H106">
        <v>1</v>
      </c>
      <c r="I106" t="s">
        <v>21</v>
      </c>
      <c r="J106">
        <v>1</v>
      </c>
      <c r="K106">
        <v>1163</v>
      </c>
      <c r="L106">
        <v>2</v>
      </c>
      <c r="M106" t="s">
        <v>24</v>
      </c>
      <c r="N106">
        <v>70</v>
      </c>
      <c r="O106">
        <v>3</v>
      </c>
      <c r="P106">
        <v>2</v>
      </c>
      <c r="Q106" t="s">
        <v>25</v>
      </c>
      <c r="R106">
        <v>3</v>
      </c>
      <c r="S106" t="s">
        <v>28</v>
      </c>
      <c r="T106">
        <v>5714</v>
      </c>
      <c r="U106">
        <v>5829</v>
      </c>
      <c r="V106">
        <v>1</v>
      </c>
      <c r="W106" t="s">
        <v>29</v>
      </c>
      <c r="X106" t="s">
        <v>9</v>
      </c>
      <c r="Y106">
        <v>20</v>
      </c>
      <c r="Z106">
        <v>4</v>
      </c>
      <c r="AA106">
        <v>1</v>
      </c>
      <c r="AB106">
        <v>80</v>
      </c>
      <c r="AC106">
        <v>0</v>
      </c>
      <c r="AD106">
        <v>6</v>
      </c>
      <c r="AE106">
        <v>3</v>
      </c>
      <c r="AF106">
        <v>2</v>
      </c>
      <c r="AG106">
        <v>6</v>
      </c>
      <c r="AH106">
        <v>5</v>
      </c>
      <c r="AI106">
        <v>1</v>
      </c>
      <c r="AJ106">
        <v>3</v>
      </c>
    </row>
    <row r="107" spans="1:36" s="15" customFormat="1" x14ac:dyDescent="0.25">
      <c r="A107">
        <v>770</v>
      </c>
      <c r="B107">
        <v>45</v>
      </c>
      <c r="C107" t="s">
        <v>9</v>
      </c>
      <c r="D107" t="s">
        <v>16</v>
      </c>
      <c r="E107">
        <v>1050</v>
      </c>
      <c r="F107" t="s">
        <v>118</v>
      </c>
      <c r="G107">
        <v>9</v>
      </c>
      <c r="H107">
        <v>4</v>
      </c>
      <c r="I107" t="s">
        <v>21</v>
      </c>
      <c r="J107">
        <v>1</v>
      </c>
      <c r="K107">
        <v>1117</v>
      </c>
      <c r="L107">
        <v>2</v>
      </c>
      <c r="M107" t="s">
        <v>24</v>
      </c>
      <c r="N107">
        <v>65</v>
      </c>
      <c r="O107">
        <v>2</v>
      </c>
      <c r="P107">
        <v>2</v>
      </c>
      <c r="Q107" t="s">
        <v>25</v>
      </c>
      <c r="R107">
        <v>3</v>
      </c>
      <c r="S107" t="s">
        <v>28</v>
      </c>
      <c r="T107">
        <v>5593</v>
      </c>
      <c r="U107">
        <v>17970</v>
      </c>
      <c r="V107">
        <v>1</v>
      </c>
      <c r="W107" t="s">
        <v>29</v>
      </c>
      <c r="X107" t="s">
        <v>9</v>
      </c>
      <c r="Y107">
        <v>13</v>
      </c>
      <c r="Z107">
        <v>3</v>
      </c>
      <c r="AA107">
        <v>4</v>
      </c>
      <c r="AB107">
        <v>80</v>
      </c>
      <c r="AC107">
        <v>1</v>
      </c>
      <c r="AD107">
        <v>15</v>
      </c>
      <c r="AE107">
        <v>2</v>
      </c>
      <c r="AF107">
        <v>3</v>
      </c>
      <c r="AG107">
        <v>15</v>
      </c>
      <c r="AH107">
        <v>10</v>
      </c>
      <c r="AI107">
        <v>4</v>
      </c>
      <c r="AJ107">
        <v>12</v>
      </c>
    </row>
    <row r="108" spans="1:36" s="15" customFormat="1" x14ac:dyDescent="0.25">
      <c r="A108" s="15">
        <v>851</v>
      </c>
      <c r="B108" s="15">
        <v>31</v>
      </c>
      <c r="C108" s="15" t="s">
        <v>10</v>
      </c>
      <c r="D108" s="15" t="s">
        <v>15</v>
      </c>
      <c r="E108" s="15">
        <v>542</v>
      </c>
      <c r="F108" s="15" t="s">
        <v>118</v>
      </c>
      <c r="G108" s="15">
        <v>20</v>
      </c>
      <c r="H108" s="15">
        <v>3</v>
      </c>
      <c r="I108" s="15" t="s">
        <v>21</v>
      </c>
      <c r="J108" s="15">
        <v>1</v>
      </c>
      <c r="K108" s="15">
        <v>175</v>
      </c>
      <c r="L108" s="15">
        <v>2</v>
      </c>
      <c r="M108" s="15" t="s">
        <v>24</v>
      </c>
      <c r="N108" s="15">
        <v>71</v>
      </c>
      <c r="O108" s="15">
        <v>1</v>
      </c>
      <c r="P108" s="15">
        <v>2</v>
      </c>
      <c r="Q108" s="15" t="s">
        <v>25</v>
      </c>
      <c r="R108" s="15">
        <v>3</v>
      </c>
      <c r="S108" s="15" t="s">
        <v>28</v>
      </c>
      <c r="T108" s="15">
        <v>4559</v>
      </c>
      <c r="U108" s="15">
        <v>24788</v>
      </c>
      <c r="V108" s="15">
        <v>3</v>
      </c>
      <c r="W108" s="15" t="s">
        <v>29</v>
      </c>
      <c r="X108" s="15" t="s">
        <v>10</v>
      </c>
      <c r="Y108" s="15">
        <v>11</v>
      </c>
      <c r="Z108" s="15">
        <v>3</v>
      </c>
      <c r="AA108" s="15">
        <v>3</v>
      </c>
      <c r="AB108" s="15">
        <v>80</v>
      </c>
      <c r="AC108" s="15">
        <v>1</v>
      </c>
      <c r="AD108" s="15">
        <v>4</v>
      </c>
      <c r="AE108" s="15">
        <v>2</v>
      </c>
      <c r="AF108" s="15">
        <v>3</v>
      </c>
      <c r="AG108" s="15">
        <v>2</v>
      </c>
      <c r="AH108" s="15">
        <v>2</v>
      </c>
      <c r="AI108" s="15">
        <v>2</v>
      </c>
      <c r="AJ108" s="15">
        <v>2</v>
      </c>
    </row>
    <row r="109" spans="1:36" s="15" customFormat="1" x14ac:dyDescent="0.25">
      <c r="A109">
        <v>157</v>
      </c>
      <c r="B109">
        <v>40</v>
      </c>
      <c r="C109" t="s">
        <v>9</v>
      </c>
      <c r="D109" t="s">
        <v>15</v>
      </c>
      <c r="E109">
        <v>444</v>
      </c>
      <c r="F109" t="s">
        <v>118</v>
      </c>
      <c r="G109">
        <v>2</v>
      </c>
      <c r="H109">
        <v>2</v>
      </c>
      <c r="I109" t="s">
        <v>18</v>
      </c>
      <c r="J109">
        <v>1</v>
      </c>
      <c r="K109">
        <v>1986</v>
      </c>
      <c r="L109">
        <v>2</v>
      </c>
      <c r="M109" t="s">
        <v>24</v>
      </c>
      <c r="N109">
        <v>92</v>
      </c>
      <c r="O109">
        <v>3</v>
      </c>
      <c r="P109">
        <v>2</v>
      </c>
      <c r="Q109" t="s">
        <v>25</v>
      </c>
      <c r="R109">
        <v>2</v>
      </c>
      <c r="S109" t="s">
        <v>28</v>
      </c>
      <c r="T109">
        <v>5677</v>
      </c>
      <c r="U109">
        <v>4258</v>
      </c>
      <c r="V109">
        <v>3</v>
      </c>
      <c r="W109" t="s">
        <v>29</v>
      </c>
      <c r="X109" t="s">
        <v>9</v>
      </c>
      <c r="Y109">
        <v>14</v>
      </c>
      <c r="Z109">
        <v>3</v>
      </c>
      <c r="AA109">
        <v>3</v>
      </c>
      <c r="AB109">
        <v>80</v>
      </c>
      <c r="AC109">
        <v>1</v>
      </c>
      <c r="AD109">
        <v>15</v>
      </c>
      <c r="AE109">
        <v>4</v>
      </c>
      <c r="AF109">
        <v>3</v>
      </c>
      <c r="AG109">
        <v>11</v>
      </c>
      <c r="AH109">
        <v>8</v>
      </c>
      <c r="AI109">
        <v>5</v>
      </c>
      <c r="AJ109">
        <v>10</v>
      </c>
    </row>
    <row r="110" spans="1:36" s="15" customFormat="1" x14ac:dyDescent="0.25">
      <c r="A110">
        <v>194</v>
      </c>
      <c r="B110">
        <v>48</v>
      </c>
      <c r="C110" t="s">
        <v>9</v>
      </c>
      <c r="D110" t="s">
        <v>15</v>
      </c>
      <c r="E110">
        <v>163</v>
      </c>
      <c r="F110" t="s">
        <v>118</v>
      </c>
      <c r="G110">
        <v>2</v>
      </c>
      <c r="H110">
        <v>5</v>
      </c>
      <c r="I110" t="s">
        <v>18</v>
      </c>
      <c r="J110">
        <v>1</v>
      </c>
      <c r="K110">
        <v>595</v>
      </c>
      <c r="L110">
        <v>2</v>
      </c>
      <c r="M110" t="s">
        <v>24</v>
      </c>
      <c r="N110">
        <v>37</v>
      </c>
      <c r="O110">
        <v>3</v>
      </c>
      <c r="P110">
        <v>2</v>
      </c>
      <c r="Q110" t="s">
        <v>25</v>
      </c>
      <c r="R110">
        <v>4</v>
      </c>
      <c r="S110" t="s">
        <v>28</v>
      </c>
      <c r="T110">
        <v>4051</v>
      </c>
      <c r="U110">
        <v>19658</v>
      </c>
      <c r="V110">
        <v>2</v>
      </c>
      <c r="W110" t="s">
        <v>29</v>
      </c>
      <c r="X110" t="s">
        <v>9</v>
      </c>
      <c r="Y110">
        <v>14</v>
      </c>
      <c r="Z110">
        <v>3</v>
      </c>
      <c r="AA110">
        <v>1</v>
      </c>
      <c r="AB110">
        <v>80</v>
      </c>
      <c r="AC110">
        <v>1</v>
      </c>
      <c r="AD110">
        <v>14</v>
      </c>
      <c r="AE110">
        <v>2</v>
      </c>
      <c r="AF110">
        <v>3</v>
      </c>
      <c r="AG110">
        <v>9</v>
      </c>
      <c r="AH110">
        <v>7</v>
      </c>
      <c r="AI110">
        <v>6</v>
      </c>
      <c r="AJ110">
        <v>7</v>
      </c>
    </row>
    <row r="111" spans="1:36" s="15" customFormat="1" x14ac:dyDescent="0.25">
      <c r="A111">
        <v>436</v>
      </c>
      <c r="B111">
        <v>27</v>
      </c>
      <c r="C111" t="s">
        <v>9</v>
      </c>
      <c r="D111" t="s">
        <v>15</v>
      </c>
      <c r="E111">
        <v>1130</v>
      </c>
      <c r="F111" t="s">
        <v>118</v>
      </c>
      <c r="G111">
        <v>8</v>
      </c>
      <c r="H111">
        <v>4</v>
      </c>
      <c r="I111" t="s">
        <v>18</v>
      </c>
      <c r="J111">
        <v>1</v>
      </c>
      <c r="K111">
        <v>458</v>
      </c>
      <c r="L111">
        <v>2</v>
      </c>
      <c r="M111" t="s">
        <v>24</v>
      </c>
      <c r="N111">
        <v>56</v>
      </c>
      <c r="O111">
        <v>3</v>
      </c>
      <c r="P111">
        <v>2</v>
      </c>
      <c r="Q111" t="s">
        <v>25</v>
      </c>
      <c r="R111">
        <v>2</v>
      </c>
      <c r="S111" t="s">
        <v>28</v>
      </c>
      <c r="T111">
        <v>6214</v>
      </c>
      <c r="U111">
        <v>3415</v>
      </c>
      <c r="V111">
        <v>1</v>
      </c>
      <c r="W111" t="s">
        <v>29</v>
      </c>
      <c r="X111" t="s">
        <v>9</v>
      </c>
      <c r="Y111">
        <v>18</v>
      </c>
      <c r="Z111">
        <v>3</v>
      </c>
      <c r="AA111">
        <v>1</v>
      </c>
      <c r="AB111">
        <v>80</v>
      </c>
      <c r="AC111">
        <v>1</v>
      </c>
      <c r="AD111">
        <v>8</v>
      </c>
      <c r="AE111">
        <v>3</v>
      </c>
      <c r="AF111">
        <v>3</v>
      </c>
      <c r="AG111">
        <v>8</v>
      </c>
      <c r="AH111">
        <v>7</v>
      </c>
      <c r="AI111">
        <v>0</v>
      </c>
      <c r="AJ111">
        <v>7</v>
      </c>
    </row>
    <row r="112" spans="1:36" s="15" customFormat="1" x14ac:dyDescent="0.25">
      <c r="A112">
        <v>584</v>
      </c>
      <c r="B112">
        <v>28</v>
      </c>
      <c r="C112" t="s">
        <v>9</v>
      </c>
      <c r="D112" t="s">
        <v>15</v>
      </c>
      <c r="E112">
        <v>760</v>
      </c>
      <c r="F112" t="s">
        <v>118</v>
      </c>
      <c r="G112">
        <v>2</v>
      </c>
      <c r="H112">
        <v>4</v>
      </c>
      <c r="I112" t="s">
        <v>18</v>
      </c>
      <c r="J112">
        <v>1</v>
      </c>
      <c r="K112">
        <v>846</v>
      </c>
      <c r="L112">
        <v>2</v>
      </c>
      <c r="M112" t="s">
        <v>24</v>
      </c>
      <c r="N112">
        <v>81</v>
      </c>
      <c r="O112">
        <v>3</v>
      </c>
      <c r="P112">
        <v>2</v>
      </c>
      <c r="Q112" t="s">
        <v>25</v>
      </c>
      <c r="R112">
        <v>2</v>
      </c>
      <c r="S112" t="s">
        <v>28</v>
      </c>
      <c r="T112">
        <v>4779</v>
      </c>
      <c r="U112">
        <v>3698</v>
      </c>
      <c r="V112">
        <v>1</v>
      </c>
      <c r="W112" t="s">
        <v>29</v>
      </c>
      <c r="X112" t="s">
        <v>10</v>
      </c>
      <c r="Y112">
        <v>20</v>
      </c>
      <c r="Z112">
        <v>4</v>
      </c>
      <c r="AA112">
        <v>1</v>
      </c>
      <c r="AB112">
        <v>80</v>
      </c>
      <c r="AC112">
        <v>0</v>
      </c>
      <c r="AD112">
        <v>8</v>
      </c>
      <c r="AE112">
        <v>2</v>
      </c>
      <c r="AF112">
        <v>3</v>
      </c>
      <c r="AG112">
        <v>8</v>
      </c>
      <c r="AH112">
        <v>7</v>
      </c>
      <c r="AI112">
        <v>7</v>
      </c>
      <c r="AJ112">
        <v>5</v>
      </c>
    </row>
    <row r="113" spans="1:36" s="15" customFormat="1" x14ac:dyDescent="0.25">
      <c r="A113">
        <v>737</v>
      </c>
      <c r="B113">
        <v>39</v>
      </c>
      <c r="C113" t="s">
        <v>9</v>
      </c>
      <c r="D113" t="s">
        <v>15</v>
      </c>
      <c r="E113">
        <v>722</v>
      </c>
      <c r="F113" t="s">
        <v>118</v>
      </c>
      <c r="G113">
        <v>24</v>
      </c>
      <c r="H113">
        <v>1</v>
      </c>
      <c r="I113" t="s">
        <v>18</v>
      </c>
      <c r="J113">
        <v>1</v>
      </c>
      <c r="K113">
        <v>2056</v>
      </c>
      <c r="L113">
        <v>2</v>
      </c>
      <c r="M113" t="s">
        <v>24</v>
      </c>
      <c r="N113">
        <v>60</v>
      </c>
      <c r="O113">
        <v>2</v>
      </c>
      <c r="P113">
        <v>4</v>
      </c>
      <c r="Q113" t="s">
        <v>25</v>
      </c>
      <c r="R113">
        <v>4</v>
      </c>
      <c r="S113" t="s">
        <v>28</v>
      </c>
      <c r="T113">
        <v>12031</v>
      </c>
      <c r="U113">
        <v>8828</v>
      </c>
      <c r="V113">
        <v>0</v>
      </c>
      <c r="W113" t="s">
        <v>29</v>
      </c>
      <c r="X113" t="s">
        <v>9</v>
      </c>
      <c r="Y113">
        <v>11</v>
      </c>
      <c r="Z113">
        <v>3</v>
      </c>
      <c r="AA113">
        <v>1</v>
      </c>
      <c r="AB113">
        <v>80</v>
      </c>
      <c r="AC113">
        <v>1</v>
      </c>
      <c r="AD113">
        <v>21</v>
      </c>
      <c r="AE113">
        <v>2</v>
      </c>
      <c r="AF113">
        <v>2</v>
      </c>
      <c r="AG113">
        <v>20</v>
      </c>
      <c r="AH113">
        <v>9</v>
      </c>
      <c r="AI113">
        <v>9</v>
      </c>
      <c r="AJ113">
        <v>6</v>
      </c>
    </row>
    <row r="114" spans="1:36" s="15" customFormat="1" x14ac:dyDescent="0.25">
      <c r="A114">
        <v>667</v>
      </c>
      <c r="B114">
        <v>29</v>
      </c>
      <c r="C114" t="s">
        <v>9</v>
      </c>
      <c r="D114" t="s">
        <v>11</v>
      </c>
      <c r="E114">
        <v>1413</v>
      </c>
      <c r="F114" t="s">
        <v>118</v>
      </c>
      <c r="G114">
        <v>1</v>
      </c>
      <c r="H114">
        <v>1</v>
      </c>
      <c r="I114" t="s">
        <v>17</v>
      </c>
      <c r="J114">
        <v>1</v>
      </c>
      <c r="K114">
        <v>312</v>
      </c>
      <c r="L114">
        <v>2</v>
      </c>
      <c r="M114" t="s">
        <v>24</v>
      </c>
      <c r="N114">
        <v>42</v>
      </c>
      <c r="O114">
        <v>3</v>
      </c>
      <c r="P114">
        <v>3</v>
      </c>
      <c r="Q114" t="s">
        <v>25</v>
      </c>
      <c r="R114">
        <v>4</v>
      </c>
      <c r="S114" t="s">
        <v>28</v>
      </c>
      <c r="T114">
        <v>7918</v>
      </c>
      <c r="U114">
        <v>6599</v>
      </c>
      <c r="V114">
        <v>1</v>
      </c>
      <c r="W114" t="s">
        <v>29</v>
      </c>
      <c r="X114" t="s">
        <v>9</v>
      </c>
      <c r="Y114">
        <v>14</v>
      </c>
      <c r="Z114">
        <v>3</v>
      </c>
      <c r="AA114">
        <v>4</v>
      </c>
      <c r="AB114">
        <v>80</v>
      </c>
      <c r="AC114">
        <v>1</v>
      </c>
      <c r="AD114">
        <v>11</v>
      </c>
      <c r="AE114">
        <v>5</v>
      </c>
      <c r="AF114">
        <v>3</v>
      </c>
      <c r="AG114">
        <v>11</v>
      </c>
      <c r="AH114">
        <v>10</v>
      </c>
      <c r="AI114">
        <v>4</v>
      </c>
      <c r="AJ114">
        <v>1</v>
      </c>
    </row>
    <row r="115" spans="1:36" s="15" customFormat="1" x14ac:dyDescent="0.25">
      <c r="A115">
        <v>784</v>
      </c>
      <c r="B115">
        <v>33</v>
      </c>
      <c r="C115" t="s">
        <v>9</v>
      </c>
      <c r="D115" t="s">
        <v>11</v>
      </c>
      <c r="E115">
        <v>1146</v>
      </c>
      <c r="F115" t="s">
        <v>118</v>
      </c>
      <c r="G115">
        <v>25</v>
      </c>
      <c r="H115">
        <v>3</v>
      </c>
      <c r="I115" t="s">
        <v>17</v>
      </c>
      <c r="J115">
        <v>1</v>
      </c>
      <c r="K115">
        <v>1220</v>
      </c>
      <c r="L115">
        <v>2</v>
      </c>
      <c r="M115" t="s">
        <v>24</v>
      </c>
      <c r="N115">
        <v>82</v>
      </c>
      <c r="O115">
        <v>3</v>
      </c>
      <c r="P115">
        <v>2</v>
      </c>
      <c r="Q115" t="s">
        <v>25</v>
      </c>
      <c r="R115">
        <v>3</v>
      </c>
      <c r="S115" t="s">
        <v>28</v>
      </c>
      <c r="T115">
        <v>4539</v>
      </c>
      <c r="U115">
        <v>4905</v>
      </c>
      <c r="V115">
        <v>1</v>
      </c>
      <c r="W115" t="s">
        <v>29</v>
      </c>
      <c r="X115" t="s">
        <v>9</v>
      </c>
      <c r="Y115">
        <v>12</v>
      </c>
      <c r="Z115">
        <v>3</v>
      </c>
      <c r="AA115">
        <v>1</v>
      </c>
      <c r="AB115">
        <v>80</v>
      </c>
      <c r="AC115">
        <v>1</v>
      </c>
      <c r="AD115">
        <v>10</v>
      </c>
      <c r="AE115">
        <v>3</v>
      </c>
      <c r="AF115">
        <v>2</v>
      </c>
      <c r="AG115">
        <v>10</v>
      </c>
      <c r="AH115">
        <v>7</v>
      </c>
      <c r="AI115">
        <v>0</v>
      </c>
      <c r="AJ115">
        <v>1</v>
      </c>
    </row>
    <row r="116" spans="1:36" s="15" customFormat="1" x14ac:dyDescent="0.25">
      <c r="A116">
        <v>289</v>
      </c>
      <c r="B116">
        <v>36</v>
      </c>
      <c r="C116" t="s">
        <v>9</v>
      </c>
      <c r="D116" t="s">
        <v>11</v>
      </c>
      <c r="E116">
        <v>1467</v>
      </c>
      <c r="F116" t="s">
        <v>118</v>
      </c>
      <c r="G116">
        <v>11</v>
      </c>
      <c r="H116">
        <v>2</v>
      </c>
      <c r="I116" t="s">
        <v>22</v>
      </c>
      <c r="J116">
        <v>1</v>
      </c>
      <c r="K116">
        <v>154</v>
      </c>
      <c r="L116">
        <v>2</v>
      </c>
      <c r="M116" t="s">
        <v>24</v>
      </c>
      <c r="N116">
        <v>92</v>
      </c>
      <c r="O116">
        <v>3</v>
      </c>
      <c r="P116">
        <v>3</v>
      </c>
      <c r="Q116" t="s">
        <v>25</v>
      </c>
      <c r="R116">
        <v>4</v>
      </c>
      <c r="S116" t="s">
        <v>28</v>
      </c>
      <c r="T116">
        <v>9738</v>
      </c>
      <c r="U116">
        <v>22952</v>
      </c>
      <c r="V116">
        <v>0</v>
      </c>
      <c r="W116" t="s">
        <v>29</v>
      </c>
      <c r="X116" t="s">
        <v>9</v>
      </c>
      <c r="Y116">
        <v>14</v>
      </c>
      <c r="Z116">
        <v>3</v>
      </c>
      <c r="AA116">
        <v>3</v>
      </c>
      <c r="AB116">
        <v>80</v>
      </c>
      <c r="AC116">
        <v>1</v>
      </c>
      <c r="AD116">
        <v>10</v>
      </c>
      <c r="AE116">
        <v>6</v>
      </c>
      <c r="AF116">
        <v>3</v>
      </c>
      <c r="AG116">
        <v>9</v>
      </c>
      <c r="AH116">
        <v>7</v>
      </c>
      <c r="AI116">
        <v>2</v>
      </c>
      <c r="AJ116">
        <v>8</v>
      </c>
    </row>
    <row r="117" spans="1:36" s="15" customFormat="1" x14ac:dyDescent="0.25">
      <c r="A117">
        <v>495</v>
      </c>
      <c r="B117">
        <v>36</v>
      </c>
      <c r="C117" t="s">
        <v>9</v>
      </c>
      <c r="D117" t="s">
        <v>15</v>
      </c>
      <c r="E117">
        <v>1266</v>
      </c>
      <c r="F117" t="s">
        <v>118</v>
      </c>
      <c r="G117">
        <v>10</v>
      </c>
      <c r="H117">
        <v>4</v>
      </c>
      <c r="I117" t="s">
        <v>22</v>
      </c>
      <c r="J117">
        <v>1</v>
      </c>
      <c r="K117">
        <v>1880</v>
      </c>
      <c r="L117">
        <v>2</v>
      </c>
      <c r="M117" t="s">
        <v>24</v>
      </c>
      <c r="N117">
        <v>63</v>
      </c>
      <c r="O117">
        <v>2</v>
      </c>
      <c r="P117">
        <v>2</v>
      </c>
      <c r="Q117" t="s">
        <v>25</v>
      </c>
      <c r="R117">
        <v>3</v>
      </c>
      <c r="S117" t="s">
        <v>28</v>
      </c>
      <c r="T117">
        <v>5673</v>
      </c>
      <c r="U117">
        <v>6060</v>
      </c>
      <c r="V117">
        <v>1</v>
      </c>
      <c r="W117" t="s">
        <v>29</v>
      </c>
      <c r="X117" t="s">
        <v>10</v>
      </c>
      <c r="Y117">
        <v>13</v>
      </c>
      <c r="Z117">
        <v>3</v>
      </c>
      <c r="AA117">
        <v>1</v>
      </c>
      <c r="AB117">
        <v>80</v>
      </c>
      <c r="AC117">
        <v>1</v>
      </c>
      <c r="AD117">
        <v>10</v>
      </c>
      <c r="AE117">
        <v>4</v>
      </c>
      <c r="AF117">
        <v>3</v>
      </c>
      <c r="AG117">
        <v>10</v>
      </c>
      <c r="AH117">
        <v>9</v>
      </c>
      <c r="AI117">
        <v>1</v>
      </c>
      <c r="AJ117">
        <v>7</v>
      </c>
    </row>
    <row r="118" spans="1:36" s="15" customFormat="1" x14ac:dyDescent="0.25">
      <c r="A118">
        <v>273</v>
      </c>
      <c r="B118">
        <v>27</v>
      </c>
      <c r="C118" t="s">
        <v>9</v>
      </c>
      <c r="D118" t="s">
        <v>15</v>
      </c>
      <c r="E118">
        <v>728</v>
      </c>
      <c r="F118" t="s">
        <v>118</v>
      </c>
      <c r="G118">
        <v>23</v>
      </c>
      <c r="H118">
        <v>1</v>
      </c>
      <c r="I118" t="s">
        <v>17</v>
      </c>
      <c r="J118">
        <v>1</v>
      </c>
      <c r="K118">
        <v>1864</v>
      </c>
      <c r="L118">
        <v>2</v>
      </c>
      <c r="M118" t="s">
        <v>24</v>
      </c>
      <c r="N118">
        <v>36</v>
      </c>
      <c r="O118">
        <v>2</v>
      </c>
      <c r="P118">
        <v>2</v>
      </c>
      <c r="Q118" t="s">
        <v>33</v>
      </c>
      <c r="R118">
        <v>3</v>
      </c>
      <c r="S118" t="s">
        <v>28</v>
      </c>
      <c r="T118">
        <v>3540</v>
      </c>
      <c r="U118">
        <v>7018</v>
      </c>
      <c r="V118">
        <v>1</v>
      </c>
      <c r="W118" t="s">
        <v>29</v>
      </c>
      <c r="X118" t="s">
        <v>9</v>
      </c>
      <c r="Y118">
        <v>21</v>
      </c>
      <c r="Z118">
        <v>4</v>
      </c>
      <c r="AA118">
        <v>4</v>
      </c>
      <c r="AB118">
        <v>80</v>
      </c>
      <c r="AC118">
        <v>1</v>
      </c>
      <c r="AD118">
        <v>9</v>
      </c>
      <c r="AE118">
        <v>5</v>
      </c>
      <c r="AF118">
        <v>3</v>
      </c>
      <c r="AG118">
        <v>9</v>
      </c>
      <c r="AH118">
        <v>8</v>
      </c>
      <c r="AI118">
        <v>5</v>
      </c>
      <c r="AJ118">
        <v>8</v>
      </c>
    </row>
    <row r="119" spans="1:36" s="15" customFormat="1" x14ac:dyDescent="0.25">
      <c r="A119">
        <v>25</v>
      </c>
      <c r="B119">
        <v>33</v>
      </c>
      <c r="C119" t="s">
        <v>9</v>
      </c>
      <c r="D119" t="s">
        <v>15</v>
      </c>
      <c r="E119">
        <v>1069</v>
      </c>
      <c r="F119" t="s">
        <v>119</v>
      </c>
      <c r="G119">
        <v>1</v>
      </c>
      <c r="H119">
        <v>3</v>
      </c>
      <c r="I119" t="s">
        <v>21</v>
      </c>
      <c r="J119">
        <v>1</v>
      </c>
      <c r="K119">
        <v>969</v>
      </c>
      <c r="L119">
        <v>2</v>
      </c>
      <c r="M119" t="s">
        <v>24</v>
      </c>
      <c r="N119">
        <v>42</v>
      </c>
      <c r="O119">
        <v>2</v>
      </c>
      <c r="P119">
        <v>2</v>
      </c>
      <c r="Q119" t="s">
        <v>34</v>
      </c>
      <c r="R119">
        <v>4</v>
      </c>
      <c r="S119" t="s">
        <v>27</v>
      </c>
      <c r="T119">
        <v>6949</v>
      </c>
      <c r="U119">
        <v>12291</v>
      </c>
      <c r="V119">
        <v>0</v>
      </c>
      <c r="W119" t="s">
        <v>29</v>
      </c>
      <c r="X119" t="s">
        <v>9</v>
      </c>
      <c r="Y119">
        <v>14</v>
      </c>
      <c r="Z119">
        <v>3</v>
      </c>
      <c r="AA119">
        <v>1</v>
      </c>
      <c r="AB119">
        <v>80</v>
      </c>
      <c r="AC119">
        <v>0</v>
      </c>
      <c r="AD119">
        <v>6</v>
      </c>
      <c r="AE119">
        <v>3</v>
      </c>
      <c r="AF119">
        <v>3</v>
      </c>
      <c r="AG119">
        <v>5</v>
      </c>
      <c r="AH119">
        <v>0</v>
      </c>
      <c r="AI119">
        <v>1</v>
      </c>
      <c r="AJ119">
        <v>4</v>
      </c>
    </row>
    <row r="120" spans="1:36" s="15" customFormat="1" x14ac:dyDescent="0.25">
      <c r="A120">
        <v>440</v>
      </c>
      <c r="B120">
        <v>38</v>
      </c>
      <c r="C120" t="s">
        <v>9</v>
      </c>
      <c r="D120" t="s">
        <v>15</v>
      </c>
      <c r="E120">
        <v>827</v>
      </c>
      <c r="F120" t="s">
        <v>119</v>
      </c>
      <c r="G120">
        <v>1</v>
      </c>
      <c r="H120">
        <v>4</v>
      </c>
      <c r="I120" t="s">
        <v>21</v>
      </c>
      <c r="J120">
        <v>1</v>
      </c>
      <c r="K120">
        <v>724</v>
      </c>
      <c r="L120">
        <v>2</v>
      </c>
      <c r="M120" t="s">
        <v>24</v>
      </c>
      <c r="N120">
        <v>33</v>
      </c>
      <c r="O120">
        <v>4</v>
      </c>
      <c r="P120">
        <v>2</v>
      </c>
      <c r="Q120" t="s">
        <v>34</v>
      </c>
      <c r="R120">
        <v>4</v>
      </c>
      <c r="S120" t="s">
        <v>27</v>
      </c>
      <c r="T120">
        <v>7625</v>
      </c>
      <c r="U120">
        <v>19383</v>
      </c>
      <c r="V120">
        <v>0</v>
      </c>
      <c r="W120" t="s">
        <v>29</v>
      </c>
      <c r="X120" t="s">
        <v>9</v>
      </c>
      <c r="Y120">
        <v>13</v>
      </c>
      <c r="Z120">
        <v>3</v>
      </c>
      <c r="AA120">
        <v>3</v>
      </c>
      <c r="AB120">
        <v>80</v>
      </c>
      <c r="AC120">
        <v>0</v>
      </c>
      <c r="AD120">
        <v>10</v>
      </c>
      <c r="AE120">
        <v>4</v>
      </c>
      <c r="AF120">
        <v>2</v>
      </c>
      <c r="AG120">
        <v>9</v>
      </c>
      <c r="AH120">
        <v>7</v>
      </c>
      <c r="AI120">
        <v>1</v>
      </c>
      <c r="AJ120">
        <v>8</v>
      </c>
    </row>
    <row r="121" spans="1:36" s="15" customFormat="1" x14ac:dyDescent="0.25">
      <c r="A121">
        <v>490</v>
      </c>
      <c r="B121">
        <v>34</v>
      </c>
      <c r="C121" t="s">
        <v>9</v>
      </c>
      <c r="D121" t="s">
        <v>15</v>
      </c>
      <c r="E121">
        <v>970</v>
      </c>
      <c r="F121" t="s">
        <v>119</v>
      </c>
      <c r="G121">
        <v>8</v>
      </c>
      <c r="H121">
        <v>2</v>
      </c>
      <c r="I121" t="s">
        <v>17</v>
      </c>
      <c r="J121">
        <v>1</v>
      </c>
      <c r="K121">
        <v>757</v>
      </c>
      <c r="L121">
        <v>2</v>
      </c>
      <c r="M121" t="s">
        <v>24</v>
      </c>
      <c r="N121">
        <v>96</v>
      </c>
      <c r="O121">
        <v>3</v>
      </c>
      <c r="P121">
        <v>2</v>
      </c>
      <c r="Q121" t="s">
        <v>34</v>
      </c>
      <c r="R121">
        <v>3</v>
      </c>
      <c r="S121" t="s">
        <v>27</v>
      </c>
      <c r="T121">
        <v>6142</v>
      </c>
      <c r="U121">
        <v>7360</v>
      </c>
      <c r="V121">
        <v>3</v>
      </c>
      <c r="W121" t="s">
        <v>29</v>
      </c>
      <c r="X121" t="s">
        <v>9</v>
      </c>
      <c r="Y121">
        <v>11</v>
      </c>
      <c r="Z121">
        <v>3</v>
      </c>
      <c r="AA121">
        <v>4</v>
      </c>
      <c r="AB121">
        <v>80</v>
      </c>
      <c r="AC121">
        <v>0</v>
      </c>
      <c r="AD121">
        <v>10</v>
      </c>
      <c r="AE121">
        <v>2</v>
      </c>
      <c r="AF121">
        <v>3</v>
      </c>
      <c r="AG121">
        <v>5</v>
      </c>
      <c r="AH121">
        <v>1</v>
      </c>
      <c r="AI121">
        <v>4</v>
      </c>
      <c r="AJ121">
        <v>3</v>
      </c>
    </row>
    <row r="122" spans="1:36" s="15" customFormat="1" x14ac:dyDescent="0.25">
      <c r="A122" s="15">
        <v>486</v>
      </c>
      <c r="B122" s="15">
        <v>41</v>
      </c>
      <c r="C122" s="15" t="s">
        <v>10</v>
      </c>
      <c r="D122" s="15" t="s">
        <v>15</v>
      </c>
      <c r="E122" s="15">
        <v>1102</v>
      </c>
      <c r="F122" s="15" t="s">
        <v>118</v>
      </c>
      <c r="G122" s="15">
        <v>1</v>
      </c>
      <c r="H122" s="15">
        <v>2</v>
      </c>
      <c r="I122" s="15" t="s">
        <v>21</v>
      </c>
      <c r="J122" s="15">
        <v>1</v>
      </c>
      <c r="K122" s="15">
        <v>1</v>
      </c>
      <c r="L122" s="15">
        <v>2</v>
      </c>
      <c r="M122" s="15" t="s">
        <v>24</v>
      </c>
      <c r="N122" s="15">
        <v>94</v>
      </c>
      <c r="O122" s="15">
        <v>3</v>
      </c>
      <c r="P122" s="15">
        <v>2</v>
      </c>
      <c r="Q122" s="15" t="s">
        <v>25</v>
      </c>
      <c r="R122" s="15">
        <v>4</v>
      </c>
      <c r="S122" s="15" t="s">
        <v>27</v>
      </c>
      <c r="T122" s="15">
        <v>5993</v>
      </c>
      <c r="U122" s="15">
        <v>19479</v>
      </c>
      <c r="V122" s="15">
        <v>8</v>
      </c>
      <c r="W122" s="15" t="s">
        <v>29</v>
      </c>
      <c r="X122" s="15" t="s">
        <v>10</v>
      </c>
      <c r="Y122" s="15">
        <v>11</v>
      </c>
      <c r="Z122" s="15">
        <v>3</v>
      </c>
      <c r="AA122" s="15">
        <v>1</v>
      </c>
      <c r="AB122" s="15">
        <v>80</v>
      </c>
      <c r="AC122" s="15">
        <v>0</v>
      </c>
      <c r="AD122" s="15">
        <v>8</v>
      </c>
      <c r="AE122" s="15">
        <v>0</v>
      </c>
      <c r="AF122" s="15">
        <v>1</v>
      </c>
      <c r="AG122" s="15">
        <v>6</v>
      </c>
      <c r="AH122" s="15">
        <v>4</v>
      </c>
      <c r="AI122" s="15">
        <v>0</v>
      </c>
      <c r="AJ122" s="15">
        <v>5</v>
      </c>
    </row>
    <row r="123" spans="1:36" s="15" customFormat="1" x14ac:dyDescent="0.25">
      <c r="A123">
        <v>403</v>
      </c>
      <c r="B123">
        <v>47</v>
      </c>
      <c r="C123" t="s">
        <v>9</v>
      </c>
      <c r="D123" t="s">
        <v>15</v>
      </c>
      <c r="E123">
        <v>207</v>
      </c>
      <c r="F123" t="s">
        <v>119</v>
      </c>
      <c r="G123">
        <v>9</v>
      </c>
      <c r="H123">
        <v>4</v>
      </c>
      <c r="I123" t="s">
        <v>21</v>
      </c>
      <c r="J123">
        <v>1</v>
      </c>
      <c r="K123">
        <v>1856</v>
      </c>
      <c r="L123">
        <v>2</v>
      </c>
      <c r="M123" t="s">
        <v>24</v>
      </c>
      <c r="N123">
        <v>64</v>
      </c>
      <c r="O123">
        <v>3</v>
      </c>
      <c r="P123">
        <v>1</v>
      </c>
      <c r="Q123" t="s">
        <v>36</v>
      </c>
      <c r="R123">
        <v>3</v>
      </c>
      <c r="S123" t="s">
        <v>27</v>
      </c>
      <c r="T123">
        <v>2105</v>
      </c>
      <c r="U123">
        <v>5411</v>
      </c>
      <c r="V123">
        <v>4</v>
      </c>
      <c r="W123" t="s">
        <v>29</v>
      </c>
      <c r="X123" t="s">
        <v>9</v>
      </c>
      <c r="Y123">
        <v>12</v>
      </c>
      <c r="Z123">
        <v>3</v>
      </c>
      <c r="AA123">
        <v>3</v>
      </c>
      <c r="AB123">
        <v>80</v>
      </c>
      <c r="AC123">
        <v>0</v>
      </c>
      <c r="AD123">
        <v>7</v>
      </c>
      <c r="AE123">
        <v>2</v>
      </c>
      <c r="AF123">
        <v>3</v>
      </c>
      <c r="AG123">
        <v>2</v>
      </c>
      <c r="AH123">
        <v>2</v>
      </c>
      <c r="AI123">
        <v>2</v>
      </c>
      <c r="AJ123">
        <v>0</v>
      </c>
    </row>
    <row r="124" spans="1:36" s="15" customFormat="1" x14ac:dyDescent="0.25">
      <c r="A124" s="15">
        <v>201</v>
      </c>
      <c r="B124" s="15">
        <v>40</v>
      </c>
      <c r="C124" s="15" t="s">
        <v>10</v>
      </c>
      <c r="D124" s="15" t="s">
        <v>16</v>
      </c>
      <c r="E124" s="15">
        <v>1479</v>
      </c>
      <c r="F124" s="15" t="s">
        <v>118</v>
      </c>
      <c r="G124" s="15">
        <v>24</v>
      </c>
      <c r="H124" s="15">
        <v>3</v>
      </c>
      <c r="I124" s="15" t="s">
        <v>21</v>
      </c>
      <c r="J124" s="15">
        <v>1</v>
      </c>
      <c r="K124" s="15">
        <v>986</v>
      </c>
      <c r="L124" s="15">
        <v>2</v>
      </c>
      <c r="M124" s="15" t="s">
        <v>24</v>
      </c>
      <c r="N124" s="15">
        <v>100</v>
      </c>
      <c r="O124" s="15">
        <v>4</v>
      </c>
      <c r="P124" s="15">
        <v>4</v>
      </c>
      <c r="Q124" s="15" t="s">
        <v>25</v>
      </c>
      <c r="R124" s="15">
        <v>2</v>
      </c>
      <c r="S124" s="15" t="s">
        <v>27</v>
      </c>
      <c r="T124" s="15">
        <v>13194</v>
      </c>
      <c r="U124" s="15">
        <v>17071</v>
      </c>
      <c r="V124" s="15">
        <v>4</v>
      </c>
      <c r="W124" s="15" t="s">
        <v>29</v>
      </c>
      <c r="X124" s="15" t="s">
        <v>10</v>
      </c>
      <c r="Y124" s="15">
        <v>16</v>
      </c>
      <c r="Z124" s="15">
        <v>3</v>
      </c>
      <c r="AA124" s="15">
        <v>4</v>
      </c>
      <c r="AB124" s="15">
        <v>80</v>
      </c>
      <c r="AC124" s="15">
        <v>0</v>
      </c>
      <c r="AD124" s="15">
        <v>22</v>
      </c>
      <c r="AE124" s="15">
        <v>2</v>
      </c>
      <c r="AF124" s="15">
        <v>2</v>
      </c>
      <c r="AG124" s="15">
        <v>1</v>
      </c>
      <c r="AH124" s="15">
        <v>0</v>
      </c>
      <c r="AI124" s="15">
        <v>0</v>
      </c>
      <c r="AJ124" s="15">
        <v>0</v>
      </c>
    </row>
    <row r="125" spans="1:36" s="15" customFormat="1" x14ac:dyDescent="0.25">
      <c r="A125">
        <v>847</v>
      </c>
      <c r="B125">
        <v>19</v>
      </c>
      <c r="C125" t="s">
        <v>9</v>
      </c>
      <c r="D125" t="s">
        <v>15</v>
      </c>
      <c r="E125">
        <v>1181</v>
      </c>
      <c r="F125" t="s">
        <v>119</v>
      </c>
      <c r="G125">
        <v>3</v>
      </c>
      <c r="H125">
        <v>1</v>
      </c>
      <c r="I125" t="s">
        <v>17</v>
      </c>
      <c r="J125">
        <v>1</v>
      </c>
      <c r="K125">
        <v>201</v>
      </c>
      <c r="L125">
        <v>2</v>
      </c>
      <c r="M125" t="s">
        <v>24</v>
      </c>
      <c r="N125">
        <v>79</v>
      </c>
      <c r="O125">
        <v>3</v>
      </c>
      <c r="P125">
        <v>1</v>
      </c>
      <c r="Q125" t="s">
        <v>36</v>
      </c>
      <c r="R125">
        <v>2</v>
      </c>
      <c r="S125" t="s">
        <v>27</v>
      </c>
      <c r="T125">
        <v>1483</v>
      </c>
      <c r="U125">
        <v>16102</v>
      </c>
      <c r="V125">
        <v>1</v>
      </c>
      <c r="W125" t="s">
        <v>29</v>
      </c>
      <c r="X125" t="s">
        <v>9</v>
      </c>
      <c r="Y125">
        <v>14</v>
      </c>
      <c r="Z125">
        <v>3</v>
      </c>
      <c r="AA125">
        <v>4</v>
      </c>
      <c r="AB125">
        <v>80</v>
      </c>
      <c r="AC125">
        <v>0</v>
      </c>
      <c r="AD125">
        <v>1</v>
      </c>
      <c r="AE125">
        <v>3</v>
      </c>
      <c r="AF125">
        <v>3</v>
      </c>
      <c r="AG125">
        <v>1</v>
      </c>
      <c r="AH125">
        <v>0</v>
      </c>
      <c r="AI125">
        <v>0</v>
      </c>
      <c r="AJ125">
        <v>0</v>
      </c>
    </row>
    <row r="126" spans="1:36" s="15" customFormat="1" x14ac:dyDescent="0.25">
      <c r="A126">
        <v>861</v>
      </c>
      <c r="B126">
        <v>51</v>
      </c>
      <c r="C126" t="s">
        <v>9</v>
      </c>
      <c r="D126" t="s">
        <v>11</v>
      </c>
      <c r="E126">
        <v>968</v>
      </c>
      <c r="F126" t="s">
        <v>119</v>
      </c>
      <c r="G126">
        <v>6</v>
      </c>
      <c r="H126">
        <v>2</v>
      </c>
      <c r="I126" t="s">
        <v>17</v>
      </c>
      <c r="J126">
        <v>1</v>
      </c>
      <c r="K126">
        <v>1297</v>
      </c>
      <c r="L126">
        <v>2</v>
      </c>
      <c r="M126" t="s">
        <v>24</v>
      </c>
      <c r="N126">
        <v>40</v>
      </c>
      <c r="O126">
        <v>2</v>
      </c>
      <c r="P126">
        <v>1</v>
      </c>
      <c r="Q126" t="s">
        <v>36</v>
      </c>
      <c r="R126">
        <v>3</v>
      </c>
      <c r="S126" t="s">
        <v>27</v>
      </c>
      <c r="T126">
        <v>2838</v>
      </c>
      <c r="U126">
        <v>4257</v>
      </c>
      <c r="V126">
        <v>0</v>
      </c>
      <c r="W126" t="s">
        <v>29</v>
      </c>
      <c r="X126" t="s">
        <v>9</v>
      </c>
      <c r="Y126">
        <v>14</v>
      </c>
      <c r="Z126">
        <v>3</v>
      </c>
      <c r="AA126">
        <v>2</v>
      </c>
      <c r="AB126">
        <v>80</v>
      </c>
      <c r="AC126">
        <v>0</v>
      </c>
      <c r="AD126">
        <v>8</v>
      </c>
      <c r="AE126">
        <v>6</v>
      </c>
      <c r="AF126">
        <v>2</v>
      </c>
      <c r="AG126">
        <v>7</v>
      </c>
      <c r="AH126">
        <v>0</v>
      </c>
      <c r="AI126">
        <v>7</v>
      </c>
      <c r="AJ126">
        <v>7</v>
      </c>
    </row>
    <row r="127" spans="1:36" s="15" customFormat="1" x14ac:dyDescent="0.25">
      <c r="A127">
        <v>870</v>
      </c>
      <c r="B127">
        <v>35</v>
      </c>
      <c r="C127" t="s">
        <v>9</v>
      </c>
      <c r="D127" t="s">
        <v>11</v>
      </c>
      <c r="E127">
        <v>138</v>
      </c>
      <c r="F127" t="s">
        <v>119</v>
      </c>
      <c r="G127">
        <v>2</v>
      </c>
      <c r="H127">
        <v>3</v>
      </c>
      <c r="I127" t="s">
        <v>17</v>
      </c>
      <c r="J127">
        <v>1</v>
      </c>
      <c r="K127">
        <v>269</v>
      </c>
      <c r="L127">
        <v>2</v>
      </c>
      <c r="M127" t="s">
        <v>24</v>
      </c>
      <c r="N127">
        <v>37</v>
      </c>
      <c r="O127">
        <v>3</v>
      </c>
      <c r="P127">
        <v>2</v>
      </c>
      <c r="Q127" t="s">
        <v>36</v>
      </c>
      <c r="R127">
        <v>2</v>
      </c>
      <c r="S127" t="s">
        <v>27</v>
      </c>
      <c r="T127">
        <v>4425</v>
      </c>
      <c r="U127">
        <v>15986</v>
      </c>
      <c r="V127">
        <v>5</v>
      </c>
      <c r="W127" t="s">
        <v>29</v>
      </c>
      <c r="X127" t="s">
        <v>9</v>
      </c>
      <c r="Y127">
        <v>11</v>
      </c>
      <c r="Z127">
        <v>3</v>
      </c>
      <c r="AA127">
        <v>4</v>
      </c>
      <c r="AB127">
        <v>80</v>
      </c>
      <c r="AC127">
        <v>0</v>
      </c>
      <c r="AD127">
        <v>10</v>
      </c>
      <c r="AE127">
        <v>5</v>
      </c>
      <c r="AF127">
        <v>3</v>
      </c>
      <c r="AG127">
        <v>6</v>
      </c>
      <c r="AH127">
        <v>2</v>
      </c>
      <c r="AI127">
        <v>1</v>
      </c>
      <c r="AJ127">
        <v>2</v>
      </c>
    </row>
    <row r="128" spans="1:36" s="15" customFormat="1" x14ac:dyDescent="0.25">
      <c r="A128" s="15">
        <v>781</v>
      </c>
      <c r="B128" s="15">
        <v>41</v>
      </c>
      <c r="C128" s="15" t="s">
        <v>10</v>
      </c>
      <c r="D128" s="15" t="s">
        <v>15</v>
      </c>
      <c r="E128" s="15">
        <v>1356</v>
      </c>
      <c r="F128" s="15" t="s">
        <v>118</v>
      </c>
      <c r="G128" s="15">
        <v>20</v>
      </c>
      <c r="H128" s="15">
        <v>2</v>
      </c>
      <c r="I128" s="15" t="s">
        <v>18</v>
      </c>
      <c r="J128" s="15">
        <v>1</v>
      </c>
      <c r="K128" s="15">
        <v>248</v>
      </c>
      <c r="L128" s="15">
        <v>2</v>
      </c>
      <c r="M128" s="15" t="s">
        <v>24</v>
      </c>
      <c r="N128" s="15">
        <v>70</v>
      </c>
      <c r="O128" s="15">
        <v>3</v>
      </c>
      <c r="P128" s="15">
        <v>1</v>
      </c>
      <c r="Q128" s="15" t="s">
        <v>33</v>
      </c>
      <c r="R128" s="15">
        <v>2</v>
      </c>
      <c r="S128" s="15" t="s">
        <v>27</v>
      </c>
      <c r="T128" s="15">
        <v>3140</v>
      </c>
      <c r="U128" s="15">
        <v>21728</v>
      </c>
      <c r="V128" s="15">
        <v>1</v>
      </c>
      <c r="W128" s="15" t="s">
        <v>29</v>
      </c>
      <c r="X128" s="15" t="s">
        <v>10</v>
      </c>
      <c r="Y128" s="15">
        <v>22</v>
      </c>
      <c r="Z128" s="15">
        <v>4</v>
      </c>
      <c r="AA128" s="15">
        <v>4</v>
      </c>
      <c r="AB128" s="15">
        <v>80</v>
      </c>
      <c r="AC128" s="15">
        <v>0</v>
      </c>
      <c r="AD128" s="15">
        <v>4</v>
      </c>
      <c r="AE128" s="15">
        <v>5</v>
      </c>
      <c r="AF128" s="15">
        <v>2</v>
      </c>
      <c r="AG128" s="15">
        <v>4</v>
      </c>
      <c r="AH128" s="15">
        <v>3</v>
      </c>
      <c r="AI128" s="15">
        <v>0</v>
      </c>
      <c r="AJ128" s="15">
        <v>2</v>
      </c>
    </row>
    <row r="129" spans="1:36" s="15" customFormat="1" x14ac:dyDescent="0.25">
      <c r="A129">
        <v>90</v>
      </c>
      <c r="B129">
        <v>46</v>
      </c>
      <c r="C129" t="s">
        <v>9</v>
      </c>
      <c r="D129" t="s">
        <v>15</v>
      </c>
      <c r="E129">
        <v>705</v>
      </c>
      <c r="F129" t="s">
        <v>118</v>
      </c>
      <c r="G129">
        <v>2</v>
      </c>
      <c r="H129">
        <v>4</v>
      </c>
      <c r="I129" t="s">
        <v>18</v>
      </c>
      <c r="J129">
        <v>1</v>
      </c>
      <c r="K129">
        <v>38</v>
      </c>
      <c r="L129">
        <v>2</v>
      </c>
      <c r="M129" t="s">
        <v>24</v>
      </c>
      <c r="N129">
        <v>83</v>
      </c>
      <c r="O129">
        <v>3</v>
      </c>
      <c r="P129">
        <v>5</v>
      </c>
      <c r="Q129" t="s">
        <v>35</v>
      </c>
      <c r="R129">
        <v>1</v>
      </c>
      <c r="S129" t="s">
        <v>27</v>
      </c>
      <c r="T129">
        <v>18947</v>
      </c>
      <c r="U129">
        <v>22822</v>
      </c>
      <c r="V129">
        <v>3</v>
      </c>
      <c r="W129" t="s">
        <v>29</v>
      </c>
      <c r="X129" t="s">
        <v>9</v>
      </c>
      <c r="Y129">
        <v>12</v>
      </c>
      <c r="Z129">
        <v>3</v>
      </c>
      <c r="AA129">
        <v>4</v>
      </c>
      <c r="AB129">
        <v>80</v>
      </c>
      <c r="AC129">
        <v>0</v>
      </c>
      <c r="AD129">
        <v>22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1</v>
      </c>
    </row>
    <row r="130" spans="1:36" s="15" customFormat="1" x14ac:dyDescent="0.25">
      <c r="A130">
        <v>242</v>
      </c>
      <c r="B130">
        <v>45</v>
      </c>
      <c r="C130" t="s">
        <v>9</v>
      </c>
      <c r="D130" t="s">
        <v>11</v>
      </c>
      <c r="E130">
        <v>364</v>
      </c>
      <c r="F130" t="s">
        <v>119</v>
      </c>
      <c r="G130">
        <v>25</v>
      </c>
      <c r="H130">
        <v>3</v>
      </c>
      <c r="I130" t="s">
        <v>17</v>
      </c>
      <c r="J130">
        <v>1</v>
      </c>
      <c r="K130">
        <v>1306</v>
      </c>
      <c r="L130">
        <v>2</v>
      </c>
      <c r="M130" t="s">
        <v>24</v>
      </c>
      <c r="N130">
        <v>83</v>
      </c>
      <c r="O130">
        <v>3</v>
      </c>
      <c r="P130">
        <v>5</v>
      </c>
      <c r="Q130" t="s">
        <v>35</v>
      </c>
      <c r="R130">
        <v>2</v>
      </c>
      <c r="S130" t="s">
        <v>27</v>
      </c>
      <c r="T130">
        <v>18061</v>
      </c>
      <c r="U130">
        <v>13035</v>
      </c>
      <c r="V130">
        <v>3</v>
      </c>
      <c r="W130" t="s">
        <v>29</v>
      </c>
      <c r="X130" t="s">
        <v>9</v>
      </c>
      <c r="Y130">
        <v>22</v>
      </c>
      <c r="Z130">
        <v>4</v>
      </c>
      <c r="AA130">
        <v>3</v>
      </c>
      <c r="AB130">
        <v>80</v>
      </c>
      <c r="AC130">
        <v>0</v>
      </c>
      <c r="AD130">
        <v>22</v>
      </c>
      <c r="AE130">
        <v>4</v>
      </c>
      <c r="AF130">
        <v>3</v>
      </c>
      <c r="AG130">
        <v>0</v>
      </c>
      <c r="AH130">
        <v>0</v>
      </c>
      <c r="AI130">
        <v>0</v>
      </c>
      <c r="AJ130">
        <v>0</v>
      </c>
    </row>
    <row r="131" spans="1:36" s="15" customFormat="1" x14ac:dyDescent="0.25">
      <c r="A131">
        <v>184</v>
      </c>
      <c r="B131">
        <v>39</v>
      </c>
      <c r="C131" t="s">
        <v>9</v>
      </c>
      <c r="D131" t="s">
        <v>15</v>
      </c>
      <c r="E131">
        <v>1089</v>
      </c>
      <c r="F131" t="s">
        <v>119</v>
      </c>
      <c r="G131">
        <v>6</v>
      </c>
      <c r="H131">
        <v>3</v>
      </c>
      <c r="I131" t="s">
        <v>21</v>
      </c>
      <c r="J131">
        <v>1</v>
      </c>
      <c r="K131">
        <v>1525</v>
      </c>
      <c r="L131">
        <v>2</v>
      </c>
      <c r="M131" t="s">
        <v>24</v>
      </c>
      <c r="N131">
        <v>32</v>
      </c>
      <c r="O131">
        <v>3</v>
      </c>
      <c r="P131">
        <v>3</v>
      </c>
      <c r="Q131" t="s">
        <v>31</v>
      </c>
      <c r="R131">
        <v>2</v>
      </c>
      <c r="S131" t="s">
        <v>27</v>
      </c>
      <c r="T131">
        <v>8376</v>
      </c>
      <c r="U131">
        <v>9150</v>
      </c>
      <c r="V131">
        <v>4</v>
      </c>
      <c r="W131" t="s">
        <v>29</v>
      </c>
      <c r="X131" t="s">
        <v>9</v>
      </c>
      <c r="Y131">
        <v>18</v>
      </c>
      <c r="Z131">
        <v>3</v>
      </c>
      <c r="AA131">
        <v>4</v>
      </c>
      <c r="AB131">
        <v>80</v>
      </c>
      <c r="AC131">
        <v>0</v>
      </c>
      <c r="AD131">
        <v>9</v>
      </c>
      <c r="AE131">
        <v>3</v>
      </c>
      <c r="AF131">
        <v>3</v>
      </c>
      <c r="AG131">
        <v>2</v>
      </c>
      <c r="AH131">
        <v>0</v>
      </c>
      <c r="AI131">
        <v>2</v>
      </c>
      <c r="AJ131">
        <v>2</v>
      </c>
    </row>
    <row r="132" spans="1:36" s="15" customFormat="1" x14ac:dyDescent="0.25">
      <c r="A132">
        <v>312</v>
      </c>
      <c r="B132">
        <v>40</v>
      </c>
      <c r="C132" t="s">
        <v>9</v>
      </c>
      <c r="D132" t="s">
        <v>15</v>
      </c>
      <c r="E132">
        <v>302</v>
      </c>
      <c r="F132" t="s">
        <v>119</v>
      </c>
      <c r="G132">
        <v>6</v>
      </c>
      <c r="H132">
        <v>3</v>
      </c>
      <c r="I132" t="s">
        <v>21</v>
      </c>
      <c r="J132">
        <v>1</v>
      </c>
      <c r="K132">
        <v>601</v>
      </c>
      <c r="L132">
        <v>2</v>
      </c>
      <c r="M132" t="s">
        <v>24</v>
      </c>
      <c r="N132">
        <v>75</v>
      </c>
      <c r="O132">
        <v>3</v>
      </c>
      <c r="P132">
        <v>4</v>
      </c>
      <c r="Q132" t="s">
        <v>31</v>
      </c>
      <c r="R132">
        <v>3</v>
      </c>
      <c r="S132" t="s">
        <v>27</v>
      </c>
      <c r="T132">
        <v>13237</v>
      </c>
      <c r="U132">
        <v>20364</v>
      </c>
      <c r="V132">
        <v>7</v>
      </c>
      <c r="W132" t="s">
        <v>29</v>
      </c>
      <c r="X132" t="s">
        <v>9</v>
      </c>
      <c r="Y132">
        <v>15</v>
      </c>
      <c r="Z132">
        <v>3</v>
      </c>
      <c r="AA132">
        <v>3</v>
      </c>
      <c r="AB132">
        <v>80</v>
      </c>
      <c r="AC132">
        <v>0</v>
      </c>
      <c r="AD132">
        <v>22</v>
      </c>
      <c r="AE132">
        <v>3</v>
      </c>
      <c r="AF132">
        <v>3</v>
      </c>
      <c r="AG132">
        <v>20</v>
      </c>
      <c r="AH132">
        <v>6</v>
      </c>
      <c r="AI132">
        <v>5</v>
      </c>
      <c r="AJ132">
        <v>13</v>
      </c>
    </row>
    <row r="133" spans="1:36" s="15" customFormat="1" x14ac:dyDescent="0.25">
      <c r="A133">
        <v>653</v>
      </c>
      <c r="B133">
        <v>40</v>
      </c>
      <c r="C133" t="s">
        <v>9</v>
      </c>
      <c r="D133" t="s">
        <v>11</v>
      </c>
      <c r="E133">
        <v>593</v>
      </c>
      <c r="F133" t="s">
        <v>119</v>
      </c>
      <c r="G133">
        <v>9</v>
      </c>
      <c r="H133">
        <v>4</v>
      </c>
      <c r="I133" t="s">
        <v>17</v>
      </c>
      <c r="J133">
        <v>1</v>
      </c>
      <c r="K133">
        <v>1166</v>
      </c>
      <c r="L133">
        <v>2</v>
      </c>
      <c r="M133" t="s">
        <v>24</v>
      </c>
      <c r="N133">
        <v>88</v>
      </c>
      <c r="O133">
        <v>3</v>
      </c>
      <c r="P133">
        <v>3</v>
      </c>
      <c r="Q133" t="s">
        <v>30</v>
      </c>
      <c r="R133">
        <v>3</v>
      </c>
      <c r="S133" t="s">
        <v>27</v>
      </c>
      <c r="T133">
        <v>13499</v>
      </c>
      <c r="U133">
        <v>13782</v>
      </c>
      <c r="V133">
        <v>9</v>
      </c>
      <c r="W133" t="s">
        <v>29</v>
      </c>
      <c r="X133" t="s">
        <v>9</v>
      </c>
      <c r="Y133">
        <v>17</v>
      </c>
      <c r="Z133">
        <v>3</v>
      </c>
      <c r="AA133">
        <v>3</v>
      </c>
      <c r="AB133">
        <v>80</v>
      </c>
      <c r="AC133">
        <v>0</v>
      </c>
      <c r="AD133">
        <v>20</v>
      </c>
      <c r="AE133">
        <v>3</v>
      </c>
      <c r="AF133">
        <v>2</v>
      </c>
      <c r="AG133">
        <v>18</v>
      </c>
      <c r="AH133">
        <v>7</v>
      </c>
      <c r="AI133">
        <v>2</v>
      </c>
      <c r="AJ133">
        <v>13</v>
      </c>
    </row>
    <row r="134" spans="1:36" s="15" customFormat="1" x14ac:dyDescent="0.25">
      <c r="A134">
        <v>253</v>
      </c>
      <c r="B134">
        <v>45</v>
      </c>
      <c r="C134" t="s">
        <v>9</v>
      </c>
      <c r="D134" t="s">
        <v>15</v>
      </c>
      <c r="E134">
        <v>252</v>
      </c>
      <c r="F134" t="s">
        <v>119</v>
      </c>
      <c r="G134">
        <v>2</v>
      </c>
      <c r="H134">
        <v>3</v>
      </c>
      <c r="I134" t="s">
        <v>21</v>
      </c>
      <c r="J134">
        <v>1</v>
      </c>
      <c r="K134">
        <v>834</v>
      </c>
      <c r="L134">
        <v>2</v>
      </c>
      <c r="M134" t="s">
        <v>24</v>
      </c>
      <c r="N134">
        <v>95</v>
      </c>
      <c r="O134">
        <v>2</v>
      </c>
      <c r="P134">
        <v>1</v>
      </c>
      <c r="Q134" t="s">
        <v>32</v>
      </c>
      <c r="R134">
        <v>3</v>
      </c>
      <c r="S134" t="s">
        <v>27</v>
      </c>
      <c r="T134">
        <v>2274</v>
      </c>
      <c r="U134">
        <v>6153</v>
      </c>
      <c r="V134">
        <v>1</v>
      </c>
      <c r="W134" t="s">
        <v>29</v>
      </c>
      <c r="X134" t="s">
        <v>9</v>
      </c>
      <c r="Y134">
        <v>14</v>
      </c>
      <c r="Z134">
        <v>3</v>
      </c>
      <c r="AA134">
        <v>4</v>
      </c>
      <c r="AB134">
        <v>80</v>
      </c>
      <c r="AC134">
        <v>0</v>
      </c>
      <c r="AD134">
        <v>1</v>
      </c>
      <c r="AE134">
        <v>3</v>
      </c>
      <c r="AF134">
        <v>3</v>
      </c>
      <c r="AG134">
        <v>1</v>
      </c>
      <c r="AH134">
        <v>0</v>
      </c>
      <c r="AI134">
        <v>0</v>
      </c>
      <c r="AJ134">
        <v>0</v>
      </c>
    </row>
    <row r="135" spans="1:36" s="15" customFormat="1" x14ac:dyDescent="0.25">
      <c r="A135">
        <v>320</v>
      </c>
      <c r="B135">
        <v>19</v>
      </c>
      <c r="C135" t="s">
        <v>9</v>
      </c>
      <c r="D135" t="s">
        <v>15</v>
      </c>
      <c r="E135">
        <v>265</v>
      </c>
      <c r="F135" t="s">
        <v>119</v>
      </c>
      <c r="G135">
        <v>25</v>
      </c>
      <c r="H135">
        <v>3</v>
      </c>
      <c r="I135" t="s">
        <v>21</v>
      </c>
      <c r="J135">
        <v>1</v>
      </c>
      <c r="K135">
        <v>1269</v>
      </c>
      <c r="L135">
        <v>2</v>
      </c>
      <c r="M135" t="s">
        <v>24</v>
      </c>
      <c r="N135">
        <v>57</v>
      </c>
      <c r="O135">
        <v>4</v>
      </c>
      <c r="P135">
        <v>1</v>
      </c>
      <c r="Q135" t="s">
        <v>32</v>
      </c>
      <c r="R135">
        <v>4</v>
      </c>
      <c r="S135" t="s">
        <v>27</v>
      </c>
      <c r="T135">
        <v>2994</v>
      </c>
      <c r="U135">
        <v>21221</v>
      </c>
      <c r="V135">
        <v>1</v>
      </c>
      <c r="W135" t="s">
        <v>29</v>
      </c>
      <c r="X135" t="s">
        <v>10</v>
      </c>
      <c r="Y135">
        <v>12</v>
      </c>
      <c r="Z135">
        <v>3</v>
      </c>
      <c r="AA135">
        <v>4</v>
      </c>
      <c r="AB135">
        <v>80</v>
      </c>
      <c r="AC135">
        <v>0</v>
      </c>
      <c r="AD135">
        <v>1</v>
      </c>
      <c r="AE135">
        <v>2</v>
      </c>
      <c r="AF135">
        <v>3</v>
      </c>
      <c r="AG135">
        <v>1</v>
      </c>
      <c r="AH135">
        <v>0</v>
      </c>
      <c r="AI135">
        <v>0</v>
      </c>
      <c r="AJ135">
        <v>1</v>
      </c>
    </row>
    <row r="136" spans="1:36" s="15" customFormat="1" x14ac:dyDescent="0.25">
      <c r="A136">
        <v>326</v>
      </c>
      <c r="B136">
        <v>27</v>
      </c>
      <c r="C136" t="s">
        <v>9</v>
      </c>
      <c r="D136" t="s">
        <v>15</v>
      </c>
      <c r="E136">
        <v>618</v>
      </c>
      <c r="F136" t="s">
        <v>119</v>
      </c>
      <c r="G136">
        <v>4</v>
      </c>
      <c r="H136">
        <v>3</v>
      </c>
      <c r="I136" t="s">
        <v>21</v>
      </c>
      <c r="J136">
        <v>1</v>
      </c>
      <c r="K136">
        <v>933</v>
      </c>
      <c r="L136">
        <v>2</v>
      </c>
      <c r="M136" t="s">
        <v>24</v>
      </c>
      <c r="N136">
        <v>76</v>
      </c>
      <c r="O136">
        <v>3</v>
      </c>
      <c r="P136">
        <v>1</v>
      </c>
      <c r="Q136" t="s">
        <v>32</v>
      </c>
      <c r="R136">
        <v>3</v>
      </c>
      <c r="S136" t="s">
        <v>27</v>
      </c>
      <c r="T136">
        <v>2318</v>
      </c>
      <c r="U136">
        <v>17808</v>
      </c>
      <c r="V136">
        <v>1</v>
      </c>
      <c r="W136" t="s">
        <v>29</v>
      </c>
      <c r="X136" t="s">
        <v>9</v>
      </c>
      <c r="Y136">
        <v>19</v>
      </c>
      <c r="Z136">
        <v>3</v>
      </c>
      <c r="AA136">
        <v>3</v>
      </c>
      <c r="AB136">
        <v>80</v>
      </c>
      <c r="AC136">
        <v>0</v>
      </c>
      <c r="AD136">
        <v>1</v>
      </c>
      <c r="AE136">
        <v>2</v>
      </c>
      <c r="AF136">
        <v>3</v>
      </c>
      <c r="AG136">
        <v>1</v>
      </c>
      <c r="AH136">
        <v>1</v>
      </c>
      <c r="AI136">
        <v>0</v>
      </c>
      <c r="AJ136">
        <v>0</v>
      </c>
    </row>
    <row r="137" spans="1:36" s="15" customFormat="1" x14ac:dyDescent="0.25">
      <c r="A137">
        <v>623</v>
      </c>
      <c r="B137">
        <v>34</v>
      </c>
      <c r="C137" t="s">
        <v>9</v>
      </c>
      <c r="D137" t="s">
        <v>15</v>
      </c>
      <c r="E137">
        <v>182</v>
      </c>
      <c r="F137" t="s">
        <v>119</v>
      </c>
      <c r="G137">
        <v>1</v>
      </c>
      <c r="H137">
        <v>4</v>
      </c>
      <c r="I137" t="s">
        <v>21</v>
      </c>
      <c r="J137">
        <v>1</v>
      </c>
      <c r="K137">
        <v>797</v>
      </c>
      <c r="L137">
        <v>2</v>
      </c>
      <c r="M137" t="s">
        <v>24</v>
      </c>
      <c r="N137">
        <v>72</v>
      </c>
      <c r="O137">
        <v>4</v>
      </c>
      <c r="P137">
        <v>1</v>
      </c>
      <c r="Q137" t="s">
        <v>32</v>
      </c>
      <c r="R137">
        <v>4</v>
      </c>
      <c r="S137" t="s">
        <v>27</v>
      </c>
      <c r="T137">
        <v>3280</v>
      </c>
      <c r="U137">
        <v>13551</v>
      </c>
      <c r="V137">
        <v>2</v>
      </c>
      <c r="W137" t="s">
        <v>29</v>
      </c>
      <c r="X137" t="s">
        <v>9</v>
      </c>
      <c r="Y137">
        <v>16</v>
      </c>
      <c r="Z137">
        <v>3</v>
      </c>
      <c r="AA137">
        <v>3</v>
      </c>
      <c r="AB137">
        <v>80</v>
      </c>
      <c r="AC137">
        <v>0</v>
      </c>
      <c r="AD137">
        <v>10</v>
      </c>
      <c r="AE137">
        <v>2</v>
      </c>
      <c r="AF137">
        <v>3</v>
      </c>
      <c r="AG137">
        <v>4</v>
      </c>
      <c r="AH137">
        <v>2</v>
      </c>
      <c r="AI137">
        <v>1</v>
      </c>
      <c r="AJ137">
        <v>3</v>
      </c>
    </row>
    <row r="138" spans="1:36" s="15" customFormat="1" x14ac:dyDescent="0.25">
      <c r="A138">
        <v>64</v>
      </c>
      <c r="B138">
        <v>18</v>
      </c>
      <c r="C138" t="s">
        <v>9</v>
      </c>
      <c r="D138" t="s">
        <v>16</v>
      </c>
      <c r="E138">
        <v>1431</v>
      </c>
      <c r="F138" t="s">
        <v>119</v>
      </c>
      <c r="G138">
        <v>14</v>
      </c>
      <c r="H138">
        <v>3</v>
      </c>
      <c r="I138" t="s">
        <v>17</v>
      </c>
      <c r="J138">
        <v>1</v>
      </c>
      <c r="K138">
        <v>1839</v>
      </c>
      <c r="L138">
        <v>2</v>
      </c>
      <c r="M138" t="s">
        <v>24</v>
      </c>
      <c r="N138">
        <v>33</v>
      </c>
      <c r="O138">
        <v>3</v>
      </c>
      <c r="P138">
        <v>1</v>
      </c>
      <c r="Q138" t="s">
        <v>32</v>
      </c>
      <c r="R138">
        <v>3</v>
      </c>
      <c r="S138" t="s">
        <v>27</v>
      </c>
      <c r="T138">
        <v>1514</v>
      </c>
      <c r="U138">
        <v>8018</v>
      </c>
      <c r="V138">
        <v>1</v>
      </c>
      <c r="W138" t="s">
        <v>29</v>
      </c>
      <c r="X138" t="s">
        <v>9</v>
      </c>
      <c r="Y138">
        <v>16</v>
      </c>
      <c r="Z138">
        <v>3</v>
      </c>
      <c r="AA138">
        <v>3</v>
      </c>
      <c r="AB138">
        <v>80</v>
      </c>
      <c r="AC138">
        <v>0</v>
      </c>
      <c r="AD138">
        <v>0</v>
      </c>
      <c r="AE138">
        <v>4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 s="15" customFormat="1" x14ac:dyDescent="0.25">
      <c r="A139">
        <v>183</v>
      </c>
      <c r="B139">
        <v>43</v>
      </c>
      <c r="C139" t="s">
        <v>9</v>
      </c>
      <c r="D139" t="s">
        <v>11</v>
      </c>
      <c r="E139">
        <v>957</v>
      </c>
      <c r="F139" t="s">
        <v>119</v>
      </c>
      <c r="G139">
        <v>28</v>
      </c>
      <c r="H139">
        <v>3</v>
      </c>
      <c r="I139" t="s">
        <v>17</v>
      </c>
      <c r="J139">
        <v>1</v>
      </c>
      <c r="K139">
        <v>171</v>
      </c>
      <c r="L139">
        <v>2</v>
      </c>
      <c r="M139" t="s">
        <v>24</v>
      </c>
      <c r="N139">
        <v>72</v>
      </c>
      <c r="O139">
        <v>4</v>
      </c>
      <c r="P139">
        <v>1</v>
      </c>
      <c r="Q139" t="s">
        <v>32</v>
      </c>
      <c r="R139">
        <v>3</v>
      </c>
      <c r="S139" t="s">
        <v>27</v>
      </c>
      <c r="T139">
        <v>4739</v>
      </c>
      <c r="U139">
        <v>16090</v>
      </c>
      <c r="V139">
        <v>4</v>
      </c>
      <c r="W139" t="s">
        <v>29</v>
      </c>
      <c r="X139" t="s">
        <v>9</v>
      </c>
      <c r="Y139">
        <v>12</v>
      </c>
      <c r="Z139">
        <v>3</v>
      </c>
      <c r="AA139">
        <v>4</v>
      </c>
      <c r="AB139">
        <v>80</v>
      </c>
      <c r="AC139">
        <v>0</v>
      </c>
      <c r="AD139">
        <v>18</v>
      </c>
      <c r="AE139">
        <v>2</v>
      </c>
      <c r="AF139">
        <v>3</v>
      </c>
      <c r="AG139">
        <v>3</v>
      </c>
      <c r="AH139">
        <v>2</v>
      </c>
      <c r="AI139">
        <v>1</v>
      </c>
      <c r="AJ139">
        <v>2</v>
      </c>
    </row>
    <row r="140" spans="1:36" s="15" customFormat="1" x14ac:dyDescent="0.25">
      <c r="A140" s="15">
        <v>127</v>
      </c>
      <c r="B140" s="15">
        <v>32</v>
      </c>
      <c r="C140" s="15" t="s">
        <v>10</v>
      </c>
      <c r="D140" s="15" t="s">
        <v>11</v>
      </c>
      <c r="E140" s="15">
        <v>1125</v>
      </c>
      <c r="F140" s="15" t="s">
        <v>119</v>
      </c>
      <c r="G140" s="15">
        <v>16</v>
      </c>
      <c r="H140" s="15">
        <v>1</v>
      </c>
      <c r="I140" s="15" t="s">
        <v>21</v>
      </c>
      <c r="J140" s="15">
        <v>1</v>
      </c>
      <c r="K140" s="15">
        <v>33</v>
      </c>
      <c r="L140" s="15">
        <v>2</v>
      </c>
      <c r="M140" s="15" t="s">
        <v>24</v>
      </c>
      <c r="N140" s="15">
        <v>72</v>
      </c>
      <c r="O140" s="15">
        <v>1</v>
      </c>
      <c r="P140" s="15">
        <v>1</v>
      </c>
      <c r="Q140" s="15" t="s">
        <v>32</v>
      </c>
      <c r="R140" s="15">
        <v>1</v>
      </c>
      <c r="S140" s="15" t="s">
        <v>27</v>
      </c>
      <c r="T140" s="15">
        <v>3919</v>
      </c>
      <c r="U140" s="15">
        <v>4681</v>
      </c>
      <c r="V140" s="15">
        <v>1</v>
      </c>
      <c r="W140" s="15" t="s">
        <v>29</v>
      </c>
      <c r="X140" s="15" t="s">
        <v>10</v>
      </c>
      <c r="Y140" s="15">
        <v>22</v>
      </c>
      <c r="Z140" s="15">
        <v>4</v>
      </c>
      <c r="AA140" s="15">
        <v>2</v>
      </c>
      <c r="AB140" s="15">
        <v>80</v>
      </c>
      <c r="AC140" s="15">
        <v>0</v>
      </c>
      <c r="AD140" s="15">
        <v>10</v>
      </c>
      <c r="AE140" s="15">
        <v>5</v>
      </c>
      <c r="AF140" s="15">
        <v>3</v>
      </c>
      <c r="AG140" s="15">
        <v>10</v>
      </c>
      <c r="AH140" s="15">
        <v>2</v>
      </c>
      <c r="AI140" s="15">
        <v>6</v>
      </c>
      <c r="AJ140" s="15">
        <v>7</v>
      </c>
    </row>
    <row r="141" spans="1:36" s="15" customFormat="1" x14ac:dyDescent="0.25">
      <c r="A141">
        <v>532</v>
      </c>
      <c r="B141">
        <v>36</v>
      </c>
      <c r="C141" t="s">
        <v>9</v>
      </c>
      <c r="D141" t="s">
        <v>15</v>
      </c>
      <c r="E141">
        <v>884</v>
      </c>
      <c r="F141" t="s">
        <v>118</v>
      </c>
      <c r="G141">
        <v>1</v>
      </c>
      <c r="H141">
        <v>4</v>
      </c>
      <c r="I141" t="s">
        <v>21</v>
      </c>
      <c r="J141">
        <v>1</v>
      </c>
      <c r="K141">
        <v>1585</v>
      </c>
      <c r="L141">
        <v>2</v>
      </c>
      <c r="M141" t="s">
        <v>24</v>
      </c>
      <c r="N141">
        <v>73</v>
      </c>
      <c r="O141">
        <v>3</v>
      </c>
      <c r="P141">
        <v>2</v>
      </c>
      <c r="Q141" t="s">
        <v>25</v>
      </c>
      <c r="R141">
        <v>3</v>
      </c>
      <c r="S141" t="s">
        <v>27</v>
      </c>
      <c r="T141">
        <v>6815</v>
      </c>
      <c r="U141">
        <v>21447</v>
      </c>
      <c r="V141">
        <v>6</v>
      </c>
      <c r="W141" t="s">
        <v>29</v>
      </c>
      <c r="X141" t="s">
        <v>9</v>
      </c>
      <c r="Y141">
        <v>13</v>
      </c>
      <c r="Z141">
        <v>3</v>
      </c>
      <c r="AA141">
        <v>1</v>
      </c>
      <c r="AB141">
        <v>80</v>
      </c>
      <c r="AC141">
        <v>0</v>
      </c>
      <c r="AD141">
        <v>15</v>
      </c>
      <c r="AE141">
        <v>5</v>
      </c>
      <c r="AF141">
        <v>3</v>
      </c>
      <c r="AG141">
        <v>1</v>
      </c>
      <c r="AH141">
        <v>0</v>
      </c>
      <c r="AI141">
        <v>0</v>
      </c>
      <c r="AJ141">
        <v>0</v>
      </c>
    </row>
    <row r="142" spans="1:36" x14ac:dyDescent="0.25">
      <c r="A142">
        <v>179</v>
      </c>
      <c r="B142">
        <v>32</v>
      </c>
      <c r="C142" t="s">
        <v>9</v>
      </c>
      <c r="D142" t="s">
        <v>11</v>
      </c>
      <c r="E142">
        <v>967</v>
      </c>
      <c r="F142" t="s">
        <v>118</v>
      </c>
      <c r="G142">
        <v>8</v>
      </c>
      <c r="H142">
        <v>3</v>
      </c>
      <c r="I142" t="s">
        <v>18</v>
      </c>
      <c r="J142">
        <v>1</v>
      </c>
      <c r="K142">
        <v>207</v>
      </c>
      <c r="L142">
        <v>2</v>
      </c>
      <c r="M142" t="s">
        <v>24</v>
      </c>
      <c r="N142">
        <v>43</v>
      </c>
      <c r="O142">
        <v>3</v>
      </c>
      <c r="P142">
        <v>3</v>
      </c>
      <c r="Q142" t="s">
        <v>25</v>
      </c>
      <c r="R142">
        <v>4</v>
      </c>
      <c r="S142" t="s">
        <v>27</v>
      </c>
      <c r="T142">
        <v>8998</v>
      </c>
      <c r="U142">
        <v>15589</v>
      </c>
      <c r="V142">
        <v>1</v>
      </c>
      <c r="W142" t="s">
        <v>29</v>
      </c>
      <c r="X142" t="s">
        <v>9</v>
      </c>
      <c r="Y142">
        <v>14</v>
      </c>
      <c r="Z142">
        <v>3</v>
      </c>
      <c r="AA142">
        <v>4</v>
      </c>
      <c r="AB142">
        <v>80</v>
      </c>
      <c r="AC142">
        <v>0</v>
      </c>
      <c r="AD142">
        <v>9</v>
      </c>
      <c r="AE142">
        <v>2</v>
      </c>
      <c r="AF142">
        <v>3</v>
      </c>
      <c r="AG142">
        <v>9</v>
      </c>
      <c r="AH142">
        <v>8</v>
      </c>
      <c r="AI142">
        <v>3</v>
      </c>
      <c r="AJ142">
        <v>7</v>
      </c>
    </row>
    <row r="143" spans="1:36" x14ac:dyDescent="0.25">
      <c r="A143" s="15">
        <v>605</v>
      </c>
      <c r="B143" s="15">
        <v>29</v>
      </c>
      <c r="C143" s="15" t="s">
        <v>10</v>
      </c>
      <c r="D143" s="15" t="s">
        <v>15</v>
      </c>
      <c r="E143" s="15">
        <v>428</v>
      </c>
      <c r="F143" s="15" t="s">
        <v>118</v>
      </c>
      <c r="G143" s="15">
        <v>9</v>
      </c>
      <c r="H143" s="15">
        <v>3</v>
      </c>
      <c r="I143" s="15" t="s">
        <v>18</v>
      </c>
      <c r="J143" s="15">
        <v>1</v>
      </c>
      <c r="K143" s="15">
        <v>1752</v>
      </c>
      <c r="L143" s="15">
        <v>2</v>
      </c>
      <c r="M143" s="15" t="s">
        <v>24</v>
      </c>
      <c r="N143" s="15">
        <v>52</v>
      </c>
      <c r="O143" s="15">
        <v>1</v>
      </c>
      <c r="P143" s="15">
        <v>1</v>
      </c>
      <c r="Q143" s="15" t="s">
        <v>33</v>
      </c>
      <c r="R143" s="15">
        <v>2</v>
      </c>
      <c r="S143" s="15" t="s">
        <v>27</v>
      </c>
      <c r="T143" s="15">
        <v>2760</v>
      </c>
      <c r="U143" s="15">
        <v>14630</v>
      </c>
      <c r="V143" s="15">
        <v>1</v>
      </c>
      <c r="W143" s="15" t="s">
        <v>29</v>
      </c>
      <c r="X143" s="15" t="s">
        <v>9</v>
      </c>
      <c r="Y143" s="15">
        <v>13</v>
      </c>
      <c r="Z143" s="15">
        <v>3</v>
      </c>
      <c r="AA143" s="15">
        <v>3</v>
      </c>
      <c r="AB143" s="15">
        <v>80</v>
      </c>
      <c r="AC143" s="15">
        <v>0</v>
      </c>
      <c r="AD143" s="15">
        <v>2</v>
      </c>
      <c r="AE143" s="15">
        <v>3</v>
      </c>
      <c r="AF143" s="15">
        <v>3</v>
      </c>
      <c r="AG143" s="15">
        <v>2</v>
      </c>
      <c r="AH143" s="15">
        <v>2</v>
      </c>
      <c r="AI143" s="15">
        <v>2</v>
      </c>
      <c r="AJ143" s="15">
        <v>2</v>
      </c>
    </row>
    <row r="144" spans="1:36" x14ac:dyDescent="0.25">
      <c r="A144">
        <v>610</v>
      </c>
      <c r="B144">
        <v>33</v>
      </c>
      <c r="C144" t="s">
        <v>9</v>
      </c>
      <c r="D144" t="s">
        <v>16</v>
      </c>
      <c r="E144">
        <v>1038</v>
      </c>
      <c r="F144" t="s">
        <v>118</v>
      </c>
      <c r="G144">
        <v>8</v>
      </c>
      <c r="H144">
        <v>1</v>
      </c>
      <c r="I144" t="s">
        <v>21</v>
      </c>
      <c r="J144">
        <v>1</v>
      </c>
      <c r="K144">
        <v>1044</v>
      </c>
      <c r="L144">
        <v>2</v>
      </c>
      <c r="M144" t="s">
        <v>24</v>
      </c>
      <c r="N144">
        <v>88</v>
      </c>
      <c r="O144">
        <v>2</v>
      </c>
      <c r="P144">
        <v>1</v>
      </c>
      <c r="Q144" t="s">
        <v>33</v>
      </c>
      <c r="R144">
        <v>4</v>
      </c>
      <c r="S144" t="s">
        <v>27</v>
      </c>
      <c r="T144">
        <v>2342</v>
      </c>
      <c r="U144">
        <v>21437</v>
      </c>
      <c r="V144">
        <v>0</v>
      </c>
      <c r="W144" t="s">
        <v>29</v>
      </c>
      <c r="X144" t="s">
        <v>9</v>
      </c>
      <c r="Y144">
        <v>19</v>
      </c>
      <c r="Z144">
        <v>3</v>
      </c>
      <c r="AA144">
        <v>4</v>
      </c>
      <c r="AB144">
        <v>80</v>
      </c>
      <c r="AC144">
        <v>0</v>
      </c>
      <c r="AD144">
        <v>3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</row>
    <row r="145" spans="1:36" x14ac:dyDescent="0.25">
      <c r="A145" s="15">
        <v>699</v>
      </c>
      <c r="B145" s="15">
        <v>18</v>
      </c>
      <c r="C145" s="15" t="s">
        <v>10</v>
      </c>
      <c r="D145" s="15" t="s">
        <v>11</v>
      </c>
      <c r="E145" s="15">
        <v>544</v>
      </c>
      <c r="F145" s="15" t="s">
        <v>118</v>
      </c>
      <c r="G145" s="15">
        <v>3</v>
      </c>
      <c r="H145" s="15">
        <v>2</v>
      </c>
      <c r="I145" s="15" t="s">
        <v>17</v>
      </c>
      <c r="J145" s="15">
        <v>1</v>
      </c>
      <c r="K145" s="15">
        <v>1624</v>
      </c>
      <c r="L145" s="15">
        <v>2</v>
      </c>
      <c r="M145" s="15" t="s">
        <v>24</v>
      </c>
      <c r="N145" s="15">
        <v>70</v>
      </c>
      <c r="O145" s="15">
        <v>3</v>
      </c>
      <c r="P145" s="15">
        <v>1</v>
      </c>
      <c r="Q145" s="15" t="s">
        <v>33</v>
      </c>
      <c r="R145" s="15">
        <v>4</v>
      </c>
      <c r="S145" s="15" t="s">
        <v>27</v>
      </c>
      <c r="T145" s="15">
        <v>1569</v>
      </c>
      <c r="U145" s="15">
        <v>18420</v>
      </c>
      <c r="V145" s="15">
        <v>1</v>
      </c>
      <c r="W145" s="15" t="s">
        <v>29</v>
      </c>
      <c r="X145" s="15" t="s">
        <v>10</v>
      </c>
      <c r="Y145" s="15">
        <v>12</v>
      </c>
      <c r="Z145" s="15">
        <v>3</v>
      </c>
      <c r="AA145" s="15">
        <v>3</v>
      </c>
      <c r="AB145" s="15">
        <v>80</v>
      </c>
      <c r="AC145" s="15">
        <v>0</v>
      </c>
      <c r="AD145" s="15">
        <v>0</v>
      </c>
      <c r="AE145" s="15">
        <v>2</v>
      </c>
      <c r="AF145" s="15">
        <v>4</v>
      </c>
      <c r="AG145" s="15">
        <v>0</v>
      </c>
      <c r="AH145" s="15">
        <v>0</v>
      </c>
      <c r="AI145" s="15">
        <v>0</v>
      </c>
      <c r="AJ145" s="15">
        <v>0</v>
      </c>
    </row>
    <row r="146" spans="1:36" x14ac:dyDescent="0.25">
      <c r="A146">
        <v>283</v>
      </c>
      <c r="B146">
        <v>40</v>
      </c>
      <c r="C146" t="s">
        <v>9</v>
      </c>
      <c r="D146" t="s">
        <v>15</v>
      </c>
      <c r="E146">
        <v>1194</v>
      </c>
      <c r="F146" t="s">
        <v>119</v>
      </c>
      <c r="G146">
        <v>1</v>
      </c>
      <c r="H146">
        <v>3</v>
      </c>
      <c r="I146" t="s">
        <v>21</v>
      </c>
      <c r="J146">
        <v>1</v>
      </c>
      <c r="K146">
        <v>1822</v>
      </c>
      <c r="L146">
        <v>3</v>
      </c>
      <c r="M146" t="s">
        <v>24</v>
      </c>
      <c r="N146">
        <v>52</v>
      </c>
      <c r="O146">
        <v>3</v>
      </c>
      <c r="P146">
        <v>2</v>
      </c>
      <c r="Q146" t="s">
        <v>34</v>
      </c>
      <c r="R146">
        <v>4</v>
      </c>
      <c r="S146" t="s">
        <v>26</v>
      </c>
      <c r="T146">
        <v>6513</v>
      </c>
      <c r="U146">
        <v>9060</v>
      </c>
      <c r="V146">
        <v>4</v>
      </c>
      <c r="W146" t="s">
        <v>29</v>
      </c>
      <c r="X146" t="s">
        <v>9</v>
      </c>
      <c r="Y146">
        <v>17</v>
      </c>
      <c r="Z146">
        <v>3</v>
      </c>
      <c r="AA146">
        <v>4</v>
      </c>
      <c r="AB146">
        <v>80</v>
      </c>
      <c r="AC146">
        <v>1</v>
      </c>
      <c r="AD146">
        <v>12</v>
      </c>
      <c r="AE146">
        <v>3</v>
      </c>
      <c r="AF146">
        <v>3</v>
      </c>
      <c r="AG146">
        <v>5</v>
      </c>
      <c r="AH146">
        <v>3</v>
      </c>
      <c r="AI146">
        <v>0</v>
      </c>
      <c r="AJ146">
        <v>3</v>
      </c>
    </row>
    <row r="147" spans="1:36" x14ac:dyDescent="0.25">
      <c r="A147">
        <v>534</v>
      </c>
      <c r="B147">
        <v>32</v>
      </c>
      <c r="C147" t="s">
        <v>9</v>
      </c>
      <c r="D147" t="s">
        <v>16</v>
      </c>
      <c r="E147">
        <v>1146</v>
      </c>
      <c r="F147" t="s">
        <v>119</v>
      </c>
      <c r="G147">
        <v>15</v>
      </c>
      <c r="H147">
        <v>4</v>
      </c>
      <c r="I147" t="s">
        <v>17</v>
      </c>
      <c r="J147">
        <v>1</v>
      </c>
      <c r="K147">
        <v>1955</v>
      </c>
      <c r="L147">
        <v>3</v>
      </c>
      <c r="M147" t="s">
        <v>24</v>
      </c>
      <c r="N147">
        <v>34</v>
      </c>
      <c r="O147">
        <v>3</v>
      </c>
      <c r="P147">
        <v>2</v>
      </c>
      <c r="Q147" t="s">
        <v>34</v>
      </c>
      <c r="R147">
        <v>4</v>
      </c>
      <c r="S147" t="s">
        <v>26</v>
      </c>
      <c r="T147">
        <v>6667</v>
      </c>
      <c r="U147">
        <v>16542</v>
      </c>
      <c r="V147">
        <v>5</v>
      </c>
      <c r="W147" t="s">
        <v>29</v>
      </c>
      <c r="X147" t="s">
        <v>9</v>
      </c>
      <c r="Y147">
        <v>18</v>
      </c>
      <c r="Z147">
        <v>3</v>
      </c>
      <c r="AA147">
        <v>2</v>
      </c>
      <c r="AB147">
        <v>80</v>
      </c>
      <c r="AC147">
        <v>1</v>
      </c>
      <c r="AD147">
        <v>9</v>
      </c>
      <c r="AE147">
        <v>6</v>
      </c>
      <c r="AF147">
        <v>3</v>
      </c>
      <c r="AG147">
        <v>5</v>
      </c>
      <c r="AH147">
        <v>1</v>
      </c>
      <c r="AI147">
        <v>1</v>
      </c>
      <c r="AJ147">
        <v>2</v>
      </c>
    </row>
    <row r="148" spans="1:36" x14ac:dyDescent="0.25">
      <c r="A148">
        <v>794</v>
      </c>
      <c r="B148">
        <v>36</v>
      </c>
      <c r="C148" t="s">
        <v>9</v>
      </c>
      <c r="D148" t="s">
        <v>15</v>
      </c>
      <c r="E148">
        <v>1223</v>
      </c>
      <c r="F148" t="s">
        <v>119</v>
      </c>
      <c r="G148">
        <v>8</v>
      </c>
      <c r="H148">
        <v>3</v>
      </c>
      <c r="I148" t="s">
        <v>22</v>
      </c>
      <c r="J148">
        <v>1</v>
      </c>
      <c r="K148">
        <v>83</v>
      </c>
      <c r="L148">
        <v>3</v>
      </c>
      <c r="M148" t="s">
        <v>24</v>
      </c>
      <c r="N148">
        <v>59</v>
      </c>
      <c r="O148">
        <v>3</v>
      </c>
      <c r="P148">
        <v>3</v>
      </c>
      <c r="Q148" t="s">
        <v>34</v>
      </c>
      <c r="R148">
        <v>3</v>
      </c>
      <c r="S148" t="s">
        <v>26</v>
      </c>
      <c r="T148">
        <v>10096</v>
      </c>
      <c r="U148">
        <v>8202</v>
      </c>
      <c r="V148">
        <v>1</v>
      </c>
      <c r="W148" t="s">
        <v>29</v>
      </c>
      <c r="X148" t="s">
        <v>9</v>
      </c>
      <c r="Y148">
        <v>13</v>
      </c>
      <c r="Z148">
        <v>3</v>
      </c>
      <c r="AA148">
        <v>2</v>
      </c>
      <c r="AB148">
        <v>80</v>
      </c>
      <c r="AC148">
        <v>3</v>
      </c>
      <c r="AD148">
        <v>17</v>
      </c>
      <c r="AE148">
        <v>2</v>
      </c>
      <c r="AF148">
        <v>3</v>
      </c>
      <c r="AG148">
        <v>17</v>
      </c>
      <c r="AH148">
        <v>14</v>
      </c>
      <c r="AI148">
        <v>12</v>
      </c>
      <c r="AJ148">
        <v>8</v>
      </c>
    </row>
    <row r="149" spans="1:36" x14ac:dyDescent="0.25">
      <c r="A149">
        <v>444</v>
      </c>
      <c r="B149">
        <v>44</v>
      </c>
      <c r="C149" t="s">
        <v>9</v>
      </c>
      <c r="D149" t="s">
        <v>15</v>
      </c>
      <c r="E149">
        <v>528</v>
      </c>
      <c r="F149" t="s">
        <v>20</v>
      </c>
      <c r="G149">
        <v>1</v>
      </c>
      <c r="H149">
        <v>3</v>
      </c>
      <c r="I149" t="s">
        <v>21</v>
      </c>
      <c r="J149">
        <v>1</v>
      </c>
      <c r="K149">
        <v>1683</v>
      </c>
      <c r="L149">
        <v>3</v>
      </c>
      <c r="M149" t="s">
        <v>24</v>
      </c>
      <c r="N149">
        <v>44</v>
      </c>
      <c r="O149">
        <v>3</v>
      </c>
      <c r="P149">
        <v>1</v>
      </c>
      <c r="Q149" t="s">
        <v>20</v>
      </c>
      <c r="R149">
        <v>4</v>
      </c>
      <c r="S149" t="s">
        <v>26</v>
      </c>
      <c r="T149">
        <v>3195</v>
      </c>
      <c r="U149">
        <v>4167</v>
      </c>
      <c r="V149">
        <v>4</v>
      </c>
      <c r="W149" t="s">
        <v>29</v>
      </c>
      <c r="X149" t="s">
        <v>10</v>
      </c>
      <c r="Y149">
        <v>18</v>
      </c>
      <c r="Z149">
        <v>3</v>
      </c>
      <c r="AA149">
        <v>1</v>
      </c>
      <c r="AB149">
        <v>80</v>
      </c>
      <c r="AC149">
        <v>3</v>
      </c>
      <c r="AD149">
        <v>8</v>
      </c>
      <c r="AE149">
        <v>2</v>
      </c>
      <c r="AF149">
        <v>3</v>
      </c>
      <c r="AG149">
        <v>2</v>
      </c>
      <c r="AH149">
        <v>2</v>
      </c>
      <c r="AI149">
        <v>2</v>
      </c>
      <c r="AJ149">
        <v>2</v>
      </c>
    </row>
    <row r="150" spans="1:36" x14ac:dyDescent="0.25">
      <c r="A150">
        <v>135</v>
      </c>
      <c r="B150">
        <v>43</v>
      </c>
      <c r="C150" t="s">
        <v>9</v>
      </c>
      <c r="D150" t="s">
        <v>11</v>
      </c>
      <c r="E150">
        <v>559</v>
      </c>
      <c r="F150" t="s">
        <v>119</v>
      </c>
      <c r="G150">
        <v>10</v>
      </c>
      <c r="H150">
        <v>4</v>
      </c>
      <c r="I150" t="s">
        <v>21</v>
      </c>
      <c r="J150">
        <v>1</v>
      </c>
      <c r="K150">
        <v>448</v>
      </c>
      <c r="L150">
        <v>3</v>
      </c>
      <c r="M150" t="s">
        <v>24</v>
      </c>
      <c r="N150">
        <v>82</v>
      </c>
      <c r="O150">
        <v>2</v>
      </c>
      <c r="P150">
        <v>2</v>
      </c>
      <c r="Q150" t="s">
        <v>36</v>
      </c>
      <c r="R150">
        <v>3</v>
      </c>
      <c r="S150" t="s">
        <v>26</v>
      </c>
      <c r="T150">
        <v>5257</v>
      </c>
      <c r="U150">
        <v>6227</v>
      </c>
      <c r="V150">
        <v>1</v>
      </c>
      <c r="W150" t="s">
        <v>29</v>
      </c>
      <c r="X150" t="s">
        <v>9</v>
      </c>
      <c r="Y150">
        <v>11</v>
      </c>
      <c r="Z150">
        <v>3</v>
      </c>
      <c r="AA150">
        <v>2</v>
      </c>
      <c r="AB150">
        <v>80</v>
      </c>
      <c r="AC150">
        <v>1</v>
      </c>
      <c r="AD150">
        <v>9</v>
      </c>
      <c r="AE150">
        <v>3</v>
      </c>
      <c r="AF150">
        <v>4</v>
      </c>
      <c r="AG150">
        <v>9</v>
      </c>
      <c r="AH150">
        <v>7</v>
      </c>
      <c r="AI150">
        <v>0</v>
      </c>
      <c r="AJ150">
        <v>0</v>
      </c>
    </row>
    <row r="151" spans="1:36" x14ac:dyDescent="0.25">
      <c r="A151">
        <v>367</v>
      </c>
      <c r="B151">
        <v>34</v>
      </c>
      <c r="C151" t="s">
        <v>9</v>
      </c>
      <c r="D151" t="s">
        <v>11</v>
      </c>
      <c r="E151">
        <v>135</v>
      </c>
      <c r="F151" t="s">
        <v>119</v>
      </c>
      <c r="G151">
        <v>19</v>
      </c>
      <c r="H151">
        <v>3</v>
      </c>
      <c r="I151" t="s">
        <v>17</v>
      </c>
      <c r="J151">
        <v>1</v>
      </c>
      <c r="K151">
        <v>1285</v>
      </c>
      <c r="L151">
        <v>3</v>
      </c>
      <c r="M151" t="s">
        <v>24</v>
      </c>
      <c r="N151">
        <v>46</v>
      </c>
      <c r="O151">
        <v>3</v>
      </c>
      <c r="P151">
        <v>2</v>
      </c>
      <c r="Q151" t="s">
        <v>36</v>
      </c>
      <c r="R151">
        <v>2</v>
      </c>
      <c r="S151" t="s">
        <v>26</v>
      </c>
      <c r="T151">
        <v>4444</v>
      </c>
      <c r="U151">
        <v>22534</v>
      </c>
      <c r="V151">
        <v>4</v>
      </c>
      <c r="W151" t="s">
        <v>29</v>
      </c>
      <c r="X151" t="s">
        <v>9</v>
      </c>
      <c r="Y151">
        <v>13</v>
      </c>
      <c r="Z151">
        <v>3</v>
      </c>
      <c r="AA151">
        <v>3</v>
      </c>
      <c r="AB151">
        <v>80</v>
      </c>
      <c r="AC151">
        <v>2</v>
      </c>
      <c r="AD151">
        <v>15</v>
      </c>
      <c r="AE151">
        <v>2</v>
      </c>
      <c r="AF151">
        <v>4</v>
      </c>
      <c r="AG151">
        <v>11</v>
      </c>
      <c r="AH151">
        <v>8</v>
      </c>
      <c r="AI151">
        <v>5</v>
      </c>
      <c r="AJ151">
        <v>10</v>
      </c>
    </row>
    <row r="152" spans="1:36" x14ac:dyDescent="0.25">
      <c r="A152">
        <v>348</v>
      </c>
      <c r="B152">
        <v>26</v>
      </c>
      <c r="C152" t="s">
        <v>9</v>
      </c>
      <c r="D152" t="s">
        <v>11</v>
      </c>
      <c r="E152">
        <v>1479</v>
      </c>
      <c r="F152" t="s">
        <v>119</v>
      </c>
      <c r="G152">
        <v>1</v>
      </c>
      <c r="H152">
        <v>3</v>
      </c>
      <c r="I152" t="s">
        <v>21</v>
      </c>
      <c r="J152">
        <v>1</v>
      </c>
      <c r="K152">
        <v>384</v>
      </c>
      <c r="L152">
        <v>3</v>
      </c>
      <c r="M152" t="s">
        <v>24</v>
      </c>
      <c r="N152">
        <v>84</v>
      </c>
      <c r="O152">
        <v>3</v>
      </c>
      <c r="P152">
        <v>2</v>
      </c>
      <c r="Q152" t="s">
        <v>31</v>
      </c>
      <c r="R152">
        <v>2</v>
      </c>
      <c r="S152" t="s">
        <v>26</v>
      </c>
      <c r="T152">
        <v>6397</v>
      </c>
      <c r="U152">
        <v>26767</v>
      </c>
      <c r="V152">
        <v>1</v>
      </c>
      <c r="W152" t="s">
        <v>29</v>
      </c>
      <c r="X152" t="s">
        <v>9</v>
      </c>
      <c r="Y152">
        <v>20</v>
      </c>
      <c r="Z152">
        <v>4</v>
      </c>
      <c r="AA152">
        <v>1</v>
      </c>
      <c r="AB152">
        <v>80</v>
      </c>
      <c r="AC152">
        <v>1</v>
      </c>
      <c r="AD152">
        <v>6</v>
      </c>
      <c r="AE152">
        <v>6</v>
      </c>
      <c r="AF152">
        <v>1</v>
      </c>
      <c r="AG152">
        <v>6</v>
      </c>
      <c r="AH152">
        <v>5</v>
      </c>
      <c r="AI152">
        <v>1</v>
      </c>
      <c r="AJ152">
        <v>4</v>
      </c>
    </row>
    <row r="153" spans="1:36" x14ac:dyDescent="0.25">
      <c r="A153">
        <v>839</v>
      </c>
      <c r="B153">
        <v>47</v>
      </c>
      <c r="C153" t="s">
        <v>9</v>
      </c>
      <c r="D153" t="s">
        <v>15</v>
      </c>
      <c r="E153">
        <v>1001</v>
      </c>
      <c r="F153" t="s">
        <v>119</v>
      </c>
      <c r="G153">
        <v>4</v>
      </c>
      <c r="H153">
        <v>3</v>
      </c>
      <c r="I153" t="s">
        <v>21</v>
      </c>
      <c r="J153">
        <v>1</v>
      </c>
      <c r="K153">
        <v>1827</v>
      </c>
      <c r="L153">
        <v>3</v>
      </c>
      <c r="M153" t="s">
        <v>24</v>
      </c>
      <c r="N153">
        <v>92</v>
      </c>
      <c r="O153">
        <v>2</v>
      </c>
      <c r="P153">
        <v>3</v>
      </c>
      <c r="Q153" t="s">
        <v>31</v>
      </c>
      <c r="R153">
        <v>2</v>
      </c>
      <c r="S153" t="s">
        <v>26</v>
      </c>
      <c r="T153">
        <v>10333</v>
      </c>
      <c r="U153">
        <v>19271</v>
      </c>
      <c r="V153">
        <v>8</v>
      </c>
      <c r="W153" t="s">
        <v>29</v>
      </c>
      <c r="X153" t="s">
        <v>10</v>
      </c>
      <c r="Y153">
        <v>12</v>
      </c>
      <c r="Z153">
        <v>3</v>
      </c>
      <c r="AA153">
        <v>3</v>
      </c>
      <c r="AB153">
        <v>80</v>
      </c>
      <c r="AC153">
        <v>1</v>
      </c>
      <c r="AD153">
        <v>28</v>
      </c>
      <c r="AE153">
        <v>4</v>
      </c>
      <c r="AF153">
        <v>3</v>
      </c>
      <c r="AG153">
        <v>22</v>
      </c>
      <c r="AH153">
        <v>11</v>
      </c>
      <c r="AI153">
        <v>14</v>
      </c>
      <c r="AJ153">
        <v>10</v>
      </c>
    </row>
    <row r="154" spans="1:36" x14ac:dyDescent="0.25">
      <c r="A154">
        <v>193</v>
      </c>
      <c r="B154">
        <v>46</v>
      </c>
      <c r="C154" t="s">
        <v>9</v>
      </c>
      <c r="D154" t="s">
        <v>15</v>
      </c>
      <c r="E154">
        <v>1485</v>
      </c>
      <c r="F154" t="s">
        <v>119</v>
      </c>
      <c r="G154">
        <v>18</v>
      </c>
      <c r="H154">
        <v>3</v>
      </c>
      <c r="I154" t="s">
        <v>17</v>
      </c>
      <c r="J154">
        <v>1</v>
      </c>
      <c r="K154">
        <v>550</v>
      </c>
      <c r="L154">
        <v>3</v>
      </c>
      <c r="M154" t="s">
        <v>24</v>
      </c>
      <c r="N154">
        <v>87</v>
      </c>
      <c r="O154">
        <v>3</v>
      </c>
      <c r="P154">
        <v>2</v>
      </c>
      <c r="Q154" t="s">
        <v>31</v>
      </c>
      <c r="R154">
        <v>3</v>
      </c>
      <c r="S154" t="s">
        <v>26</v>
      </c>
      <c r="T154">
        <v>4810</v>
      </c>
      <c r="U154">
        <v>26314</v>
      </c>
      <c r="V154">
        <v>2</v>
      </c>
      <c r="W154" t="s">
        <v>29</v>
      </c>
      <c r="X154" t="s">
        <v>9</v>
      </c>
      <c r="Y154">
        <v>14</v>
      </c>
      <c r="Z154">
        <v>3</v>
      </c>
      <c r="AA154">
        <v>3</v>
      </c>
      <c r="AB154">
        <v>80</v>
      </c>
      <c r="AC154">
        <v>1</v>
      </c>
      <c r="AD154">
        <v>19</v>
      </c>
      <c r="AE154">
        <v>5</v>
      </c>
      <c r="AF154">
        <v>2</v>
      </c>
      <c r="AG154">
        <v>10</v>
      </c>
      <c r="AH154">
        <v>7</v>
      </c>
      <c r="AI154">
        <v>0</v>
      </c>
      <c r="AJ154">
        <v>8</v>
      </c>
    </row>
    <row r="155" spans="1:36" x14ac:dyDescent="0.25">
      <c r="A155">
        <v>402</v>
      </c>
      <c r="B155">
        <v>42</v>
      </c>
      <c r="C155" t="s">
        <v>9</v>
      </c>
      <c r="D155" t="s">
        <v>16</v>
      </c>
      <c r="E155">
        <v>926</v>
      </c>
      <c r="F155" t="s">
        <v>119</v>
      </c>
      <c r="G155">
        <v>21</v>
      </c>
      <c r="H155">
        <v>2</v>
      </c>
      <c r="I155" t="s">
        <v>17</v>
      </c>
      <c r="J155">
        <v>1</v>
      </c>
      <c r="K155">
        <v>270</v>
      </c>
      <c r="L155">
        <v>3</v>
      </c>
      <c r="M155" t="s">
        <v>24</v>
      </c>
      <c r="N155">
        <v>36</v>
      </c>
      <c r="O155">
        <v>3</v>
      </c>
      <c r="P155">
        <v>2</v>
      </c>
      <c r="Q155" t="s">
        <v>31</v>
      </c>
      <c r="R155">
        <v>3</v>
      </c>
      <c r="S155" t="s">
        <v>26</v>
      </c>
      <c r="T155">
        <v>5265</v>
      </c>
      <c r="U155">
        <v>16439</v>
      </c>
      <c r="V155">
        <v>2</v>
      </c>
      <c r="W155" t="s">
        <v>29</v>
      </c>
      <c r="X155" t="s">
        <v>9</v>
      </c>
      <c r="Y155">
        <v>16</v>
      </c>
      <c r="Z155">
        <v>3</v>
      </c>
      <c r="AA155">
        <v>2</v>
      </c>
      <c r="AB155">
        <v>80</v>
      </c>
      <c r="AC155">
        <v>1</v>
      </c>
      <c r="AD155">
        <v>11</v>
      </c>
      <c r="AE155">
        <v>5</v>
      </c>
      <c r="AF155">
        <v>3</v>
      </c>
      <c r="AG155">
        <v>5</v>
      </c>
      <c r="AH155">
        <v>3</v>
      </c>
      <c r="AI155">
        <v>0</v>
      </c>
      <c r="AJ155">
        <v>2</v>
      </c>
    </row>
    <row r="156" spans="1:36" x14ac:dyDescent="0.25">
      <c r="A156">
        <v>170</v>
      </c>
      <c r="B156">
        <v>29</v>
      </c>
      <c r="C156" t="s">
        <v>9</v>
      </c>
      <c r="D156" t="s">
        <v>15</v>
      </c>
      <c r="E156">
        <v>1107</v>
      </c>
      <c r="F156" t="s">
        <v>119</v>
      </c>
      <c r="G156">
        <v>28</v>
      </c>
      <c r="H156">
        <v>4</v>
      </c>
      <c r="I156" t="s">
        <v>21</v>
      </c>
      <c r="J156">
        <v>1</v>
      </c>
      <c r="K156">
        <v>1120</v>
      </c>
      <c r="L156">
        <v>3</v>
      </c>
      <c r="M156" t="s">
        <v>24</v>
      </c>
      <c r="N156">
        <v>93</v>
      </c>
      <c r="O156">
        <v>3</v>
      </c>
      <c r="P156">
        <v>1</v>
      </c>
      <c r="Q156" t="s">
        <v>32</v>
      </c>
      <c r="R156">
        <v>4</v>
      </c>
      <c r="S156" t="s">
        <v>26</v>
      </c>
      <c r="T156">
        <v>2514</v>
      </c>
      <c r="U156">
        <v>26968</v>
      </c>
      <c r="V156">
        <v>4</v>
      </c>
      <c r="W156" t="s">
        <v>29</v>
      </c>
      <c r="X156" t="s">
        <v>9</v>
      </c>
      <c r="Y156">
        <v>22</v>
      </c>
      <c r="Z156">
        <v>4</v>
      </c>
      <c r="AA156">
        <v>1</v>
      </c>
      <c r="AB156">
        <v>80</v>
      </c>
      <c r="AC156">
        <v>1</v>
      </c>
      <c r="AD156">
        <v>11</v>
      </c>
      <c r="AE156">
        <v>1</v>
      </c>
      <c r="AF156">
        <v>3</v>
      </c>
      <c r="AG156">
        <v>7</v>
      </c>
      <c r="AH156">
        <v>5</v>
      </c>
      <c r="AI156">
        <v>1</v>
      </c>
      <c r="AJ156">
        <v>7</v>
      </c>
    </row>
    <row r="157" spans="1:36" x14ac:dyDescent="0.25">
      <c r="A157">
        <v>484</v>
      </c>
      <c r="B157">
        <v>56</v>
      </c>
      <c r="C157" t="s">
        <v>9</v>
      </c>
      <c r="D157" t="s">
        <v>15</v>
      </c>
      <c r="E157">
        <v>713</v>
      </c>
      <c r="F157" t="s">
        <v>119</v>
      </c>
      <c r="G157">
        <v>8</v>
      </c>
      <c r="H157">
        <v>3</v>
      </c>
      <c r="I157" t="s">
        <v>21</v>
      </c>
      <c r="J157">
        <v>1</v>
      </c>
      <c r="K157">
        <v>241</v>
      </c>
      <c r="L157">
        <v>3</v>
      </c>
      <c r="M157" t="s">
        <v>24</v>
      </c>
      <c r="N157">
        <v>67</v>
      </c>
      <c r="O157">
        <v>3</v>
      </c>
      <c r="P157">
        <v>1</v>
      </c>
      <c r="Q157" t="s">
        <v>32</v>
      </c>
      <c r="R157">
        <v>1</v>
      </c>
      <c r="S157" t="s">
        <v>26</v>
      </c>
      <c r="T157">
        <v>4257</v>
      </c>
      <c r="U157">
        <v>13939</v>
      </c>
      <c r="V157">
        <v>4</v>
      </c>
      <c r="W157" t="s">
        <v>29</v>
      </c>
      <c r="X157" t="s">
        <v>10</v>
      </c>
      <c r="Y157">
        <v>18</v>
      </c>
      <c r="Z157">
        <v>3</v>
      </c>
      <c r="AA157">
        <v>3</v>
      </c>
      <c r="AB157">
        <v>80</v>
      </c>
      <c r="AC157">
        <v>1</v>
      </c>
      <c r="AD157">
        <v>19</v>
      </c>
      <c r="AE157">
        <v>3</v>
      </c>
      <c r="AF157">
        <v>3</v>
      </c>
      <c r="AG157">
        <v>2</v>
      </c>
      <c r="AH157">
        <v>2</v>
      </c>
      <c r="AI157">
        <v>2</v>
      </c>
      <c r="AJ157">
        <v>2</v>
      </c>
    </row>
    <row r="158" spans="1:36" x14ac:dyDescent="0.25">
      <c r="A158">
        <v>344</v>
      </c>
      <c r="B158">
        <v>30</v>
      </c>
      <c r="C158" t="s">
        <v>9</v>
      </c>
      <c r="D158" t="s">
        <v>11</v>
      </c>
      <c r="E158">
        <v>160</v>
      </c>
      <c r="F158" t="s">
        <v>119</v>
      </c>
      <c r="G158">
        <v>3</v>
      </c>
      <c r="H158">
        <v>3</v>
      </c>
      <c r="I158" t="s">
        <v>17</v>
      </c>
      <c r="J158">
        <v>1</v>
      </c>
      <c r="K158">
        <v>680</v>
      </c>
      <c r="L158">
        <v>3</v>
      </c>
      <c r="M158" t="s">
        <v>24</v>
      </c>
      <c r="N158">
        <v>71</v>
      </c>
      <c r="O158">
        <v>3</v>
      </c>
      <c r="P158">
        <v>1</v>
      </c>
      <c r="Q158" t="s">
        <v>32</v>
      </c>
      <c r="R158">
        <v>3</v>
      </c>
      <c r="S158" t="s">
        <v>26</v>
      </c>
      <c r="T158">
        <v>2083</v>
      </c>
      <c r="U158">
        <v>22653</v>
      </c>
      <c r="V158">
        <v>1</v>
      </c>
      <c r="W158" t="s">
        <v>29</v>
      </c>
      <c r="X158" t="s">
        <v>9</v>
      </c>
      <c r="Y158">
        <v>20</v>
      </c>
      <c r="Z158">
        <v>4</v>
      </c>
      <c r="AA158">
        <v>3</v>
      </c>
      <c r="AB158">
        <v>80</v>
      </c>
      <c r="AC158">
        <v>1</v>
      </c>
      <c r="AD158">
        <v>1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25">
      <c r="A159">
        <v>223</v>
      </c>
      <c r="B159">
        <v>33</v>
      </c>
      <c r="C159" t="s">
        <v>9</v>
      </c>
      <c r="D159" t="s">
        <v>16</v>
      </c>
      <c r="E159">
        <v>530</v>
      </c>
      <c r="F159" t="s">
        <v>118</v>
      </c>
      <c r="G159">
        <v>16</v>
      </c>
      <c r="H159">
        <v>3</v>
      </c>
      <c r="I159" t="s">
        <v>21</v>
      </c>
      <c r="J159">
        <v>1</v>
      </c>
      <c r="K159">
        <v>1681</v>
      </c>
      <c r="L159">
        <v>3</v>
      </c>
      <c r="M159" t="s">
        <v>24</v>
      </c>
      <c r="N159">
        <v>36</v>
      </c>
      <c r="O159">
        <v>3</v>
      </c>
      <c r="P159">
        <v>2</v>
      </c>
      <c r="Q159" t="s">
        <v>25</v>
      </c>
      <c r="R159">
        <v>4</v>
      </c>
      <c r="S159" t="s">
        <v>26</v>
      </c>
      <c r="T159">
        <v>5368</v>
      </c>
      <c r="U159">
        <v>16130</v>
      </c>
      <c r="V159">
        <v>1</v>
      </c>
      <c r="W159" t="s">
        <v>29</v>
      </c>
      <c r="X159" t="s">
        <v>10</v>
      </c>
      <c r="Y159">
        <v>25</v>
      </c>
      <c r="Z159">
        <v>4</v>
      </c>
      <c r="AA159">
        <v>3</v>
      </c>
      <c r="AB159">
        <v>80</v>
      </c>
      <c r="AC159">
        <v>1</v>
      </c>
      <c r="AD159">
        <v>7</v>
      </c>
      <c r="AE159">
        <v>2</v>
      </c>
      <c r="AF159">
        <v>3</v>
      </c>
      <c r="AG159">
        <v>6</v>
      </c>
      <c r="AH159">
        <v>5</v>
      </c>
      <c r="AI159">
        <v>1</v>
      </c>
      <c r="AJ159">
        <v>2</v>
      </c>
    </row>
    <row r="160" spans="1:36" x14ac:dyDescent="0.25">
      <c r="A160">
        <v>527</v>
      </c>
      <c r="B160">
        <v>45</v>
      </c>
      <c r="C160" t="s">
        <v>9</v>
      </c>
      <c r="D160" t="s">
        <v>15</v>
      </c>
      <c r="E160">
        <v>1268</v>
      </c>
      <c r="F160" t="s">
        <v>118</v>
      </c>
      <c r="G160">
        <v>4</v>
      </c>
      <c r="H160">
        <v>2</v>
      </c>
      <c r="I160" t="s">
        <v>21</v>
      </c>
      <c r="J160">
        <v>1</v>
      </c>
      <c r="K160">
        <v>240</v>
      </c>
      <c r="L160">
        <v>3</v>
      </c>
      <c r="M160" t="s">
        <v>24</v>
      </c>
      <c r="N160">
        <v>30</v>
      </c>
      <c r="O160">
        <v>3</v>
      </c>
      <c r="P160">
        <v>2</v>
      </c>
      <c r="Q160" t="s">
        <v>25</v>
      </c>
      <c r="R160">
        <v>1</v>
      </c>
      <c r="S160" t="s">
        <v>26</v>
      </c>
      <c r="T160">
        <v>5006</v>
      </c>
      <c r="U160">
        <v>6319</v>
      </c>
      <c r="V160">
        <v>4</v>
      </c>
      <c r="W160" t="s">
        <v>29</v>
      </c>
      <c r="X160" t="s">
        <v>10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9</v>
      </c>
      <c r="AE160">
        <v>3</v>
      </c>
      <c r="AF160">
        <v>4</v>
      </c>
      <c r="AG160">
        <v>5</v>
      </c>
      <c r="AH160">
        <v>4</v>
      </c>
      <c r="AI160">
        <v>0</v>
      </c>
      <c r="AJ160">
        <v>3</v>
      </c>
    </row>
    <row r="161" spans="1:36" x14ac:dyDescent="0.25">
      <c r="A161">
        <v>355</v>
      </c>
      <c r="B161">
        <v>41</v>
      </c>
      <c r="C161" t="s">
        <v>9</v>
      </c>
      <c r="D161" t="s">
        <v>15</v>
      </c>
      <c r="E161">
        <v>796</v>
      </c>
      <c r="F161" t="s">
        <v>118</v>
      </c>
      <c r="G161">
        <v>4</v>
      </c>
      <c r="H161">
        <v>1</v>
      </c>
      <c r="I161" t="s">
        <v>18</v>
      </c>
      <c r="J161">
        <v>1</v>
      </c>
      <c r="K161">
        <v>1815</v>
      </c>
      <c r="L161">
        <v>3</v>
      </c>
      <c r="M161" t="s">
        <v>24</v>
      </c>
      <c r="N161">
        <v>81</v>
      </c>
      <c r="O161">
        <v>3</v>
      </c>
      <c r="P161">
        <v>3</v>
      </c>
      <c r="Q161" t="s">
        <v>25</v>
      </c>
      <c r="R161">
        <v>3</v>
      </c>
      <c r="S161" t="s">
        <v>26</v>
      </c>
      <c r="T161">
        <v>10447</v>
      </c>
      <c r="U161">
        <v>26458</v>
      </c>
      <c r="V161">
        <v>0</v>
      </c>
      <c r="W161" t="s">
        <v>29</v>
      </c>
      <c r="X161" t="s">
        <v>10</v>
      </c>
      <c r="Y161">
        <v>13</v>
      </c>
      <c r="Z161">
        <v>3</v>
      </c>
      <c r="AA161">
        <v>4</v>
      </c>
      <c r="AB161">
        <v>80</v>
      </c>
      <c r="AC161">
        <v>1</v>
      </c>
      <c r="AD161">
        <v>23</v>
      </c>
      <c r="AE161">
        <v>3</v>
      </c>
      <c r="AF161">
        <v>4</v>
      </c>
      <c r="AG161">
        <v>22</v>
      </c>
      <c r="AH161">
        <v>14</v>
      </c>
      <c r="AI161">
        <v>13</v>
      </c>
      <c r="AJ161">
        <v>5</v>
      </c>
    </row>
    <row r="162" spans="1:36" x14ac:dyDescent="0.25">
      <c r="A162">
        <v>778</v>
      </c>
      <c r="B162">
        <v>32</v>
      </c>
      <c r="C162" t="s">
        <v>9</v>
      </c>
      <c r="D162" t="s">
        <v>16</v>
      </c>
      <c r="E162">
        <v>862</v>
      </c>
      <c r="F162" t="s">
        <v>118</v>
      </c>
      <c r="G162">
        <v>2</v>
      </c>
      <c r="H162">
        <v>1</v>
      </c>
      <c r="I162" t="s">
        <v>21</v>
      </c>
      <c r="J162">
        <v>1</v>
      </c>
      <c r="K162">
        <v>1190</v>
      </c>
      <c r="L162">
        <v>3</v>
      </c>
      <c r="M162" t="s">
        <v>24</v>
      </c>
      <c r="N162">
        <v>76</v>
      </c>
      <c r="O162">
        <v>3</v>
      </c>
      <c r="P162">
        <v>1</v>
      </c>
      <c r="Q162" t="s">
        <v>33</v>
      </c>
      <c r="R162">
        <v>1</v>
      </c>
      <c r="S162" t="s">
        <v>26</v>
      </c>
      <c r="T162">
        <v>2827</v>
      </c>
      <c r="U162">
        <v>14947</v>
      </c>
      <c r="V162">
        <v>1</v>
      </c>
      <c r="W162" t="s">
        <v>29</v>
      </c>
      <c r="X162" t="s">
        <v>9</v>
      </c>
      <c r="Y162">
        <v>12</v>
      </c>
      <c r="Z162">
        <v>3</v>
      </c>
      <c r="AA162">
        <v>3</v>
      </c>
      <c r="AB162">
        <v>80</v>
      </c>
      <c r="AC162">
        <v>3</v>
      </c>
      <c r="AD162">
        <v>1</v>
      </c>
      <c r="AE162">
        <v>3</v>
      </c>
      <c r="AF162">
        <v>3</v>
      </c>
      <c r="AG162">
        <v>1</v>
      </c>
      <c r="AH162">
        <v>0</v>
      </c>
      <c r="AI162">
        <v>0</v>
      </c>
      <c r="AJ162">
        <v>0</v>
      </c>
    </row>
    <row r="163" spans="1:36" x14ac:dyDescent="0.25">
      <c r="A163">
        <v>230</v>
      </c>
      <c r="B163">
        <v>49</v>
      </c>
      <c r="C163" t="s">
        <v>9</v>
      </c>
      <c r="D163" t="s">
        <v>15</v>
      </c>
      <c r="E163">
        <v>465</v>
      </c>
      <c r="F163" t="s">
        <v>119</v>
      </c>
      <c r="G163">
        <v>6</v>
      </c>
      <c r="H163">
        <v>1</v>
      </c>
      <c r="I163" t="s">
        <v>21</v>
      </c>
      <c r="J163">
        <v>1</v>
      </c>
      <c r="K163">
        <v>1661</v>
      </c>
      <c r="L163">
        <v>3</v>
      </c>
      <c r="M163" t="s">
        <v>24</v>
      </c>
      <c r="N163">
        <v>41</v>
      </c>
      <c r="O163">
        <v>2</v>
      </c>
      <c r="P163">
        <v>4</v>
      </c>
      <c r="Q163" t="s">
        <v>34</v>
      </c>
      <c r="R163">
        <v>3</v>
      </c>
      <c r="S163" t="s">
        <v>28</v>
      </c>
      <c r="T163">
        <v>13966</v>
      </c>
      <c r="U163">
        <v>11652</v>
      </c>
      <c r="V163">
        <v>2</v>
      </c>
      <c r="W163" t="s">
        <v>29</v>
      </c>
      <c r="X163" t="s">
        <v>10</v>
      </c>
      <c r="Y163">
        <v>19</v>
      </c>
      <c r="Z163">
        <v>3</v>
      </c>
      <c r="AA163">
        <v>2</v>
      </c>
      <c r="AB163">
        <v>80</v>
      </c>
      <c r="AC163">
        <v>1</v>
      </c>
      <c r="AD163">
        <v>30</v>
      </c>
      <c r="AE163">
        <v>3</v>
      </c>
      <c r="AF163">
        <v>3</v>
      </c>
      <c r="AG163">
        <v>15</v>
      </c>
      <c r="AH163">
        <v>11</v>
      </c>
      <c r="AI163">
        <v>2</v>
      </c>
      <c r="AJ163">
        <v>12</v>
      </c>
    </row>
    <row r="164" spans="1:36" x14ac:dyDescent="0.25">
      <c r="A164">
        <v>531</v>
      </c>
      <c r="B164">
        <v>38</v>
      </c>
      <c r="C164" t="s">
        <v>9</v>
      </c>
      <c r="D164" t="s">
        <v>15</v>
      </c>
      <c r="E164">
        <v>330</v>
      </c>
      <c r="F164" t="s">
        <v>119</v>
      </c>
      <c r="G164">
        <v>17</v>
      </c>
      <c r="H164">
        <v>1</v>
      </c>
      <c r="I164" t="s">
        <v>21</v>
      </c>
      <c r="J164">
        <v>1</v>
      </c>
      <c r="K164">
        <v>1088</v>
      </c>
      <c r="L164">
        <v>3</v>
      </c>
      <c r="M164" t="s">
        <v>24</v>
      </c>
      <c r="N164">
        <v>65</v>
      </c>
      <c r="O164">
        <v>2</v>
      </c>
      <c r="P164">
        <v>3</v>
      </c>
      <c r="Q164" t="s">
        <v>34</v>
      </c>
      <c r="R164">
        <v>3</v>
      </c>
      <c r="S164" t="s">
        <v>28</v>
      </c>
      <c r="T164">
        <v>8823</v>
      </c>
      <c r="U164">
        <v>24608</v>
      </c>
      <c r="V164">
        <v>0</v>
      </c>
      <c r="W164" t="s">
        <v>29</v>
      </c>
      <c r="X164" t="s">
        <v>9</v>
      </c>
      <c r="Y164">
        <v>18</v>
      </c>
      <c r="Z164">
        <v>3</v>
      </c>
      <c r="AA164">
        <v>1</v>
      </c>
      <c r="AB164">
        <v>80</v>
      </c>
      <c r="AC164">
        <v>1</v>
      </c>
      <c r="AD164">
        <v>20</v>
      </c>
      <c r="AE164">
        <v>4</v>
      </c>
      <c r="AF164">
        <v>2</v>
      </c>
      <c r="AG164">
        <v>19</v>
      </c>
      <c r="AH164">
        <v>9</v>
      </c>
      <c r="AI164">
        <v>1</v>
      </c>
      <c r="AJ164">
        <v>9</v>
      </c>
    </row>
    <row r="165" spans="1:36" x14ac:dyDescent="0.25">
      <c r="A165">
        <v>635</v>
      </c>
      <c r="B165">
        <v>43</v>
      </c>
      <c r="C165" t="s">
        <v>9</v>
      </c>
      <c r="D165" t="s">
        <v>15</v>
      </c>
      <c r="E165">
        <v>1001</v>
      </c>
      <c r="F165" t="s">
        <v>119</v>
      </c>
      <c r="G165">
        <v>7</v>
      </c>
      <c r="H165">
        <v>3</v>
      </c>
      <c r="I165" t="s">
        <v>21</v>
      </c>
      <c r="J165">
        <v>1</v>
      </c>
      <c r="K165">
        <v>451</v>
      </c>
      <c r="L165">
        <v>3</v>
      </c>
      <c r="M165" t="s">
        <v>24</v>
      </c>
      <c r="N165">
        <v>43</v>
      </c>
      <c r="O165">
        <v>3</v>
      </c>
      <c r="P165">
        <v>3</v>
      </c>
      <c r="Q165" t="s">
        <v>34</v>
      </c>
      <c r="R165">
        <v>1</v>
      </c>
      <c r="S165" t="s">
        <v>28</v>
      </c>
      <c r="T165">
        <v>9985</v>
      </c>
      <c r="U165">
        <v>9262</v>
      </c>
      <c r="V165">
        <v>8</v>
      </c>
      <c r="W165" t="s">
        <v>29</v>
      </c>
      <c r="X165" t="s">
        <v>9</v>
      </c>
      <c r="Y165">
        <v>16</v>
      </c>
      <c r="Z165">
        <v>3</v>
      </c>
      <c r="AA165">
        <v>1</v>
      </c>
      <c r="AB165">
        <v>80</v>
      </c>
      <c r="AC165">
        <v>1</v>
      </c>
      <c r="AD165">
        <v>10</v>
      </c>
      <c r="AE165">
        <v>1</v>
      </c>
      <c r="AF165">
        <v>2</v>
      </c>
      <c r="AG165">
        <v>1</v>
      </c>
      <c r="AH165">
        <v>0</v>
      </c>
      <c r="AI165">
        <v>0</v>
      </c>
      <c r="AJ165">
        <v>0</v>
      </c>
    </row>
    <row r="166" spans="1:36" x14ac:dyDescent="0.25">
      <c r="A166">
        <v>136</v>
      </c>
      <c r="B166">
        <v>40</v>
      </c>
      <c r="C166" t="s">
        <v>9</v>
      </c>
      <c r="D166" t="s">
        <v>11</v>
      </c>
      <c r="E166">
        <v>791</v>
      </c>
      <c r="F166" t="s">
        <v>119</v>
      </c>
      <c r="G166">
        <v>2</v>
      </c>
      <c r="H166">
        <v>2</v>
      </c>
      <c r="I166" t="s">
        <v>17</v>
      </c>
      <c r="J166">
        <v>1</v>
      </c>
      <c r="K166">
        <v>807</v>
      </c>
      <c r="L166">
        <v>3</v>
      </c>
      <c r="M166" t="s">
        <v>24</v>
      </c>
      <c r="N166">
        <v>38</v>
      </c>
      <c r="O166">
        <v>4</v>
      </c>
      <c r="P166">
        <v>2</v>
      </c>
      <c r="Q166" t="s">
        <v>34</v>
      </c>
      <c r="R166">
        <v>2</v>
      </c>
      <c r="S166" t="s">
        <v>28</v>
      </c>
      <c r="T166">
        <v>4244</v>
      </c>
      <c r="U166">
        <v>9931</v>
      </c>
      <c r="V166">
        <v>1</v>
      </c>
      <c r="W166" t="s">
        <v>29</v>
      </c>
      <c r="X166" t="s">
        <v>9</v>
      </c>
      <c r="Y166">
        <v>24</v>
      </c>
      <c r="Z166">
        <v>4</v>
      </c>
      <c r="AA166">
        <v>4</v>
      </c>
      <c r="AB166">
        <v>80</v>
      </c>
      <c r="AC166">
        <v>1</v>
      </c>
      <c r="AD166">
        <v>8</v>
      </c>
      <c r="AE166">
        <v>2</v>
      </c>
      <c r="AF166">
        <v>3</v>
      </c>
      <c r="AG166">
        <v>8</v>
      </c>
      <c r="AH166">
        <v>7</v>
      </c>
      <c r="AI166">
        <v>3</v>
      </c>
      <c r="AJ166">
        <v>7</v>
      </c>
    </row>
    <row r="167" spans="1:36" x14ac:dyDescent="0.25">
      <c r="A167">
        <v>217</v>
      </c>
      <c r="B167">
        <v>38</v>
      </c>
      <c r="C167" t="s">
        <v>9</v>
      </c>
      <c r="D167" t="s">
        <v>15</v>
      </c>
      <c r="E167">
        <v>1495</v>
      </c>
      <c r="F167" t="s">
        <v>119</v>
      </c>
      <c r="G167">
        <v>10</v>
      </c>
      <c r="H167">
        <v>3</v>
      </c>
      <c r="I167" t="s">
        <v>17</v>
      </c>
      <c r="J167">
        <v>1</v>
      </c>
      <c r="K167">
        <v>634</v>
      </c>
      <c r="L167">
        <v>3</v>
      </c>
      <c r="M167" t="s">
        <v>24</v>
      </c>
      <c r="N167">
        <v>76</v>
      </c>
      <c r="O167">
        <v>3</v>
      </c>
      <c r="P167">
        <v>2</v>
      </c>
      <c r="Q167" t="s">
        <v>34</v>
      </c>
      <c r="R167">
        <v>3</v>
      </c>
      <c r="S167" t="s">
        <v>28</v>
      </c>
      <c r="T167">
        <v>9824</v>
      </c>
      <c r="U167">
        <v>22174</v>
      </c>
      <c r="V167">
        <v>3</v>
      </c>
      <c r="W167" t="s">
        <v>29</v>
      </c>
      <c r="X167" t="s">
        <v>9</v>
      </c>
      <c r="Y167">
        <v>19</v>
      </c>
      <c r="Z167">
        <v>3</v>
      </c>
      <c r="AA167">
        <v>3</v>
      </c>
      <c r="AB167">
        <v>80</v>
      </c>
      <c r="AC167">
        <v>1</v>
      </c>
      <c r="AD167">
        <v>18</v>
      </c>
      <c r="AE167">
        <v>4</v>
      </c>
      <c r="AF167">
        <v>3</v>
      </c>
      <c r="AG167">
        <v>1</v>
      </c>
      <c r="AH167">
        <v>0</v>
      </c>
      <c r="AI167">
        <v>0</v>
      </c>
      <c r="AJ167">
        <v>0</v>
      </c>
    </row>
    <row r="168" spans="1:36" x14ac:dyDescent="0.25">
      <c r="A168">
        <v>239</v>
      </c>
      <c r="B168">
        <v>25</v>
      </c>
      <c r="C168" t="s">
        <v>9</v>
      </c>
      <c r="D168" t="s">
        <v>15</v>
      </c>
      <c r="E168">
        <v>309</v>
      </c>
      <c r="F168" t="s">
        <v>20</v>
      </c>
      <c r="G168">
        <v>2</v>
      </c>
      <c r="H168">
        <v>3</v>
      </c>
      <c r="I168" t="s">
        <v>20</v>
      </c>
      <c r="J168">
        <v>1</v>
      </c>
      <c r="K168">
        <v>1987</v>
      </c>
      <c r="L168">
        <v>3</v>
      </c>
      <c r="M168" t="s">
        <v>24</v>
      </c>
      <c r="N168">
        <v>82</v>
      </c>
      <c r="O168">
        <v>3</v>
      </c>
      <c r="P168">
        <v>1</v>
      </c>
      <c r="Q168" t="s">
        <v>20</v>
      </c>
      <c r="R168">
        <v>2</v>
      </c>
      <c r="S168" t="s">
        <v>28</v>
      </c>
      <c r="T168">
        <v>2187</v>
      </c>
      <c r="U168">
        <v>19655</v>
      </c>
      <c r="V168">
        <v>4</v>
      </c>
      <c r="W168" t="s">
        <v>29</v>
      </c>
      <c r="X168" t="s">
        <v>9</v>
      </c>
      <c r="Y168">
        <v>14</v>
      </c>
      <c r="Z168">
        <v>3</v>
      </c>
      <c r="AA168">
        <v>3</v>
      </c>
      <c r="AB168">
        <v>80</v>
      </c>
      <c r="AC168">
        <v>0</v>
      </c>
      <c r="AD168">
        <v>6</v>
      </c>
      <c r="AE168">
        <v>3</v>
      </c>
      <c r="AF168">
        <v>3</v>
      </c>
      <c r="AG168">
        <v>2</v>
      </c>
      <c r="AH168">
        <v>0</v>
      </c>
      <c r="AI168">
        <v>1</v>
      </c>
      <c r="AJ168">
        <v>2</v>
      </c>
    </row>
    <row r="169" spans="1:36" x14ac:dyDescent="0.25">
      <c r="A169">
        <v>382</v>
      </c>
      <c r="B169">
        <v>26</v>
      </c>
      <c r="C169" t="s">
        <v>9</v>
      </c>
      <c r="D169" t="s">
        <v>15</v>
      </c>
      <c r="E169">
        <v>1355</v>
      </c>
      <c r="F169" t="s">
        <v>20</v>
      </c>
      <c r="G169">
        <v>25</v>
      </c>
      <c r="H169">
        <v>1</v>
      </c>
      <c r="I169" t="s">
        <v>21</v>
      </c>
      <c r="J169">
        <v>1</v>
      </c>
      <c r="K169">
        <v>177</v>
      </c>
      <c r="L169">
        <v>3</v>
      </c>
      <c r="M169" t="s">
        <v>24</v>
      </c>
      <c r="N169">
        <v>61</v>
      </c>
      <c r="O169">
        <v>3</v>
      </c>
      <c r="P169">
        <v>1</v>
      </c>
      <c r="Q169" t="s">
        <v>20</v>
      </c>
      <c r="R169">
        <v>3</v>
      </c>
      <c r="S169" t="s">
        <v>28</v>
      </c>
      <c r="T169">
        <v>2942</v>
      </c>
      <c r="U169">
        <v>8916</v>
      </c>
      <c r="V169">
        <v>1</v>
      </c>
      <c r="W169" t="s">
        <v>29</v>
      </c>
      <c r="X169" t="s">
        <v>9</v>
      </c>
      <c r="Y169">
        <v>23</v>
      </c>
      <c r="Z169">
        <v>4</v>
      </c>
      <c r="AA169">
        <v>4</v>
      </c>
      <c r="AB169">
        <v>80</v>
      </c>
      <c r="AC169">
        <v>1</v>
      </c>
      <c r="AD169">
        <v>8</v>
      </c>
      <c r="AE169">
        <v>3</v>
      </c>
      <c r="AF169">
        <v>3</v>
      </c>
      <c r="AG169">
        <v>8</v>
      </c>
      <c r="AH169">
        <v>7</v>
      </c>
      <c r="AI169">
        <v>5</v>
      </c>
      <c r="AJ169">
        <v>7</v>
      </c>
    </row>
    <row r="170" spans="1:36" x14ac:dyDescent="0.25">
      <c r="A170" s="15">
        <v>501</v>
      </c>
      <c r="B170" s="15">
        <v>58</v>
      </c>
      <c r="C170" s="15" t="s">
        <v>10</v>
      </c>
      <c r="D170" s="15" t="s">
        <v>15</v>
      </c>
      <c r="E170" s="15">
        <v>601</v>
      </c>
      <c r="F170" s="15" t="s">
        <v>119</v>
      </c>
      <c r="G170" s="15">
        <v>7</v>
      </c>
      <c r="H170" s="15">
        <v>4</v>
      </c>
      <c r="I170" s="15" t="s">
        <v>17</v>
      </c>
      <c r="J170" s="15">
        <v>1</v>
      </c>
      <c r="K170" s="15">
        <v>1360</v>
      </c>
      <c r="L170" s="15">
        <v>3</v>
      </c>
      <c r="M170" s="15" t="s">
        <v>24</v>
      </c>
      <c r="N170" s="15">
        <v>53</v>
      </c>
      <c r="O170" s="15">
        <v>2</v>
      </c>
      <c r="P170" s="15">
        <v>3</v>
      </c>
      <c r="Q170" s="15" t="s">
        <v>31</v>
      </c>
      <c r="R170" s="15">
        <v>1</v>
      </c>
      <c r="S170" s="15" t="s">
        <v>28</v>
      </c>
      <c r="T170" s="15">
        <v>10008</v>
      </c>
      <c r="U170" s="15">
        <v>12023</v>
      </c>
      <c r="V170" s="15">
        <v>7</v>
      </c>
      <c r="W170" s="15" t="s">
        <v>29</v>
      </c>
      <c r="X170" s="15" t="s">
        <v>10</v>
      </c>
      <c r="Y170" s="15">
        <v>14</v>
      </c>
      <c r="Z170" s="15">
        <v>3</v>
      </c>
      <c r="AA170" s="15">
        <v>4</v>
      </c>
      <c r="AB170" s="15">
        <v>80</v>
      </c>
      <c r="AC170" s="15">
        <v>0</v>
      </c>
      <c r="AD170" s="15">
        <v>31</v>
      </c>
      <c r="AE170" s="15">
        <v>0</v>
      </c>
      <c r="AF170" s="15">
        <v>2</v>
      </c>
      <c r="AG170" s="15">
        <v>10</v>
      </c>
      <c r="AH170" s="15">
        <v>9</v>
      </c>
      <c r="AI170" s="15">
        <v>5</v>
      </c>
      <c r="AJ170" s="15">
        <v>9</v>
      </c>
    </row>
    <row r="171" spans="1:36" x14ac:dyDescent="0.25">
      <c r="A171">
        <v>185</v>
      </c>
      <c r="B171">
        <v>39</v>
      </c>
      <c r="C171" t="s">
        <v>9</v>
      </c>
      <c r="D171" t="s">
        <v>11</v>
      </c>
      <c r="E171">
        <v>443</v>
      </c>
      <c r="F171" t="s">
        <v>119</v>
      </c>
      <c r="G171">
        <v>8</v>
      </c>
      <c r="H171">
        <v>1</v>
      </c>
      <c r="I171" t="s">
        <v>21</v>
      </c>
      <c r="J171">
        <v>1</v>
      </c>
      <c r="K171">
        <v>602</v>
      </c>
      <c r="L171">
        <v>3</v>
      </c>
      <c r="M171" t="s">
        <v>24</v>
      </c>
      <c r="N171">
        <v>48</v>
      </c>
      <c r="O171">
        <v>3</v>
      </c>
      <c r="P171">
        <v>1</v>
      </c>
      <c r="Q171" t="s">
        <v>36</v>
      </c>
      <c r="R171">
        <v>3</v>
      </c>
      <c r="S171" t="s">
        <v>28</v>
      </c>
      <c r="T171">
        <v>3755</v>
      </c>
      <c r="U171">
        <v>17872</v>
      </c>
      <c r="V171">
        <v>1</v>
      </c>
      <c r="W171" t="s">
        <v>29</v>
      </c>
      <c r="X171" t="s">
        <v>9</v>
      </c>
      <c r="Y171">
        <v>11</v>
      </c>
      <c r="Z171">
        <v>3</v>
      </c>
      <c r="AA171">
        <v>1</v>
      </c>
      <c r="AB171">
        <v>80</v>
      </c>
      <c r="AC171">
        <v>1</v>
      </c>
      <c r="AD171">
        <v>8</v>
      </c>
      <c r="AE171">
        <v>3</v>
      </c>
      <c r="AF171">
        <v>3</v>
      </c>
      <c r="AG171">
        <v>8</v>
      </c>
      <c r="AH171">
        <v>3</v>
      </c>
      <c r="AI171">
        <v>0</v>
      </c>
      <c r="AJ171">
        <v>7</v>
      </c>
    </row>
    <row r="172" spans="1:36" x14ac:dyDescent="0.25">
      <c r="A172">
        <v>321</v>
      </c>
      <c r="B172">
        <v>32</v>
      </c>
      <c r="C172" t="s">
        <v>9</v>
      </c>
      <c r="D172" t="s">
        <v>16</v>
      </c>
      <c r="E172">
        <v>1184</v>
      </c>
      <c r="F172" t="s">
        <v>119</v>
      </c>
      <c r="G172">
        <v>1</v>
      </c>
      <c r="H172">
        <v>3</v>
      </c>
      <c r="I172" t="s">
        <v>21</v>
      </c>
      <c r="J172">
        <v>1</v>
      </c>
      <c r="K172">
        <v>951</v>
      </c>
      <c r="L172">
        <v>3</v>
      </c>
      <c r="M172" t="s">
        <v>24</v>
      </c>
      <c r="N172">
        <v>70</v>
      </c>
      <c r="O172">
        <v>2</v>
      </c>
      <c r="P172">
        <v>1</v>
      </c>
      <c r="Q172" t="s">
        <v>36</v>
      </c>
      <c r="R172">
        <v>2</v>
      </c>
      <c r="S172" t="s">
        <v>28</v>
      </c>
      <c r="T172">
        <v>2332</v>
      </c>
      <c r="U172">
        <v>3974</v>
      </c>
      <c r="V172">
        <v>6</v>
      </c>
      <c r="W172" t="s">
        <v>29</v>
      </c>
      <c r="X172" t="s">
        <v>9</v>
      </c>
      <c r="Y172">
        <v>20</v>
      </c>
      <c r="Z172">
        <v>4</v>
      </c>
      <c r="AA172">
        <v>3</v>
      </c>
      <c r="AB172">
        <v>80</v>
      </c>
      <c r="AC172">
        <v>0</v>
      </c>
      <c r="AD172">
        <v>5</v>
      </c>
      <c r="AE172">
        <v>3</v>
      </c>
      <c r="AF172">
        <v>3</v>
      </c>
      <c r="AG172">
        <v>3</v>
      </c>
      <c r="AH172">
        <v>0</v>
      </c>
      <c r="AI172">
        <v>0</v>
      </c>
      <c r="AJ172">
        <v>2</v>
      </c>
    </row>
    <row r="173" spans="1:36" x14ac:dyDescent="0.25">
      <c r="A173">
        <v>594</v>
      </c>
      <c r="B173">
        <v>49</v>
      </c>
      <c r="C173" t="s">
        <v>9</v>
      </c>
      <c r="D173" t="s">
        <v>15</v>
      </c>
      <c r="E173">
        <v>722</v>
      </c>
      <c r="F173" t="s">
        <v>119</v>
      </c>
      <c r="G173">
        <v>25</v>
      </c>
      <c r="H173">
        <v>4</v>
      </c>
      <c r="I173" t="s">
        <v>21</v>
      </c>
      <c r="J173">
        <v>1</v>
      </c>
      <c r="K173">
        <v>1617</v>
      </c>
      <c r="L173">
        <v>3</v>
      </c>
      <c r="M173" t="s">
        <v>24</v>
      </c>
      <c r="N173">
        <v>84</v>
      </c>
      <c r="O173">
        <v>3</v>
      </c>
      <c r="P173">
        <v>1</v>
      </c>
      <c r="Q173" t="s">
        <v>36</v>
      </c>
      <c r="R173">
        <v>1</v>
      </c>
      <c r="S173" t="s">
        <v>28</v>
      </c>
      <c r="T173">
        <v>3211</v>
      </c>
      <c r="U173">
        <v>22102</v>
      </c>
      <c r="V173">
        <v>1</v>
      </c>
      <c r="W173" t="s">
        <v>29</v>
      </c>
      <c r="X173" t="s">
        <v>9</v>
      </c>
      <c r="Y173">
        <v>14</v>
      </c>
      <c r="Z173">
        <v>3</v>
      </c>
      <c r="AA173">
        <v>4</v>
      </c>
      <c r="AB173">
        <v>80</v>
      </c>
      <c r="AC173">
        <v>1</v>
      </c>
      <c r="AD173">
        <v>10</v>
      </c>
      <c r="AE173">
        <v>3</v>
      </c>
      <c r="AF173">
        <v>2</v>
      </c>
      <c r="AG173">
        <v>9</v>
      </c>
      <c r="AH173">
        <v>6</v>
      </c>
      <c r="AI173">
        <v>1</v>
      </c>
      <c r="AJ173">
        <v>4</v>
      </c>
    </row>
    <row r="174" spans="1:36" x14ac:dyDescent="0.25">
      <c r="A174">
        <v>590</v>
      </c>
      <c r="B174">
        <v>35</v>
      </c>
      <c r="C174" t="s">
        <v>9</v>
      </c>
      <c r="D174" t="s">
        <v>15</v>
      </c>
      <c r="E174">
        <v>1142</v>
      </c>
      <c r="F174" t="s">
        <v>119</v>
      </c>
      <c r="G174">
        <v>23</v>
      </c>
      <c r="H174">
        <v>4</v>
      </c>
      <c r="I174" t="s">
        <v>17</v>
      </c>
      <c r="J174">
        <v>1</v>
      </c>
      <c r="K174">
        <v>75</v>
      </c>
      <c r="L174">
        <v>3</v>
      </c>
      <c r="M174" t="s">
        <v>24</v>
      </c>
      <c r="N174">
        <v>30</v>
      </c>
      <c r="O174">
        <v>3</v>
      </c>
      <c r="P174">
        <v>1</v>
      </c>
      <c r="Q174" t="s">
        <v>36</v>
      </c>
      <c r="R174">
        <v>1</v>
      </c>
      <c r="S174" t="s">
        <v>28</v>
      </c>
      <c r="T174">
        <v>4014</v>
      </c>
      <c r="U174">
        <v>16002</v>
      </c>
      <c r="V174">
        <v>3</v>
      </c>
      <c r="W174" t="s">
        <v>29</v>
      </c>
      <c r="X174" t="s">
        <v>10</v>
      </c>
      <c r="Y174">
        <v>15</v>
      </c>
      <c r="Z174">
        <v>3</v>
      </c>
      <c r="AA174">
        <v>3</v>
      </c>
      <c r="AB174">
        <v>80</v>
      </c>
      <c r="AC174">
        <v>1</v>
      </c>
      <c r="AD174">
        <v>4</v>
      </c>
      <c r="AE174">
        <v>3</v>
      </c>
      <c r="AF174">
        <v>3</v>
      </c>
      <c r="AG174">
        <v>2</v>
      </c>
      <c r="AH174">
        <v>2</v>
      </c>
      <c r="AI174">
        <v>2</v>
      </c>
      <c r="AJ174">
        <v>2</v>
      </c>
    </row>
    <row r="175" spans="1:36" x14ac:dyDescent="0.25">
      <c r="A175">
        <v>791</v>
      </c>
      <c r="B175">
        <v>49</v>
      </c>
      <c r="C175" t="s">
        <v>9</v>
      </c>
      <c r="D175" t="s">
        <v>15</v>
      </c>
      <c r="E175">
        <v>271</v>
      </c>
      <c r="F175" t="s">
        <v>119</v>
      </c>
      <c r="G175">
        <v>3</v>
      </c>
      <c r="H175">
        <v>2</v>
      </c>
      <c r="I175" t="s">
        <v>17</v>
      </c>
      <c r="J175">
        <v>1</v>
      </c>
      <c r="K175">
        <v>1509</v>
      </c>
      <c r="L175">
        <v>3</v>
      </c>
      <c r="M175" t="s">
        <v>24</v>
      </c>
      <c r="N175">
        <v>43</v>
      </c>
      <c r="O175">
        <v>2</v>
      </c>
      <c r="P175">
        <v>2</v>
      </c>
      <c r="Q175" t="s">
        <v>36</v>
      </c>
      <c r="R175">
        <v>1</v>
      </c>
      <c r="S175" t="s">
        <v>28</v>
      </c>
      <c r="T175">
        <v>4789</v>
      </c>
      <c r="U175">
        <v>23070</v>
      </c>
      <c r="V175">
        <v>4</v>
      </c>
      <c r="W175" t="s">
        <v>29</v>
      </c>
      <c r="X175" t="s">
        <v>9</v>
      </c>
      <c r="Y175">
        <v>25</v>
      </c>
      <c r="Z175">
        <v>4</v>
      </c>
      <c r="AA175">
        <v>1</v>
      </c>
      <c r="AB175">
        <v>80</v>
      </c>
      <c r="AC175">
        <v>1</v>
      </c>
      <c r="AD175">
        <v>10</v>
      </c>
      <c r="AE175">
        <v>3</v>
      </c>
      <c r="AF175">
        <v>3</v>
      </c>
      <c r="AG175">
        <v>3</v>
      </c>
      <c r="AH175">
        <v>2</v>
      </c>
      <c r="AI175">
        <v>1</v>
      </c>
      <c r="AJ175">
        <v>2</v>
      </c>
    </row>
    <row r="176" spans="1:36" x14ac:dyDescent="0.25">
      <c r="A176">
        <v>829</v>
      </c>
      <c r="B176">
        <v>38</v>
      </c>
      <c r="C176" t="s">
        <v>9</v>
      </c>
      <c r="D176" t="s">
        <v>11</v>
      </c>
      <c r="E176">
        <v>594</v>
      </c>
      <c r="F176" t="s">
        <v>119</v>
      </c>
      <c r="G176">
        <v>2</v>
      </c>
      <c r="H176">
        <v>2</v>
      </c>
      <c r="I176" t="s">
        <v>17</v>
      </c>
      <c r="J176">
        <v>1</v>
      </c>
      <c r="K176">
        <v>1760</v>
      </c>
      <c r="L176">
        <v>3</v>
      </c>
      <c r="M176" t="s">
        <v>24</v>
      </c>
      <c r="N176">
        <v>75</v>
      </c>
      <c r="O176">
        <v>2</v>
      </c>
      <c r="P176">
        <v>1</v>
      </c>
      <c r="Q176" t="s">
        <v>36</v>
      </c>
      <c r="R176">
        <v>2</v>
      </c>
      <c r="S176" t="s">
        <v>28</v>
      </c>
      <c r="T176">
        <v>2468</v>
      </c>
      <c r="U176">
        <v>15963</v>
      </c>
      <c r="V176">
        <v>4</v>
      </c>
      <c r="W176" t="s">
        <v>29</v>
      </c>
      <c r="X176" t="s">
        <v>9</v>
      </c>
      <c r="Y176">
        <v>14</v>
      </c>
      <c r="Z176">
        <v>3</v>
      </c>
      <c r="AA176">
        <v>2</v>
      </c>
      <c r="AB176">
        <v>80</v>
      </c>
      <c r="AC176">
        <v>1</v>
      </c>
      <c r="AD176">
        <v>9</v>
      </c>
      <c r="AE176">
        <v>4</v>
      </c>
      <c r="AF176">
        <v>2</v>
      </c>
      <c r="AG176">
        <v>6</v>
      </c>
      <c r="AH176">
        <v>1</v>
      </c>
      <c r="AI176">
        <v>0</v>
      </c>
      <c r="AJ176">
        <v>5</v>
      </c>
    </row>
    <row r="177" spans="1:36" x14ac:dyDescent="0.25">
      <c r="A177">
        <v>479</v>
      </c>
      <c r="B177">
        <v>52</v>
      </c>
      <c r="C177" t="s">
        <v>9</v>
      </c>
      <c r="D177" t="s">
        <v>15</v>
      </c>
      <c r="E177">
        <v>258</v>
      </c>
      <c r="F177" t="s">
        <v>119</v>
      </c>
      <c r="G177">
        <v>8</v>
      </c>
      <c r="H177">
        <v>4</v>
      </c>
      <c r="I177" t="s">
        <v>19</v>
      </c>
      <c r="J177">
        <v>1</v>
      </c>
      <c r="K177">
        <v>1409</v>
      </c>
      <c r="L177">
        <v>3</v>
      </c>
      <c r="M177" t="s">
        <v>24</v>
      </c>
      <c r="N177">
        <v>54</v>
      </c>
      <c r="O177">
        <v>3</v>
      </c>
      <c r="P177">
        <v>1</v>
      </c>
      <c r="Q177" t="s">
        <v>36</v>
      </c>
      <c r="R177">
        <v>1</v>
      </c>
      <c r="S177" t="s">
        <v>28</v>
      </c>
      <c r="T177">
        <v>2950</v>
      </c>
      <c r="U177">
        <v>17363</v>
      </c>
      <c r="V177">
        <v>9</v>
      </c>
      <c r="W177" t="s">
        <v>29</v>
      </c>
      <c r="X177" t="s">
        <v>9</v>
      </c>
      <c r="Y177">
        <v>13</v>
      </c>
      <c r="Z177">
        <v>3</v>
      </c>
      <c r="AA177">
        <v>3</v>
      </c>
      <c r="AB177">
        <v>80</v>
      </c>
      <c r="AC177">
        <v>0</v>
      </c>
      <c r="AD177">
        <v>12</v>
      </c>
      <c r="AE177">
        <v>2</v>
      </c>
      <c r="AF177">
        <v>1</v>
      </c>
      <c r="AG177">
        <v>5</v>
      </c>
      <c r="AH177">
        <v>4</v>
      </c>
      <c r="AI177">
        <v>0</v>
      </c>
      <c r="AJ177">
        <v>4</v>
      </c>
    </row>
    <row r="178" spans="1:36" x14ac:dyDescent="0.25">
      <c r="A178">
        <v>563</v>
      </c>
      <c r="B178">
        <v>27</v>
      </c>
      <c r="C178" t="s">
        <v>9</v>
      </c>
      <c r="D178" t="s">
        <v>15</v>
      </c>
      <c r="E178">
        <v>1134</v>
      </c>
      <c r="F178" t="s">
        <v>119</v>
      </c>
      <c r="G178">
        <v>16</v>
      </c>
      <c r="H178">
        <v>4</v>
      </c>
      <c r="I178" t="s">
        <v>22</v>
      </c>
      <c r="J178">
        <v>1</v>
      </c>
      <c r="K178">
        <v>1001</v>
      </c>
      <c r="L178">
        <v>3</v>
      </c>
      <c r="M178" t="s">
        <v>24</v>
      </c>
      <c r="N178">
        <v>37</v>
      </c>
      <c r="O178">
        <v>3</v>
      </c>
      <c r="P178">
        <v>1</v>
      </c>
      <c r="Q178" t="s">
        <v>36</v>
      </c>
      <c r="R178">
        <v>2</v>
      </c>
      <c r="S178" t="s">
        <v>28</v>
      </c>
      <c r="T178">
        <v>2811</v>
      </c>
      <c r="U178">
        <v>12086</v>
      </c>
      <c r="V178">
        <v>9</v>
      </c>
      <c r="W178" t="s">
        <v>29</v>
      </c>
      <c r="X178" t="s">
        <v>9</v>
      </c>
      <c r="Y178">
        <v>14</v>
      </c>
      <c r="Z178">
        <v>3</v>
      </c>
      <c r="AA178">
        <v>2</v>
      </c>
      <c r="AB178">
        <v>80</v>
      </c>
      <c r="AC178">
        <v>1</v>
      </c>
      <c r="AD178">
        <v>4</v>
      </c>
      <c r="AE178">
        <v>2</v>
      </c>
      <c r="AF178">
        <v>3</v>
      </c>
      <c r="AG178">
        <v>2</v>
      </c>
      <c r="AH178">
        <v>2</v>
      </c>
      <c r="AI178">
        <v>2</v>
      </c>
      <c r="AJ178">
        <v>2</v>
      </c>
    </row>
    <row r="179" spans="1:36" x14ac:dyDescent="0.25">
      <c r="A179">
        <v>330</v>
      </c>
      <c r="B179">
        <v>42</v>
      </c>
      <c r="C179" t="s">
        <v>9</v>
      </c>
      <c r="D179" t="s">
        <v>15</v>
      </c>
      <c r="E179">
        <v>1147</v>
      </c>
      <c r="F179" t="s">
        <v>20</v>
      </c>
      <c r="G179">
        <v>10</v>
      </c>
      <c r="H179">
        <v>3</v>
      </c>
      <c r="I179" t="s">
        <v>20</v>
      </c>
      <c r="J179">
        <v>1</v>
      </c>
      <c r="K179">
        <v>1408</v>
      </c>
      <c r="L179">
        <v>3</v>
      </c>
      <c r="M179" t="s">
        <v>24</v>
      </c>
      <c r="N179">
        <v>31</v>
      </c>
      <c r="O179">
        <v>3</v>
      </c>
      <c r="P179">
        <v>4</v>
      </c>
      <c r="Q179" t="s">
        <v>35</v>
      </c>
      <c r="R179">
        <v>1</v>
      </c>
      <c r="S179" t="s">
        <v>28</v>
      </c>
      <c r="T179">
        <v>16799</v>
      </c>
      <c r="U179">
        <v>16616</v>
      </c>
      <c r="V179">
        <v>0</v>
      </c>
      <c r="W179" t="s">
        <v>29</v>
      </c>
      <c r="X179" t="s">
        <v>9</v>
      </c>
      <c r="Y179">
        <v>14</v>
      </c>
      <c r="Z179">
        <v>3</v>
      </c>
      <c r="AA179">
        <v>3</v>
      </c>
      <c r="AB179">
        <v>80</v>
      </c>
      <c r="AC179">
        <v>1</v>
      </c>
      <c r="AD179">
        <v>21</v>
      </c>
      <c r="AE179">
        <v>5</v>
      </c>
      <c r="AF179">
        <v>3</v>
      </c>
      <c r="AG179">
        <v>20</v>
      </c>
      <c r="AH179">
        <v>7</v>
      </c>
      <c r="AI179">
        <v>0</v>
      </c>
      <c r="AJ179">
        <v>9</v>
      </c>
    </row>
    <row r="180" spans="1:36" x14ac:dyDescent="0.25">
      <c r="A180">
        <v>335</v>
      </c>
      <c r="B180">
        <v>59</v>
      </c>
      <c r="C180" t="s">
        <v>9</v>
      </c>
      <c r="D180" t="s">
        <v>16</v>
      </c>
      <c r="E180">
        <v>1420</v>
      </c>
      <c r="F180" t="s">
        <v>20</v>
      </c>
      <c r="G180">
        <v>2</v>
      </c>
      <c r="H180">
        <v>4</v>
      </c>
      <c r="I180" t="s">
        <v>20</v>
      </c>
      <c r="J180">
        <v>1</v>
      </c>
      <c r="K180">
        <v>140</v>
      </c>
      <c r="L180">
        <v>3</v>
      </c>
      <c r="M180" t="s">
        <v>24</v>
      </c>
      <c r="N180">
        <v>32</v>
      </c>
      <c r="O180">
        <v>2</v>
      </c>
      <c r="P180">
        <v>5</v>
      </c>
      <c r="Q180" t="s">
        <v>35</v>
      </c>
      <c r="R180">
        <v>4</v>
      </c>
      <c r="S180" t="s">
        <v>28</v>
      </c>
      <c r="T180">
        <v>18844</v>
      </c>
      <c r="U180">
        <v>21922</v>
      </c>
      <c r="V180">
        <v>9</v>
      </c>
      <c r="W180" t="s">
        <v>29</v>
      </c>
      <c r="X180" t="s">
        <v>9</v>
      </c>
      <c r="Y180">
        <v>21</v>
      </c>
      <c r="Z180">
        <v>4</v>
      </c>
      <c r="AA180">
        <v>4</v>
      </c>
      <c r="AB180">
        <v>80</v>
      </c>
      <c r="AC180">
        <v>1</v>
      </c>
      <c r="AD180">
        <v>30</v>
      </c>
      <c r="AE180">
        <v>3</v>
      </c>
      <c r="AF180">
        <v>3</v>
      </c>
      <c r="AG180">
        <v>3</v>
      </c>
      <c r="AH180">
        <v>2</v>
      </c>
      <c r="AI180">
        <v>2</v>
      </c>
      <c r="AJ180">
        <v>2</v>
      </c>
    </row>
    <row r="181" spans="1:36" x14ac:dyDescent="0.25">
      <c r="A181">
        <v>97</v>
      </c>
      <c r="B181">
        <v>46</v>
      </c>
      <c r="C181" t="s">
        <v>9</v>
      </c>
      <c r="D181" t="s">
        <v>15</v>
      </c>
      <c r="E181">
        <v>228</v>
      </c>
      <c r="F181" t="s">
        <v>118</v>
      </c>
      <c r="G181">
        <v>3</v>
      </c>
      <c r="H181">
        <v>3</v>
      </c>
      <c r="I181" t="s">
        <v>21</v>
      </c>
      <c r="J181">
        <v>1</v>
      </c>
      <c r="K181">
        <v>1527</v>
      </c>
      <c r="L181">
        <v>3</v>
      </c>
      <c r="M181" t="s">
        <v>24</v>
      </c>
      <c r="N181">
        <v>51</v>
      </c>
      <c r="O181">
        <v>3</v>
      </c>
      <c r="P181">
        <v>4</v>
      </c>
      <c r="Q181" t="s">
        <v>35</v>
      </c>
      <c r="R181">
        <v>2</v>
      </c>
      <c r="S181" t="s">
        <v>28</v>
      </c>
      <c r="T181">
        <v>16606</v>
      </c>
      <c r="U181">
        <v>11380</v>
      </c>
      <c r="V181">
        <v>8</v>
      </c>
      <c r="W181" t="s">
        <v>29</v>
      </c>
      <c r="X181" t="s">
        <v>9</v>
      </c>
      <c r="Y181">
        <v>12</v>
      </c>
      <c r="Z181">
        <v>3</v>
      </c>
      <c r="AA181">
        <v>4</v>
      </c>
      <c r="AB181">
        <v>80</v>
      </c>
      <c r="AC181">
        <v>1</v>
      </c>
      <c r="AD181">
        <v>23</v>
      </c>
      <c r="AE181">
        <v>2</v>
      </c>
      <c r="AF181">
        <v>4</v>
      </c>
      <c r="AG181">
        <v>13</v>
      </c>
      <c r="AH181">
        <v>12</v>
      </c>
      <c r="AI181">
        <v>5</v>
      </c>
      <c r="AJ181">
        <v>1</v>
      </c>
    </row>
    <row r="182" spans="1:36" x14ac:dyDescent="0.25">
      <c r="A182">
        <v>762</v>
      </c>
      <c r="B182">
        <v>47</v>
      </c>
      <c r="C182" t="s">
        <v>9</v>
      </c>
      <c r="D182" t="s">
        <v>15</v>
      </c>
      <c r="E182">
        <v>202</v>
      </c>
      <c r="F182" t="s">
        <v>119</v>
      </c>
      <c r="G182">
        <v>2</v>
      </c>
      <c r="H182">
        <v>2</v>
      </c>
      <c r="I182" t="s">
        <v>19</v>
      </c>
      <c r="J182">
        <v>1</v>
      </c>
      <c r="K182">
        <v>820</v>
      </c>
      <c r="L182">
        <v>3</v>
      </c>
      <c r="M182" t="s">
        <v>24</v>
      </c>
      <c r="N182">
        <v>33</v>
      </c>
      <c r="O182">
        <v>3</v>
      </c>
      <c r="P182">
        <v>4</v>
      </c>
      <c r="Q182" t="s">
        <v>35</v>
      </c>
      <c r="R182">
        <v>4</v>
      </c>
      <c r="S182" t="s">
        <v>28</v>
      </c>
      <c r="T182">
        <v>16752</v>
      </c>
      <c r="U182">
        <v>12982</v>
      </c>
      <c r="V182">
        <v>1</v>
      </c>
      <c r="W182" t="s">
        <v>29</v>
      </c>
      <c r="X182" t="s">
        <v>10</v>
      </c>
      <c r="Y182">
        <v>11</v>
      </c>
      <c r="Z182">
        <v>3</v>
      </c>
      <c r="AA182">
        <v>3</v>
      </c>
      <c r="AB182">
        <v>80</v>
      </c>
      <c r="AC182">
        <v>1</v>
      </c>
      <c r="AD182">
        <v>26</v>
      </c>
      <c r="AE182">
        <v>3</v>
      </c>
      <c r="AF182">
        <v>2</v>
      </c>
      <c r="AG182">
        <v>26</v>
      </c>
      <c r="AH182">
        <v>14</v>
      </c>
      <c r="AI182">
        <v>3</v>
      </c>
      <c r="AJ182">
        <v>0</v>
      </c>
    </row>
    <row r="183" spans="1:36" x14ac:dyDescent="0.25">
      <c r="A183">
        <v>33</v>
      </c>
      <c r="B183">
        <v>46</v>
      </c>
      <c r="C183" t="s">
        <v>9</v>
      </c>
      <c r="D183" t="s">
        <v>15</v>
      </c>
      <c r="E183">
        <v>488</v>
      </c>
      <c r="F183" t="s">
        <v>118</v>
      </c>
      <c r="G183">
        <v>2</v>
      </c>
      <c r="H183">
        <v>3</v>
      </c>
      <c r="I183" t="s">
        <v>22</v>
      </c>
      <c r="J183">
        <v>1</v>
      </c>
      <c r="K183">
        <v>363</v>
      </c>
      <c r="L183">
        <v>3</v>
      </c>
      <c r="M183" t="s">
        <v>24</v>
      </c>
      <c r="N183">
        <v>75</v>
      </c>
      <c r="O183">
        <v>1</v>
      </c>
      <c r="P183">
        <v>4</v>
      </c>
      <c r="Q183" t="s">
        <v>35</v>
      </c>
      <c r="R183">
        <v>2</v>
      </c>
      <c r="S183" t="s">
        <v>28</v>
      </c>
      <c r="T183">
        <v>16872</v>
      </c>
      <c r="U183">
        <v>14977</v>
      </c>
      <c r="V183">
        <v>3</v>
      </c>
      <c r="W183" t="s">
        <v>29</v>
      </c>
      <c r="X183" t="s">
        <v>10</v>
      </c>
      <c r="Y183">
        <v>12</v>
      </c>
      <c r="Z183">
        <v>3</v>
      </c>
      <c r="AA183">
        <v>2</v>
      </c>
      <c r="AB183">
        <v>80</v>
      </c>
      <c r="AC183">
        <v>1</v>
      </c>
      <c r="AD183">
        <v>28</v>
      </c>
      <c r="AE183">
        <v>2</v>
      </c>
      <c r="AF183">
        <v>2</v>
      </c>
      <c r="AG183">
        <v>7</v>
      </c>
      <c r="AH183">
        <v>7</v>
      </c>
      <c r="AI183">
        <v>7</v>
      </c>
      <c r="AJ183">
        <v>7</v>
      </c>
    </row>
    <row r="184" spans="1:36" x14ac:dyDescent="0.25">
      <c r="A184">
        <v>159</v>
      </c>
      <c r="B184">
        <v>43</v>
      </c>
      <c r="C184" t="s">
        <v>9</v>
      </c>
      <c r="D184" t="s">
        <v>11</v>
      </c>
      <c r="E184">
        <v>1082</v>
      </c>
      <c r="F184" t="s">
        <v>119</v>
      </c>
      <c r="G184">
        <v>27</v>
      </c>
      <c r="H184">
        <v>3</v>
      </c>
      <c r="I184" t="s">
        <v>21</v>
      </c>
      <c r="J184">
        <v>1</v>
      </c>
      <c r="K184">
        <v>1126</v>
      </c>
      <c r="L184">
        <v>3</v>
      </c>
      <c r="M184" t="s">
        <v>24</v>
      </c>
      <c r="N184">
        <v>83</v>
      </c>
      <c r="O184">
        <v>3</v>
      </c>
      <c r="P184">
        <v>3</v>
      </c>
      <c r="Q184" t="s">
        <v>31</v>
      </c>
      <c r="R184">
        <v>1</v>
      </c>
      <c r="S184" t="s">
        <v>28</v>
      </c>
      <c r="T184">
        <v>10820</v>
      </c>
      <c r="U184">
        <v>11535</v>
      </c>
      <c r="V184">
        <v>8</v>
      </c>
      <c r="W184" t="s">
        <v>29</v>
      </c>
      <c r="X184" t="s">
        <v>9</v>
      </c>
      <c r="Y184">
        <v>11</v>
      </c>
      <c r="Z184">
        <v>3</v>
      </c>
      <c r="AA184">
        <v>3</v>
      </c>
      <c r="AB184">
        <v>80</v>
      </c>
      <c r="AC184">
        <v>1</v>
      </c>
      <c r="AD184">
        <v>18</v>
      </c>
      <c r="AE184">
        <v>1</v>
      </c>
      <c r="AF184">
        <v>3</v>
      </c>
      <c r="AG184">
        <v>8</v>
      </c>
      <c r="AH184">
        <v>7</v>
      </c>
      <c r="AI184">
        <v>0</v>
      </c>
      <c r="AJ184">
        <v>1</v>
      </c>
    </row>
    <row r="185" spans="1:36" x14ac:dyDescent="0.25">
      <c r="A185">
        <v>203</v>
      </c>
      <c r="B185">
        <v>32</v>
      </c>
      <c r="C185" t="s">
        <v>9</v>
      </c>
      <c r="D185" t="s">
        <v>15</v>
      </c>
      <c r="E185">
        <v>859</v>
      </c>
      <c r="F185" t="s">
        <v>119</v>
      </c>
      <c r="G185">
        <v>4</v>
      </c>
      <c r="H185">
        <v>3</v>
      </c>
      <c r="I185" t="s">
        <v>21</v>
      </c>
      <c r="J185">
        <v>1</v>
      </c>
      <c r="K185">
        <v>830</v>
      </c>
      <c r="L185">
        <v>3</v>
      </c>
      <c r="M185" t="s">
        <v>24</v>
      </c>
      <c r="N185">
        <v>98</v>
      </c>
      <c r="O185">
        <v>2</v>
      </c>
      <c r="P185">
        <v>2</v>
      </c>
      <c r="Q185" t="s">
        <v>31</v>
      </c>
      <c r="R185">
        <v>3</v>
      </c>
      <c r="S185" t="s">
        <v>28</v>
      </c>
      <c r="T185">
        <v>6162</v>
      </c>
      <c r="U185">
        <v>19124</v>
      </c>
      <c r="V185">
        <v>1</v>
      </c>
      <c r="W185" t="s">
        <v>29</v>
      </c>
      <c r="X185" t="s">
        <v>9</v>
      </c>
      <c r="Y185">
        <v>12</v>
      </c>
      <c r="Z185">
        <v>3</v>
      </c>
      <c r="AA185">
        <v>3</v>
      </c>
      <c r="AB185">
        <v>80</v>
      </c>
      <c r="AC185">
        <v>1</v>
      </c>
      <c r="AD185">
        <v>14</v>
      </c>
      <c r="AE185">
        <v>3</v>
      </c>
      <c r="AF185">
        <v>3</v>
      </c>
      <c r="AG185">
        <v>14</v>
      </c>
      <c r="AH185">
        <v>13</v>
      </c>
      <c r="AI185">
        <v>6</v>
      </c>
      <c r="AJ185">
        <v>8</v>
      </c>
    </row>
    <row r="186" spans="1:36" x14ac:dyDescent="0.25">
      <c r="A186">
        <v>334</v>
      </c>
      <c r="B186">
        <v>27</v>
      </c>
      <c r="C186" t="s">
        <v>9</v>
      </c>
      <c r="D186" t="s">
        <v>15</v>
      </c>
      <c r="E186">
        <v>608</v>
      </c>
      <c r="F186" t="s">
        <v>119</v>
      </c>
      <c r="G186">
        <v>1</v>
      </c>
      <c r="H186">
        <v>2</v>
      </c>
      <c r="I186" t="s">
        <v>21</v>
      </c>
      <c r="J186">
        <v>1</v>
      </c>
      <c r="K186">
        <v>725</v>
      </c>
      <c r="L186">
        <v>3</v>
      </c>
      <c r="M186" t="s">
        <v>24</v>
      </c>
      <c r="N186">
        <v>68</v>
      </c>
      <c r="O186">
        <v>3</v>
      </c>
      <c r="P186">
        <v>3</v>
      </c>
      <c r="Q186" t="s">
        <v>31</v>
      </c>
      <c r="R186">
        <v>1</v>
      </c>
      <c r="S186" t="s">
        <v>28</v>
      </c>
      <c r="T186">
        <v>7412</v>
      </c>
      <c r="U186">
        <v>6009</v>
      </c>
      <c r="V186">
        <v>1</v>
      </c>
      <c r="W186" t="s">
        <v>29</v>
      </c>
      <c r="X186" t="s">
        <v>9</v>
      </c>
      <c r="Y186">
        <v>11</v>
      </c>
      <c r="Z186">
        <v>3</v>
      </c>
      <c r="AA186">
        <v>4</v>
      </c>
      <c r="AB186">
        <v>80</v>
      </c>
      <c r="AC186">
        <v>0</v>
      </c>
      <c r="AD186">
        <v>9</v>
      </c>
      <c r="AE186">
        <v>3</v>
      </c>
      <c r="AF186">
        <v>3</v>
      </c>
      <c r="AG186">
        <v>9</v>
      </c>
      <c r="AH186">
        <v>7</v>
      </c>
      <c r="AI186">
        <v>0</v>
      </c>
      <c r="AJ186">
        <v>7</v>
      </c>
    </row>
    <row r="187" spans="1:36" x14ac:dyDescent="0.25">
      <c r="A187">
        <v>371</v>
      </c>
      <c r="B187">
        <v>31</v>
      </c>
      <c r="C187" t="s">
        <v>9</v>
      </c>
      <c r="D187" t="s">
        <v>11</v>
      </c>
      <c r="E187">
        <v>853</v>
      </c>
      <c r="F187" t="s">
        <v>119</v>
      </c>
      <c r="G187">
        <v>1</v>
      </c>
      <c r="H187">
        <v>1</v>
      </c>
      <c r="I187" t="s">
        <v>21</v>
      </c>
      <c r="J187">
        <v>1</v>
      </c>
      <c r="K187">
        <v>1011</v>
      </c>
      <c r="L187">
        <v>3</v>
      </c>
      <c r="M187" t="s">
        <v>24</v>
      </c>
      <c r="N187">
        <v>96</v>
      </c>
      <c r="O187">
        <v>3</v>
      </c>
      <c r="P187">
        <v>2</v>
      </c>
      <c r="Q187" t="s">
        <v>31</v>
      </c>
      <c r="R187">
        <v>1</v>
      </c>
      <c r="S187" t="s">
        <v>28</v>
      </c>
      <c r="T187">
        <v>4148</v>
      </c>
      <c r="U187">
        <v>11275</v>
      </c>
      <c r="V187">
        <v>1</v>
      </c>
      <c r="W187" t="s">
        <v>29</v>
      </c>
      <c r="X187" t="s">
        <v>9</v>
      </c>
      <c r="Y187">
        <v>12</v>
      </c>
      <c r="Z187">
        <v>3</v>
      </c>
      <c r="AA187">
        <v>3</v>
      </c>
      <c r="AB187">
        <v>80</v>
      </c>
      <c r="AC187">
        <v>1</v>
      </c>
      <c r="AD187">
        <v>4</v>
      </c>
      <c r="AE187">
        <v>1</v>
      </c>
      <c r="AF187">
        <v>3</v>
      </c>
      <c r="AG187">
        <v>4</v>
      </c>
      <c r="AH187">
        <v>3</v>
      </c>
      <c r="AI187">
        <v>0</v>
      </c>
      <c r="AJ187">
        <v>3</v>
      </c>
    </row>
    <row r="188" spans="1:36" x14ac:dyDescent="0.25">
      <c r="A188">
        <v>825</v>
      </c>
      <c r="B188">
        <v>36</v>
      </c>
      <c r="C188" t="s">
        <v>9</v>
      </c>
      <c r="D188" t="s">
        <v>15</v>
      </c>
      <c r="E188">
        <v>559</v>
      </c>
      <c r="F188" t="s">
        <v>119</v>
      </c>
      <c r="G188">
        <v>12</v>
      </c>
      <c r="H188">
        <v>4</v>
      </c>
      <c r="I188" t="s">
        <v>21</v>
      </c>
      <c r="J188">
        <v>1</v>
      </c>
      <c r="K188">
        <v>1614</v>
      </c>
      <c r="L188">
        <v>3</v>
      </c>
      <c r="M188" t="s">
        <v>24</v>
      </c>
      <c r="N188">
        <v>76</v>
      </c>
      <c r="O188">
        <v>3</v>
      </c>
      <c r="P188">
        <v>2</v>
      </c>
      <c r="Q188" t="s">
        <v>31</v>
      </c>
      <c r="R188">
        <v>3</v>
      </c>
      <c r="S188" t="s">
        <v>28</v>
      </c>
      <c r="T188">
        <v>4663</v>
      </c>
      <c r="U188">
        <v>12421</v>
      </c>
      <c r="V188">
        <v>9</v>
      </c>
      <c r="W188" t="s">
        <v>29</v>
      </c>
      <c r="X188" t="s">
        <v>10</v>
      </c>
      <c r="Y188">
        <v>12</v>
      </c>
      <c r="Z188">
        <v>3</v>
      </c>
      <c r="AA188">
        <v>2</v>
      </c>
      <c r="AB188">
        <v>80</v>
      </c>
      <c r="AC188">
        <v>2</v>
      </c>
      <c r="AD188">
        <v>7</v>
      </c>
      <c r="AE188">
        <v>2</v>
      </c>
      <c r="AF188">
        <v>3</v>
      </c>
      <c r="AG188">
        <v>3</v>
      </c>
      <c r="AH188">
        <v>2</v>
      </c>
      <c r="AI188">
        <v>1</v>
      </c>
      <c r="AJ188">
        <v>1</v>
      </c>
    </row>
    <row r="189" spans="1:36" x14ac:dyDescent="0.25">
      <c r="A189">
        <v>858</v>
      </c>
      <c r="B189">
        <v>31</v>
      </c>
      <c r="C189" t="s">
        <v>9</v>
      </c>
      <c r="D189" t="s">
        <v>11</v>
      </c>
      <c r="E189">
        <v>798</v>
      </c>
      <c r="F189" t="s">
        <v>119</v>
      </c>
      <c r="G189">
        <v>7</v>
      </c>
      <c r="H189">
        <v>2</v>
      </c>
      <c r="I189" t="s">
        <v>21</v>
      </c>
      <c r="J189">
        <v>1</v>
      </c>
      <c r="K189">
        <v>442</v>
      </c>
      <c r="L189">
        <v>3</v>
      </c>
      <c r="M189" t="s">
        <v>24</v>
      </c>
      <c r="N189">
        <v>48</v>
      </c>
      <c r="O189">
        <v>2</v>
      </c>
      <c r="P189">
        <v>3</v>
      </c>
      <c r="Q189" t="s">
        <v>31</v>
      </c>
      <c r="R189">
        <v>3</v>
      </c>
      <c r="S189" t="s">
        <v>28</v>
      </c>
      <c r="T189">
        <v>8943</v>
      </c>
      <c r="U189">
        <v>14034</v>
      </c>
      <c r="V189">
        <v>1</v>
      </c>
      <c r="W189" t="s">
        <v>29</v>
      </c>
      <c r="X189" t="s">
        <v>9</v>
      </c>
      <c r="Y189">
        <v>24</v>
      </c>
      <c r="Z189">
        <v>4</v>
      </c>
      <c r="AA189">
        <v>1</v>
      </c>
      <c r="AB189">
        <v>80</v>
      </c>
      <c r="AC189">
        <v>1</v>
      </c>
      <c r="AD189">
        <v>10</v>
      </c>
      <c r="AE189">
        <v>2</v>
      </c>
      <c r="AF189">
        <v>3</v>
      </c>
      <c r="AG189">
        <v>10</v>
      </c>
      <c r="AH189">
        <v>9</v>
      </c>
      <c r="AI189">
        <v>8</v>
      </c>
      <c r="AJ189">
        <v>9</v>
      </c>
    </row>
    <row r="190" spans="1:36" x14ac:dyDescent="0.25">
      <c r="A190">
        <v>17</v>
      </c>
      <c r="B190">
        <v>32</v>
      </c>
      <c r="C190" t="s">
        <v>9</v>
      </c>
      <c r="D190" t="s">
        <v>15</v>
      </c>
      <c r="E190">
        <v>498</v>
      </c>
      <c r="F190" t="s">
        <v>119</v>
      </c>
      <c r="G190">
        <v>3</v>
      </c>
      <c r="H190">
        <v>4</v>
      </c>
      <c r="I190" t="s">
        <v>17</v>
      </c>
      <c r="J190">
        <v>1</v>
      </c>
      <c r="K190">
        <v>966</v>
      </c>
      <c r="L190">
        <v>3</v>
      </c>
      <c r="M190" t="s">
        <v>24</v>
      </c>
      <c r="N190">
        <v>93</v>
      </c>
      <c r="O190">
        <v>3</v>
      </c>
      <c r="P190">
        <v>2</v>
      </c>
      <c r="Q190" t="s">
        <v>31</v>
      </c>
      <c r="R190">
        <v>1</v>
      </c>
      <c r="S190" t="s">
        <v>28</v>
      </c>
      <c r="T190">
        <v>6725</v>
      </c>
      <c r="U190">
        <v>13554</v>
      </c>
      <c r="V190">
        <v>1</v>
      </c>
      <c r="W190" t="s">
        <v>29</v>
      </c>
      <c r="X190" t="s">
        <v>9</v>
      </c>
      <c r="Y190">
        <v>12</v>
      </c>
      <c r="Z190">
        <v>3</v>
      </c>
      <c r="AA190">
        <v>3</v>
      </c>
      <c r="AB190">
        <v>80</v>
      </c>
      <c r="AC190">
        <v>1</v>
      </c>
      <c r="AD190">
        <v>8</v>
      </c>
      <c r="AE190">
        <v>2</v>
      </c>
      <c r="AF190">
        <v>4</v>
      </c>
      <c r="AG190">
        <v>8</v>
      </c>
      <c r="AH190">
        <v>7</v>
      </c>
      <c r="AI190">
        <v>6</v>
      </c>
      <c r="AJ190">
        <v>3</v>
      </c>
    </row>
    <row r="191" spans="1:36" x14ac:dyDescent="0.25">
      <c r="A191">
        <v>18</v>
      </c>
      <c r="B191">
        <v>46</v>
      </c>
      <c r="C191" t="s">
        <v>9</v>
      </c>
      <c r="D191" t="s">
        <v>16</v>
      </c>
      <c r="E191">
        <v>1144</v>
      </c>
      <c r="F191" t="s">
        <v>119</v>
      </c>
      <c r="G191">
        <v>7</v>
      </c>
      <c r="H191">
        <v>4</v>
      </c>
      <c r="I191" t="s">
        <v>17</v>
      </c>
      <c r="J191">
        <v>1</v>
      </c>
      <c r="K191">
        <v>487</v>
      </c>
      <c r="L191">
        <v>3</v>
      </c>
      <c r="M191" t="s">
        <v>24</v>
      </c>
      <c r="N191">
        <v>30</v>
      </c>
      <c r="O191">
        <v>3</v>
      </c>
      <c r="P191">
        <v>2</v>
      </c>
      <c r="Q191" t="s">
        <v>31</v>
      </c>
      <c r="R191">
        <v>3</v>
      </c>
      <c r="S191" t="s">
        <v>28</v>
      </c>
      <c r="T191">
        <v>5258</v>
      </c>
      <c r="U191">
        <v>16044</v>
      </c>
      <c r="V191">
        <v>2</v>
      </c>
      <c r="W191" t="s">
        <v>29</v>
      </c>
      <c r="X191" t="s">
        <v>9</v>
      </c>
      <c r="Y191">
        <v>14</v>
      </c>
      <c r="Z191">
        <v>3</v>
      </c>
      <c r="AA191">
        <v>3</v>
      </c>
      <c r="AB191">
        <v>80</v>
      </c>
      <c r="AC191">
        <v>0</v>
      </c>
      <c r="AD191">
        <v>7</v>
      </c>
      <c r="AE191">
        <v>2</v>
      </c>
      <c r="AF191">
        <v>4</v>
      </c>
      <c r="AG191">
        <v>1</v>
      </c>
      <c r="AH191">
        <v>0</v>
      </c>
      <c r="AI191">
        <v>0</v>
      </c>
      <c r="AJ191">
        <v>0</v>
      </c>
    </row>
    <row r="192" spans="1:36" x14ac:dyDescent="0.25">
      <c r="A192">
        <v>843</v>
      </c>
      <c r="B192">
        <v>52</v>
      </c>
      <c r="C192" t="s">
        <v>9</v>
      </c>
      <c r="D192" t="s">
        <v>11</v>
      </c>
      <c r="E192">
        <v>890</v>
      </c>
      <c r="F192" t="s">
        <v>119</v>
      </c>
      <c r="G192">
        <v>25</v>
      </c>
      <c r="H192">
        <v>4</v>
      </c>
      <c r="I192" t="s">
        <v>17</v>
      </c>
      <c r="J192">
        <v>1</v>
      </c>
      <c r="K192">
        <v>867</v>
      </c>
      <c r="L192">
        <v>3</v>
      </c>
      <c r="M192" t="s">
        <v>24</v>
      </c>
      <c r="N192">
        <v>81</v>
      </c>
      <c r="O192">
        <v>2</v>
      </c>
      <c r="P192">
        <v>4</v>
      </c>
      <c r="Q192" t="s">
        <v>31</v>
      </c>
      <c r="R192">
        <v>4</v>
      </c>
      <c r="S192" t="s">
        <v>28</v>
      </c>
      <c r="T192">
        <v>13826</v>
      </c>
      <c r="U192">
        <v>19028</v>
      </c>
      <c r="V192">
        <v>3</v>
      </c>
      <c r="W192" t="s">
        <v>29</v>
      </c>
      <c r="X192" t="s">
        <v>9</v>
      </c>
      <c r="Y192">
        <v>22</v>
      </c>
      <c r="Z192">
        <v>4</v>
      </c>
      <c r="AA192">
        <v>3</v>
      </c>
      <c r="AB192">
        <v>80</v>
      </c>
      <c r="AC192">
        <v>0</v>
      </c>
      <c r="AD192">
        <v>31</v>
      </c>
      <c r="AE192">
        <v>3</v>
      </c>
      <c r="AF192">
        <v>3</v>
      </c>
      <c r="AG192">
        <v>9</v>
      </c>
      <c r="AH192">
        <v>8</v>
      </c>
      <c r="AI192">
        <v>0</v>
      </c>
      <c r="AJ192">
        <v>0</v>
      </c>
    </row>
    <row r="193" spans="1:36" x14ac:dyDescent="0.25">
      <c r="A193">
        <v>677</v>
      </c>
      <c r="B193">
        <v>36</v>
      </c>
      <c r="C193" t="s">
        <v>9</v>
      </c>
      <c r="D193" t="s">
        <v>15</v>
      </c>
      <c r="E193">
        <v>676</v>
      </c>
      <c r="F193" t="s">
        <v>119</v>
      </c>
      <c r="G193">
        <v>1</v>
      </c>
      <c r="H193">
        <v>3</v>
      </c>
      <c r="I193" t="s">
        <v>19</v>
      </c>
      <c r="J193">
        <v>1</v>
      </c>
      <c r="K193">
        <v>823</v>
      </c>
      <c r="L193">
        <v>3</v>
      </c>
      <c r="M193" t="s">
        <v>24</v>
      </c>
      <c r="N193">
        <v>35</v>
      </c>
      <c r="O193">
        <v>3</v>
      </c>
      <c r="P193">
        <v>2</v>
      </c>
      <c r="Q193" t="s">
        <v>31</v>
      </c>
      <c r="R193">
        <v>2</v>
      </c>
      <c r="S193" t="s">
        <v>28</v>
      </c>
      <c r="T193">
        <v>5228</v>
      </c>
      <c r="U193">
        <v>23361</v>
      </c>
      <c r="V193">
        <v>0</v>
      </c>
      <c r="W193" t="s">
        <v>29</v>
      </c>
      <c r="X193" t="s">
        <v>9</v>
      </c>
      <c r="Y193">
        <v>15</v>
      </c>
      <c r="Z193">
        <v>3</v>
      </c>
      <c r="AA193">
        <v>1</v>
      </c>
      <c r="AB193">
        <v>80</v>
      </c>
      <c r="AC193">
        <v>1</v>
      </c>
      <c r="AD193">
        <v>10</v>
      </c>
      <c r="AE193">
        <v>2</v>
      </c>
      <c r="AF193">
        <v>3</v>
      </c>
      <c r="AG193">
        <v>9</v>
      </c>
      <c r="AH193">
        <v>7</v>
      </c>
      <c r="AI193">
        <v>0</v>
      </c>
      <c r="AJ193">
        <v>5</v>
      </c>
    </row>
    <row r="194" spans="1:36" x14ac:dyDescent="0.25">
      <c r="A194">
        <v>138</v>
      </c>
      <c r="B194">
        <v>54</v>
      </c>
      <c r="C194" t="s">
        <v>9</v>
      </c>
      <c r="D194" t="s">
        <v>15</v>
      </c>
      <c r="E194">
        <v>1441</v>
      </c>
      <c r="F194" t="s">
        <v>119</v>
      </c>
      <c r="G194">
        <v>17</v>
      </c>
      <c r="H194">
        <v>3</v>
      </c>
      <c r="I194" t="s">
        <v>22</v>
      </c>
      <c r="J194">
        <v>1</v>
      </c>
      <c r="K194">
        <v>1013</v>
      </c>
      <c r="L194">
        <v>3</v>
      </c>
      <c r="M194" t="s">
        <v>24</v>
      </c>
      <c r="N194">
        <v>56</v>
      </c>
      <c r="O194">
        <v>3</v>
      </c>
      <c r="P194">
        <v>3</v>
      </c>
      <c r="Q194" t="s">
        <v>31</v>
      </c>
      <c r="R194">
        <v>3</v>
      </c>
      <c r="S194" t="s">
        <v>28</v>
      </c>
      <c r="T194">
        <v>10739</v>
      </c>
      <c r="U194">
        <v>13943</v>
      </c>
      <c r="V194">
        <v>8</v>
      </c>
      <c r="W194" t="s">
        <v>29</v>
      </c>
      <c r="X194" t="s">
        <v>9</v>
      </c>
      <c r="Y194">
        <v>11</v>
      </c>
      <c r="Z194">
        <v>3</v>
      </c>
      <c r="AA194">
        <v>3</v>
      </c>
      <c r="AB194">
        <v>80</v>
      </c>
      <c r="AC194">
        <v>1</v>
      </c>
      <c r="AD194">
        <v>22</v>
      </c>
      <c r="AE194">
        <v>2</v>
      </c>
      <c r="AF194">
        <v>3</v>
      </c>
      <c r="AG194">
        <v>10</v>
      </c>
      <c r="AH194">
        <v>7</v>
      </c>
      <c r="AI194">
        <v>0</v>
      </c>
      <c r="AJ194">
        <v>8</v>
      </c>
    </row>
    <row r="195" spans="1:36" x14ac:dyDescent="0.25">
      <c r="A195">
        <v>480</v>
      </c>
      <c r="B195">
        <v>37</v>
      </c>
      <c r="C195" t="s">
        <v>9</v>
      </c>
      <c r="D195" t="s">
        <v>15</v>
      </c>
      <c r="E195">
        <v>161</v>
      </c>
      <c r="F195" t="s">
        <v>119</v>
      </c>
      <c r="G195">
        <v>10</v>
      </c>
      <c r="H195">
        <v>3</v>
      </c>
      <c r="I195" t="s">
        <v>21</v>
      </c>
      <c r="J195">
        <v>1</v>
      </c>
      <c r="K195">
        <v>2017</v>
      </c>
      <c r="L195">
        <v>3</v>
      </c>
      <c r="M195" t="s">
        <v>24</v>
      </c>
      <c r="N195">
        <v>42</v>
      </c>
      <c r="O195">
        <v>4</v>
      </c>
      <c r="P195">
        <v>3</v>
      </c>
      <c r="Q195" t="s">
        <v>30</v>
      </c>
      <c r="R195">
        <v>4</v>
      </c>
      <c r="S195" t="s">
        <v>28</v>
      </c>
      <c r="T195">
        <v>13744</v>
      </c>
      <c r="U195">
        <v>15471</v>
      </c>
      <c r="V195">
        <v>1</v>
      </c>
      <c r="W195" t="s">
        <v>29</v>
      </c>
      <c r="X195" t="s">
        <v>10</v>
      </c>
      <c r="Y195">
        <v>25</v>
      </c>
      <c r="Z195">
        <v>4</v>
      </c>
      <c r="AA195">
        <v>1</v>
      </c>
      <c r="AB195">
        <v>80</v>
      </c>
      <c r="AC195">
        <v>1</v>
      </c>
      <c r="AD195">
        <v>16</v>
      </c>
      <c r="AE195">
        <v>2</v>
      </c>
      <c r="AF195">
        <v>3</v>
      </c>
      <c r="AG195">
        <v>16</v>
      </c>
      <c r="AH195">
        <v>11</v>
      </c>
      <c r="AI195">
        <v>6</v>
      </c>
      <c r="AJ195">
        <v>8</v>
      </c>
    </row>
    <row r="196" spans="1:36" x14ac:dyDescent="0.25">
      <c r="A196">
        <v>294</v>
      </c>
      <c r="B196">
        <v>47</v>
      </c>
      <c r="C196" t="s">
        <v>9</v>
      </c>
      <c r="D196" t="s">
        <v>16</v>
      </c>
      <c r="E196">
        <v>1162</v>
      </c>
      <c r="F196" t="s">
        <v>119</v>
      </c>
      <c r="G196">
        <v>1</v>
      </c>
      <c r="H196">
        <v>1</v>
      </c>
      <c r="I196" t="s">
        <v>17</v>
      </c>
      <c r="J196">
        <v>1</v>
      </c>
      <c r="K196">
        <v>2000</v>
      </c>
      <c r="L196">
        <v>3</v>
      </c>
      <c r="M196" t="s">
        <v>24</v>
      </c>
      <c r="N196">
        <v>98</v>
      </c>
      <c r="O196">
        <v>3</v>
      </c>
      <c r="P196">
        <v>3</v>
      </c>
      <c r="Q196" t="s">
        <v>30</v>
      </c>
      <c r="R196">
        <v>2</v>
      </c>
      <c r="S196" t="s">
        <v>28</v>
      </c>
      <c r="T196">
        <v>11957</v>
      </c>
      <c r="U196">
        <v>17231</v>
      </c>
      <c r="V196">
        <v>0</v>
      </c>
      <c r="W196" t="s">
        <v>29</v>
      </c>
      <c r="X196" t="s">
        <v>9</v>
      </c>
      <c r="Y196">
        <v>18</v>
      </c>
      <c r="Z196">
        <v>3</v>
      </c>
      <c r="AA196">
        <v>1</v>
      </c>
      <c r="AB196">
        <v>80</v>
      </c>
      <c r="AC196">
        <v>2</v>
      </c>
      <c r="AD196">
        <v>14</v>
      </c>
      <c r="AE196">
        <v>3</v>
      </c>
      <c r="AF196">
        <v>1</v>
      </c>
      <c r="AG196">
        <v>13</v>
      </c>
      <c r="AH196">
        <v>8</v>
      </c>
      <c r="AI196">
        <v>5</v>
      </c>
      <c r="AJ196">
        <v>12</v>
      </c>
    </row>
    <row r="197" spans="1:36" x14ac:dyDescent="0.25">
      <c r="A197">
        <v>564</v>
      </c>
      <c r="B197">
        <v>31</v>
      </c>
      <c r="C197" t="s">
        <v>9</v>
      </c>
      <c r="D197" t="s">
        <v>16</v>
      </c>
      <c r="E197">
        <v>697</v>
      </c>
      <c r="F197" t="s">
        <v>119</v>
      </c>
      <c r="G197">
        <v>10</v>
      </c>
      <c r="H197">
        <v>3</v>
      </c>
      <c r="I197" t="s">
        <v>17</v>
      </c>
      <c r="J197">
        <v>1</v>
      </c>
      <c r="K197">
        <v>1979</v>
      </c>
      <c r="L197">
        <v>3</v>
      </c>
      <c r="M197" t="s">
        <v>24</v>
      </c>
      <c r="N197">
        <v>40</v>
      </c>
      <c r="O197">
        <v>3</v>
      </c>
      <c r="P197">
        <v>3</v>
      </c>
      <c r="Q197" t="s">
        <v>30</v>
      </c>
      <c r="R197">
        <v>3</v>
      </c>
      <c r="S197" t="s">
        <v>28</v>
      </c>
      <c r="T197">
        <v>11031</v>
      </c>
      <c r="U197">
        <v>26862</v>
      </c>
      <c r="V197">
        <v>4</v>
      </c>
      <c r="W197" t="s">
        <v>29</v>
      </c>
      <c r="X197" t="s">
        <v>9</v>
      </c>
      <c r="Y197">
        <v>20</v>
      </c>
      <c r="Z197">
        <v>4</v>
      </c>
      <c r="AA197">
        <v>3</v>
      </c>
      <c r="AB197">
        <v>80</v>
      </c>
      <c r="AC197">
        <v>1</v>
      </c>
      <c r="AD197">
        <v>13</v>
      </c>
      <c r="AE197">
        <v>2</v>
      </c>
      <c r="AF197">
        <v>4</v>
      </c>
      <c r="AG197">
        <v>11</v>
      </c>
      <c r="AH197">
        <v>7</v>
      </c>
      <c r="AI197">
        <v>4</v>
      </c>
      <c r="AJ197">
        <v>8</v>
      </c>
    </row>
    <row r="198" spans="1:36" x14ac:dyDescent="0.25">
      <c r="A198" s="15">
        <v>798</v>
      </c>
      <c r="B198" s="15">
        <v>22</v>
      </c>
      <c r="C198" s="15" t="s">
        <v>10</v>
      </c>
      <c r="D198" s="15" t="s">
        <v>15</v>
      </c>
      <c r="E198" s="15">
        <v>1294</v>
      </c>
      <c r="F198" s="15" t="s">
        <v>119</v>
      </c>
      <c r="G198" s="15">
        <v>8</v>
      </c>
      <c r="H198" s="15">
        <v>1</v>
      </c>
      <c r="I198" s="15" t="s">
        <v>17</v>
      </c>
      <c r="J198" s="15">
        <v>1</v>
      </c>
      <c r="K198" s="15">
        <v>1783</v>
      </c>
      <c r="L198" s="15">
        <v>3</v>
      </c>
      <c r="M198" s="15" t="s">
        <v>24</v>
      </c>
      <c r="N198" s="15">
        <v>79</v>
      </c>
      <c r="O198" s="15">
        <v>3</v>
      </c>
      <c r="P198" s="15">
        <v>1</v>
      </c>
      <c r="Q198" s="15" t="s">
        <v>36</v>
      </c>
      <c r="R198" s="15">
        <v>1</v>
      </c>
      <c r="S198" s="15" t="s">
        <v>28</v>
      </c>
      <c r="T198" s="15">
        <v>2398</v>
      </c>
      <c r="U198" s="15">
        <v>15999</v>
      </c>
      <c r="V198" s="15">
        <v>1</v>
      </c>
      <c r="W198" s="15" t="s">
        <v>29</v>
      </c>
      <c r="X198" s="15" t="s">
        <v>10</v>
      </c>
      <c r="Y198" s="15">
        <v>17</v>
      </c>
      <c r="Z198" s="15">
        <v>3</v>
      </c>
      <c r="AA198" s="15">
        <v>3</v>
      </c>
      <c r="AB198" s="15">
        <v>80</v>
      </c>
      <c r="AC198" s="15">
        <v>0</v>
      </c>
      <c r="AD198" s="15">
        <v>1</v>
      </c>
      <c r="AE198" s="15">
        <v>6</v>
      </c>
      <c r="AF198" s="15">
        <v>3</v>
      </c>
      <c r="AG198" s="15">
        <v>1</v>
      </c>
      <c r="AH198" s="15">
        <v>0</v>
      </c>
      <c r="AI198" s="15">
        <v>0</v>
      </c>
      <c r="AJ198" s="15">
        <v>0</v>
      </c>
    </row>
    <row r="199" spans="1:36" x14ac:dyDescent="0.25">
      <c r="A199">
        <v>353</v>
      </c>
      <c r="B199">
        <v>40</v>
      </c>
      <c r="C199" t="s">
        <v>9</v>
      </c>
      <c r="D199" t="s">
        <v>11</v>
      </c>
      <c r="E199">
        <v>902</v>
      </c>
      <c r="F199" t="s">
        <v>119</v>
      </c>
      <c r="G199">
        <v>26</v>
      </c>
      <c r="H199">
        <v>2</v>
      </c>
      <c r="I199" t="s">
        <v>17</v>
      </c>
      <c r="J199">
        <v>1</v>
      </c>
      <c r="K199">
        <v>1180</v>
      </c>
      <c r="L199">
        <v>3</v>
      </c>
      <c r="M199" t="s">
        <v>24</v>
      </c>
      <c r="N199">
        <v>92</v>
      </c>
      <c r="O199">
        <v>2</v>
      </c>
      <c r="P199">
        <v>2</v>
      </c>
      <c r="Q199" t="s">
        <v>32</v>
      </c>
      <c r="R199">
        <v>4</v>
      </c>
      <c r="S199" t="s">
        <v>28</v>
      </c>
      <c r="T199">
        <v>4422</v>
      </c>
      <c r="U199">
        <v>21203</v>
      </c>
      <c r="V199">
        <v>3</v>
      </c>
      <c r="W199" t="s">
        <v>29</v>
      </c>
      <c r="X199" t="s">
        <v>10</v>
      </c>
      <c r="Y199">
        <v>13</v>
      </c>
      <c r="Z199">
        <v>3</v>
      </c>
      <c r="AA199">
        <v>4</v>
      </c>
      <c r="AB199">
        <v>80</v>
      </c>
      <c r="AC199">
        <v>1</v>
      </c>
      <c r="AD199">
        <v>16</v>
      </c>
      <c r="AE199">
        <v>3</v>
      </c>
      <c r="AF199">
        <v>1</v>
      </c>
      <c r="AG199">
        <v>1</v>
      </c>
      <c r="AH199">
        <v>1</v>
      </c>
      <c r="AI199">
        <v>0</v>
      </c>
      <c r="AJ199">
        <v>0</v>
      </c>
    </row>
    <row r="200" spans="1:36" x14ac:dyDescent="0.25">
      <c r="A200">
        <v>688</v>
      </c>
      <c r="B200">
        <v>33</v>
      </c>
      <c r="C200" t="s">
        <v>9</v>
      </c>
      <c r="D200" t="s">
        <v>15</v>
      </c>
      <c r="E200">
        <v>147</v>
      </c>
      <c r="F200" t="s">
        <v>119</v>
      </c>
      <c r="G200">
        <v>4</v>
      </c>
      <c r="H200">
        <v>4</v>
      </c>
      <c r="I200" t="s">
        <v>17</v>
      </c>
      <c r="J200">
        <v>1</v>
      </c>
      <c r="K200">
        <v>305</v>
      </c>
      <c r="L200">
        <v>3</v>
      </c>
      <c r="M200" t="s">
        <v>24</v>
      </c>
      <c r="N200">
        <v>47</v>
      </c>
      <c r="O200">
        <v>2</v>
      </c>
      <c r="P200">
        <v>1</v>
      </c>
      <c r="Q200" t="s">
        <v>32</v>
      </c>
      <c r="R200">
        <v>2</v>
      </c>
      <c r="S200" t="s">
        <v>28</v>
      </c>
      <c r="T200">
        <v>2622</v>
      </c>
      <c r="U200">
        <v>13248</v>
      </c>
      <c r="V200">
        <v>6</v>
      </c>
      <c r="W200" t="s">
        <v>29</v>
      </c>
      <c r="X200" t="s">
        <v>9</v>
      </c>
      <c r="Y200">
        <v>21</v>
      </c>
      <c r="Z200">
        <v>4</v>
      </c>
      <c r="AA200">
        <v>4</v>
      </c>
      <c r="AB200">
        <v>80</v>
      </c>
      <c r="AC200">
        <v>0</v>
      </c>
      <c r="AD200">
        <v>7</v>
      </c>
      <c r="AE200">
        <v>3</v>
      </c>
      <c r="AF200">
        <v>3</v>
      </c>
      <c r="AG200">
        <v>3</v>
      </c>
      <c r="AH200">
        <v>2</v>
      </c>
      <c r="AI200">
        <v>1</v>
      </c>
      <c r="AJ200">
        <v>1</v>
      </c>
    </row>
    <row r="201" spans="1:36" x14ac:dyDescent="0.25">
      <c r="A201">
        <v>357</v>
      </c>
      <c r="B201">
        <v>26</v>
      </c>
      <c r="C201" t="s">
        <v>9</v>
      </c>
      <c r="D201" t="s">
        <v>15</v>
      </c>
      <c r="E201">
        <v>841</v>
      </c>
      <c r="F201" t="s">
        <v>119</v>
      </c>
      <c r="G201">
        <v>6</v>
      </c>
      <c r="H201">
        <v>3</v>
      </c>
      <c r="I201" t="s">
        <v>19</v>
      </c>
      <c r="J201">
        <v>1</v>
      </c>
      <c r="K201">
        <v>164</v>
      </c>
      <c r="L201">
        <v>3</v>
      </c>
      <c r="M201" t="s">
        <v>24</v>
      </c>
      <c r="N201">
        <v>46</v>
      </c>
      <c r="O201">
        <v>2</v>
      </c>
      <c r="P201">
        <v>1</v>
      </c>
      <c r="Q201" t="s">
        <v>32</v>
      </c>
      <c r="R201">
        <v>2</v>
      </c>
      <c r="S201" t="s">
        <v>28</v>
      </c>
      <c r="T201">
        <v>2368</v>
      </c>
      <c r="U201">
        <v>23300</v>
      </c>
      <c r="V201">
        <v>1</v>
      </c>
      <c r="W201" t="s">
        <v>29</v>
      </c>
      <c r="X201" t="s">
        <v>9</v>
      </c>
      <c r="Y201">
        <v>19</v>
      </c>
      <c r="Z201">
        <v>3</v>
      </c>
      <c r="AA201">
        <v>3</v>
      </c>
      <c r="AB201">
        <v>80</v>
      </c>
      <c r="AC201">
        <v>0</v>
      </c>
      <c r="AD201">
        <v>5</v>
      </c>
      <c r="AE201">
        <v>3</v>
      </c>
      <c r="AF201">
        <v>2</v>
      </c>
      <c r="AG201">
        <v>5</v>
      </c>
      <c r="AH201">
        <v>4</v>
      </c>
      <c r="AI201">
        <v>4</v>
      </c>
      <c r="AJ201">
        <v>3</v>
      </c>
    </row>
    <row r="202" spans="1:36" x14ac:dyDescent="0.25">
      <c r="A202">
        <v>126</v>
      </c>
      <c r="B202">
        <v>35</v>
      </c>
      <c r="C202" t="s">
        <v>9</v>
      </c>
      <c r="D202" t="s">
        <v>15</v>
      </c>
      <c r="E202">
        <v>1224</v>
      </c>
      <c r="F202" t="s">
        <v>118</v>
      </c>
      <c r="G202">
        <v>7</v>
      </c>
      <c r="H202">
        <v>4</v>
      </c>
      <c r="I202" t="s">
        <v>21</v>
      </c>
      <c r="J202">
        <v>1</v>
      </c>
      <c r="K202">
        <v>1962</v>
      </c>
      <c r="L202">
        <v>3</v>
      </c>
      <c r="M202" t="s">
        <v>24</v>
      </c>
      <c r="N202">
        <v>55</v>
      </c>
      <c r="O202">
        <v>3</v>
      </c>
      <c r="P202">
        <v>2</v>
      </c>
      <c r="Q202" t="s">
        <v>25</v>
      </c>
      <c r="R202">
        <v>4</v>
      </c>
      <c r="S202" t="s">
        <v>28</v>
      </c>
      <c r="T202">
        <v>5204</v>
      </c>
      <c r="U202">
        <v>13586</v>
      </c>
      <c r="V202">
        <v>1</v>
      </c>
      <c r="W202" t="s">
        <v>29</v>
      </c>
      <c r="X202" t="s">
        <v>10</v>
      </c>
      <c r="Y202">
        <v>11</v>
      </c>
      <c r="Z202">
        <v>3</v>
      </c>
      <c r="AA202">
        <v>4</v>
      </c>
      <c r="AB202">
        <v>80</v>
      </c>
      <c r="AC202">
        <v>0</v>
      </c>
      <c r="AD202">
        <v>10</v>
      </c>
      <c r="AE202">
        <v>2</v>
      </c>
      <c r="AF202">
        <v>3</v>
      </c>
      <c r="AG202">
        <v>10</v>
      </c>
      <c r="AH202">
        <v>8</v>
      </c>
      <c r="AI202">
        <v>0</v>
      </c>
      <c r="AJ202">
        <v>9</v>
      </c>
    </row>
    <row r="203" spans="1:36" x14ac:dyDescent="0.25">
      <c r="A203">
        <v>271</v>
      </c>
      <c r="B203">
        <v>45</v>
      </c>
      <c r="C203" t="s">
        <v>9</v>
      </c>
      <c r="D203" t="s">
        <v>16</v>
      </c>
      <c r="E203">
        <v>589</v>
      </c>
      <c r="F203" t="s">
        <v>118</v>
      </c>
      <c r="G203">
        <v>2</v>
      </c>
      <c r="H203">
        <v>4</v>
      </c>
      <c r="I203" t="s">
        <v>21</v>
      </c>
      <c r="J203">
        <v>1</v>
      </c>
      <c r="K203">
        <v>1845</v>
      </c>
      <c r="L203">
        <v>3</v>
      </c>
      <c r="M203" t="s">
        <v>24</v>
      </c>
      <c r="N203">
        <v>67</v>
      </c>
      <c r="O203">
        <v>3</v>
      </c>
      <c r="P203">
        <v>2</v>
      </c>
      <c r="Q203" t="s">
        <v>25</v>
      </c>
      <c r="R203">
        <v>3</v>
      </c>
      <c r="S203" t="s">
        <v>28</v>
      </c>
      <c r="T203">
        <v>5154</v>
      </c>
      <c r="U203">
        <v>19665</v>
      </c>
      <c r="V203">
        <v>4</v>
      </c>
      <c r="W203" t="s">
        <v>29</v>
      </c>
      <c r="X203" t="s">
        <v>9</v>
      </c>
      <c r="Y203">
        <v>22</v>
      </c>
      <c r="Z203">
        <v>4</v>
      </c>
      <c r="AA203">
        <v>2</v>
      </c>
      <c r="AB203">
        <v>80</v>
      </c>
      <c r="AC203">
        <v>2</v>
      </c>
      <c r="AD203">
        <v>10</v>
      </c>
      <c r="AE203">
        <v>3</v>
      </c>
      <c r="AF203">
        <v>4</v>
      </c>
      <c r="AG203">
        <v>8</v>
      </c>
      <c r="AH203">
        <v>7</v>
      </c>
      <c r="AI203">
        <v>5</v>
      </c>
      <c r="AJ203">
        <v>7</v>
      </c>
    </row>
    <row r="204" spans="1:36" x14ac:dyDescent="0.25">
      <c r="A204">
        <v>366</v>
      </c>
      <c r="B204">
        <v>56</v>
      </c>
      <c r="C204" t="s">
        <v>9</v>
      </c>
      <c r="D204" t="s">
        <v>11</v>
      </c>
      <c r="E204">
        <v>906</v>
      </c>
      <c r="F204" t="s">
        <v>118</v>
      </c>
      <c r="G204">
        <v>6</v>
      </c>
      <c r="H204">
        <v>3</v>
      </c>
      <c r="I204" t="s">
        <v>21</v>
      </c>
      <c r="J204">
        <v>1</v>
      </c>
      <c r="K204">
        <v>532</v>
      </c>
      <c r="L204">
        <v>3</v>
      </c>
      <c r="M204" t="s">
        <v>24</v>
      </c>
      <c r="N204">
        <v>86</v>
      </c>
      <c r="O204">
        <v>4</v>
      </c>
      <c r="P204">
        <v>4</v>
      </c>
      <c r="Q204" t="s">
        <v>25</v>
      </c>
      <c r="R204">
        <v>1</v>
      </c>
      <c r="S204" t="s">
        <v>28</v>
      </c>
      <c r="T204">
        <v>13212</v>
      </c>
      <c r="U204">
        <v>18256</v>
      </c>
      <c r="V204">
        <v>9</v>
      </c>
      <c r="W204" t="s">
        <v>29</v>
      </c>
      <c r="X204" t="s">
        <v>9</v>
      </c>
      <c r="Y204">
        <v>11</v>
      </c>
      <c r="Z204">
        <v>3</v>
      </c>
      <c r="AA204">
        <v>4</v>
      </c>
      <c r="AB204">
        <v>80</v>
      </c>
      <c r="AC204">
        <v>3</v>
      </c>
      <c r="AD204">
        <v>36</v>
      </c>
      <c r="AE204">
        <v>0</v>
      </c>
      <c r="AF204">
        <v>2</v>
      </c>
      <c r="AG204">
        <v>7</v>
      </c>
      <c r="AH204">
        <v>7</v>
      </c>
      <c r="AI204">
        <v>7</v>
      </c>
      <c r="AJ204">
        <v>7</v>
      </c>
    </row>
    <row r="205" spans="1:36" x14ac:dyDescent="0.25">
      <c r="A205">
        <v>391</v>
      </c>
      <c r="B205">
        <v>34</v>
      </c>
      <c r="C205" t="s">
        <v>9</v>
      </c>
      <c r="D205" t="s">
        <v>15</v>
      </c>
      <c r="E205">
        <v>1111</v>
      </c>
      <c r="F205" t="s">
        <v>118</v>
      </c>
      <c r="G205">
        <v>8</v>
      </c>
      <c r="H205">
        <v>2</v>
      </c>
      <c r="I205" t="s">
        <v>21</v>
      </c>
      <c r="J205">
        <v>1</v>
      </c>
      <c r="K205">
        <v>808</v>
      </c>
      <c r="L205">
        <v>3</v>
      </c>
      <c r="M205" t="s">
        <v>24</v>
      </c>
      <c r="N205">
        <v>93</v>
      </c>
      <c r="O205">
        <v>3</v>
      </c>
      <c r="P205">
        <v>2</v>
      </c>
      <c r="Q205" t="s">
        <v>25</v>
      </c>
      <c r="R205">
        <v>1</v>
      </c>
      <c r="S205" t="s">
        <v>28</v>
      </c>
      <c r="T205">
        <v>6500</v>
      </c>
      <c r="U205">
        <v>13305</v>
      </c>
      <c r="V205">
        <v>5</v>
      </c>
      <c r="W205" t="s">
        <v>29</v>
      </c>
      <c r="X205" t="s">
        <v>9</v>
      </c>
      <c r="Y205">
        <v>17</v>
      </c>
      <c r="Z205">
        <v>3</v>
      </c>
      <c r="AA205">
        <v>2</v>
      </c>
      <c r="AB205">
        <v>80</v>
      </c>
      <c r="AC205">
        <v>1</v>
      </c>
      <c r="AD205">
        <v>6</v>
      </c>
      <c r="AE205">
        <v>1</v>
      </c>
      <c r="AF205">
        <v>3</v>
      </c>
      <c r="AG205">
        <v>3</v>
      </c>
      <c r="AH205">
        <v>2</v>
      </c>
      <c r="AI205">
        <v>1</v>
      </c>
      <c r="AJ205">
        <v>2</v>
      </c>
    </row>
    <row r="206" spans="1:36" x14ac:dyDescent="0.25">
      <c r="A206">
        <v>801</v>
      </c>
      <c r="B206">
        <v>33</v>
      </c>
      <c r="C206" t="s">
        <v>9</v>
      </c>
      <c r="D206" t="s">
        <v>11</v>
      </c>
      <c r="E206">
        <v>1141</v>
      </c>
      <c r="F206" t="s">
        <v>118</v>
      </c>
      <c r="G206">
        <v>1</v>
      </c>
      <c r="H206">
        <v>3</v>
      </c>
      <c r="I206" t="s">
        <v>21</v>
      </c>
      <c r="J206">
        <v>1</v>
      </c>
      <c r="K206">
        <v>52</v>
      </c>
      <c r="L206">
        <v>3</v>
      </c>
      <c r="M206" t="s">
        <v>24</v>
      </c>
      <c r="N206">
        <v>42</v>
      </c>
      <c r="O206">
        <v>4</v>
      </c>
      <c r="P206">
        <v>2</v>
      </c>
      <c r="Q206" t="s">
        <v>25</v>
      </c>
      <c r="R206">
        <v>1</v>
      </c>
      <c r="S206" t="s">
        <v>28</v>
      </c>
      <c r="T206">
        <v>5376</v>
      </c>
      <c r="U206">
        <v>3193</v>
      </c>
      <c r="V206">
        <v>2</v>
      </c>
      <c r="W206" t="s">
        <v>29</v>
      </c>
      <c r="X206" t="s">
        <v>9</v>
      </c>
      <c r="Y206">
        <v>19</v>
      </c>
      <c r="Z206">
        <v>3</v>
      </c>
      <c r="AA206">
        <v>1</v>
      </c>
      <c r="AB206">
        <v>80</v>
      </c>
      <c r="AC206">
        <v>2</v>
      </c>
      <c r="AD206">
        <v>10</v>
      </c>
      <c r="AE206">
        <v>3</v>
      </c>
      <c r="AF206">
        <v>3</v>
      </c>
      <c r="AG206">
        <v>5</v>
      </c>
      <c r="AH206">
        <v>3</v>
      </c>
      <c r="AI206">
        <v>1</v>
      </c>
      <c r="AJ206">
        <v>3</v>
      </c>
    </row>
    <row r="207" spans="1:36" x14ac:dyDescent="0.25">
      <c r="A207" s="15">
        <v>754</v>
      </c>
      <c r="B207" s="15">
        <v>46</v>
      </c>
      <c r="C207" s="15" t="s">
        <v>10</v>
      </c>
      <c r="D207" s="15" t="s">
        <v>15</v>
      </c>
      <c r="E207" s="15">
        <v>1254</v>
      </c>
      <c r="F207" s="15" t="s">
        <v>118</v>
      </c>
      <c r="G207" s="15">
        <v>10</v>
      </c>
      <c r="H207" s="15">
        <v>3</v>
      </c>
      <c r="I207" s="15" t="s">
        <v>21</v>
      </c>
      <c r="J207" s="15">
        <v>1</v>
      </c>
      <c r="K207" s="15">
        <v>1869</v>
      </c>
      <c r="L207" s="15">
        <v>3</v>
      </c>
      <c r="M207" s="15" t="s">
        <v>24</v>
      </c>
      <c r="N207" s="15">
        <v>64</v>
      </c>
      <c r="O207" s="15">
        <v>3</v>
      </c>
      <c r="P207" s="15">
        <v>3</v>
      </c>
      <c r="Q207" s="15" t="s">
        <v>25</v>
      </c>
      <c r="R207" s="15">
        <v>2</v>
      </c>
      <c r="S207" s="15" t="s">
        <v>28</v>
      </c>
      <c r="T207" s="15">
        <v>7314</v>
      </c>
      <c r="U207" s="15">
        <v>14011</v>
      </c>
      <c r="V207" s="15">
        <v>5</v>
      </c>
      <c r="W207" s="15" t="s">
        <v>29</v>
      </c>
      <c r="X207" s="15" t="s">
        <v>9</v>
      </c>
      <c r="Y207" s="15">
        <v>21</v>
      </c>
      <c r="Z207" s="15">
        <v>4</v>
      </c>
      <c r="AA207" s="15">
        <v>3</v>
      </c>
      <c r="AB207" s="15">
        <v>80</v>
      </c>
      <c r="AC207" s="15">
        <v>3</v>
      </c>
      <c r="AD207" s="15">
        <v>14</v>
      </c>
      <c r="AE207" s="15">
        <v>2</v>
      </c>
      <c r="AF207" s="15">
        <v>3</v>
      </c>
      <c r="AG207" s="15">
        <v>8</v>
      </c>
      <c r="AH207" s="15">
        <v>7</v>
      </c>
      <c r="AI207" s="15">
        <v>0</v>
      </c>
      <c r="AJ207" s="15">
        <v>7</v>
      </c>
    </row>
    <row r="208" spans="1:36" x14ac:dyDescent="0.25">
      <c r="A208">
        <v>4</v>
      </c>
      <c r="B208">
        <v>32</v>
      </c>
      <c r="C208" t="s">
        <v>9</v>
      </c>
      <c r="D208" t="s">
        <v>15</v>
      </c>
      <c r="E208">
        <v>801</v>
      </c>
      <c r="F208" t="s">
        <v>118</v>
      </c>
      <c r="G208">
        <v>1</v>
      </c>
      <c r="H208">
        <v>4</v>
      </c>
      <c r="I208" t="s">
        <v>18</v>
      </c>
      <c r="J208">
        <v>1</v>
      </c>
      <c r="K208">
        <v>2016</v>
      </c>
      <c r="L208">
        <v>3</v>
      </c>
      <c r="M208" t="s">
        <v>24</v>
      </c>
      <c r="N208">
        <v>48</v>
      </c>
      <c r="O208">
        <v>3</v>
      </c>
      <c r="P208">
        <v>3</v>
      </c>
      <c r="Q208" t="s">
        <v>25</v>
      </c>
      <c r="R208">
        <v>4</v>
      </c>
      <c r="S208" t="s">
        <v>28</v>
      </c>
      <c r="T208">
        <v>10422</v>
      </c>
      <c r="U208">
        <v>24032</v>
      </c>
      <c r="V208">
        <v>1</v>
      </c>
      <c r="W208" t="s">
        <v>29</v>
      </c>
      <c r="X208" t="s">
        <v>9</v>
      </c>
      <c r="Y208">
        <v>19</v>
      </c>
      <c r="Z208">
        <v>3</v>
      </c>
      <c r="AA208">
        <v>3</v>
      </c>
      <c r="AB208">
        <v>80</v>
      </c>
      <c r="AC208">
        <v>2</v>
      </c>
      <c r="AD208">
        <v>14</v>
      </c>
      <c r="AE208">
        <v>3</v>
      </c>
      <c r="AF208">
        <v>3</v>
      </c>
      <c r="AG208">
        <v>14</v>
      </c>
      <c r="AH208">
        <v>10</v>
      </c>
      <c r="AI208">
        <v>5</v>
      </c>
      <c r="AJ208">
        <v>7</v>
      </c>
    </row>
    <row r="209" spans="1:36" x14ac:dyDescent="0.25">
      <c r="A209">
        <v>103</v>
      </c>
      <c r="B209">
        <v>34</v>
      </c>
      <c r="C209" t="s">
        <v>9</v>
      </c>
      <c r="D209" t="s">
        <v>16</v>
      </c>
      <c r="E209">
        <v>1381</v>
      </c>
      <c r="F209" t="s">
        <v>118</v>
      </c>
      <c r="G209">
        <v>4</v>
      </c>
      <c r="H209">
        <v>4</v>
      </c>
      <c r="I209" t="s">
        <v>18</v>
      </c>
      <c r="J209">
        <v>1</v>
      </c>
      <c r="K209">
        <v>523</v>
      </c>
      <c r="L209">
        <v>3</v>
      </c>
      <c r="M209" t="s">
        <v>24</v>
      </c>
      <c r="N209">
        <v>72</v>
      </c>
      <c r="O209">
        <v>3</v>
      </c>
      <c r="P209">
        <v>2</v>
      </c>
      <c r="Q209" t="s">
        <v>25</v>
      </c>
      <c r="R209">
        <v>3</v>
      </c>
      <c r="S209" t="s">
        <v>28</v>
      </c>
      <c r="T209">
        <v>6538</v>
      </c>
      <c r="U209">
        <v>12740</v>
      </c>
      <c r="V209">
        <v>9</v>
      </c>
      <c r="W209" t="s">
        <v>29</v>
      </c>
      <c r="X209" t="s">
        <v>9</v>
      </c>
      <c r="Y209">
        <v>15</v>
      </c>
      <c r="Z209">
        <v>3</v>
      </c>
      <c r="AA209">
        <v>1</v>
      </c>
      <c r="AB209">
        <v>80</v>
      </c>
      <c r="AC209">
        <v>1</v>
      </c>
      <c r="AD209">
        <v>6</v>
      </c>
      <c r="AE209">
        <v>3</v>
      </c>
      <c r="AF209">
        <v>3</v>
      </c>
      <c r="AG209">
        <v>3</v>
      </c>
      <c r="AH209">
        <v>2</v>
      </c>
      <c r="AI209">
        <v>1</v>
      </c>
      <c r="AJ209">
        <v>2</v>
      </c>
    </row>
    <row r="210" spans="1:36" x14ac:dyDescent="0.25">
      <c r="A210">
        <v>274</v>
      </c>
      <c r="B210">
        <v>36</v>
      </c>
      <c r="C210" t="s">
        <v>9</v>
      </c>
      <c r="D210" t="s">
        <v>15</v>
      </c>
      <c r="E210">
        <v>329</v>
      </c>
      <c r="F210" t="s">
        <v>118</v>
      </c>
      <c r="G210">
        <v>16</v>
      </c>
      <c r="H210">
        <v>4</v>
      </c>
      <c r="I210" t="s">
        <v>18</v>
      </c>
      <c r="J210">
        <v>1</v>
      </c>
      <c r="K210">
        <v>1436</v>
      </c>
      <c r="L210">
        <v>3</v>
      </c>
      <c r="M210" t="s">
        <v>24</v>
      </c>
      <c r="N210">
        <v>98</v>
      </c>
      <c r="O210">
        <v>2</v>
      </c>
      <c r="P210">
        <v>2</v>
      </c>
      <c r="Q210" t="s">
        <v>25</v>
      </c>
      <c r="R210">
        <v>1</v>
      </c>
      <c r="S210" t="s">
        <v>28</v>
      </c>
      <c r="T210">
        <v>5647</v>
      </c>
      <c r="U210">
        <v>13494</v>
      </c>
      <c r="V210">
        <v>4</v>
      </c>
      <c r="W210" t="s">
        <v>29</v>
      </c>
      <c r="X210" t="s">
        <v>9</v>
      </c>
      <c r="Y210">
        <v>13</v>
      </c>
      <c r="Z210">
        <v>3</v>
      </c>
      <c r="AA210">
        <v>1</v>
      </c>
      <c r="AB210">
        <v>80</v>
      </c>
      <c r="AC210">
        <v>2</v>
      </c>
      <c r="AD210">
        <v>11</v>
      </c>
      <c r="AE210">
        <v>3</v>
      </c>
      <c r="AF210">
        <v>2</v>
      </c>
      <c r="AG210">
        <v>3</v>
      </c>
      <c r="AH210">
        <v>2</v>
      </c>
      <c r="AI210">
        <v>0</v>
      </c>
      <c r="AJ210">
        <v>2</v>
      </c>
    </row>
    <row r="211" spans="1:36" x14ac:dyDescent="0.25">
      <c r="A211">
        <v>392</v>
      </c>
      <c r="B211">
        <v>26</v>
      </c>
      <c r="C211" t="s">
        <v>9</v>
      </c>
      <c r="D211" t="s">
        <v>15</v>
      </c>
      <c r="E211">
        <v>1443</v>
      </c>
      <c r="F211" t="s">
        <v>118</v>
      </c>
      <c r="G211">
        <v>23</v>
      </c>
      <c r="H211">
        <v>3</v>
      </c>
      <c r="I211" t="s">
        <v>18</v>
      </c>
      <c r="J211">
        <v>1</v>
      </c>
      <c r="K211">
        <v>72</v>
      </c>
      <c r="L211">
        <v>3</v>
      </c>
      <c r="M211" t="s">
        <v>24</v>
      </c>
      <c r="N211">
        <v>47</v>
      </c>
      <c r="O211">
        <v>2</v>
      </c>
      <c r="P211">
        <v>2</v>
      </c>
      <c r="Q211" t="s">
        <v>25</v>
      </c>
      <c r="R211">
        <v>4</v>
      </c>
      <c r="S211" t="s">
        <v>28</v>
      </c>
      <c r="T211">
        <v>4157</v>
      </c>
      <c r="U211">
        <v>21436</v>
      </c>
      <c r="V211">
        <v>7</v>
      </c>
      <c r="W211" t="s">
        <v>29</v>
      </c>
      <c r="X211" t="s">
        <v>10</v>
      </c>
      <c r="Y211">
        <v>19</v>
      </c>
      <c r="Z211">
        <v>3</v>
      </c>
      <c r="AA211">
        <v>3</v>
      </c>
      <c r="AB211">
        <v>80</v>
      </c>
      <c r="AC211">
        <v>1</v>
      </c>
      <c r="AD211">
        <v>5</v>
      </c>
      <c r="AE211">
        <v>2</v>
      </c>
      <c r="AF211">
        <v>2</v>
      </c>
      <c r="AG211">
        <v>2</v>
      </c>
      <c r="AH211">
        <v>2</v>
      </c>
      <c r="AI211">
        <v>0</v>
      </c>
      <c r="AJ211">
        <v>0</v>
      </c>
    </row>
    <row r="212" spans="1:36" x14ac:dyDescent="0.25">
      <c r="A212">
        <v>394</v>
      </c>
      <c r="B212">
        <v>60</v>
      </c>
      <c r="C212" t="s">
        <v>9</v>
      </c>
      <c r="D212" t="s">
        <v>11</v>
      </c>
      <c r="E212">
        <v>1499</v>
      </c>
      <c r="F212" t="s">
        <v>118</v>
      </c>
      <c r="G212">
        <v>28</v>
      </c>
      <c r="H212">
        <v>3</v>
      </c>
      <c r="I212" t="s">
        <v>18</v>
      </c>
      <c r="J212">
        <v>1</v>
      </c>
      <c r="K212">
        <v>573</v>
      </c>
      <c r="L212">
        <v>3</v>
      </c>
      <c r="M212" t="s">
        <v>24</v>
      </c>
      <c r="N212">
        <v>80</v>
      </c>
      <c r="O212">
        <v>2</v>
      </c>
      <c r="P212">
        <v>3</v>
      </c>
      <c r="Q212" t="s">
        <v>25</v>
      </c>
      <c r="R212">
        <v>1</v>
      </c>
      <c r="S212" t="s">
        <v>28</v>
      </c>
      <c r="T212">
        <v>10266</v>
      </c>
      <c r="U212">
        <v>2845</v>
      </c>
      <c r="V212">
        <v>4</v>
      </c>
      <c r="W212" t="s">
        <v>29</v>
      </c>
      <c r="X212" t="s">
        <v>9</v>
      </c>
      <c r="Y212">
        <v>19</v>
      </c>
      <c r="Z212">
        <v>3</v>
      </c>
      <c r="AA212">
        <v>4</v>
      </c>
      <c r="AB212">
        <v>80</v>
      </c>
      <c r="AC212">
        <v>0</v>
      </c>
      <c r="AD212">
        <v>22</v>
      </c>
      <c r="AE212">
        <v>5</v>
      </c>
      <c r="AF212">
        <v>4</v>
      </c>
      <c r="AG212">
        <v>18</v>
      </c>
      <c r="AH212">
        <v>13</v>
      </c>
      <c r="AI212">
        <v>13</v>
      </c>
      <c r="AJ212">
        <v>11</v>
      </c>
    </row>
    <row r="213" spans="1:36" x14ac:dyDescent="0.25">
      <c r="A213">
        <v>526</v>
      </c>
      <c r="B213">
        <v>53</v>
      </c>
      <c r="C213" t="s">
        <v>9</v>
      </c>
      <c r="D213" t="s">
        <v>11</v>
      </c>
      <c r="E213">
        <v>124</v>
      </c>
      <c r="F213" t="s">
        <v>118</v>
      </c>
      <c r="G213">
        <v>2</v>
      </c>
      <c r="H213">
        <v>3</v>
      </c>
      <c r="I213" t="s">
        <v>18</v>
      </c>
      <c r="J213">
        <v>1</v>
      </c>
      <c r="K213">
        <v>1050</v>
      </c>
      <c r="L213">
        <v>3</v>
      </c>
      <c r="M213" t="s">
        <v>24</v>
      </c>
      <c r="N213">
        <v>38</v>
      </c>
      <c r="O213">
        <v>2</v>
      </c>
      <c r="P213">
        <v>3</v>
      </c>
      <c r="Q213" t="s">
        <v>25</v>
      </c>
      <c r="R213">
        <v>2</v>
      </c>
      <c r="S213" t="s">
        <v>28</v>
      </c>
      <c r="T213">
        <v>7525</v>
      </c>
      <c r="U213">
        <v>23537</v>
      </c>
      <c r="V213">
        <v>2</v>
      </c>
      <c r="W213" t="s">
        <v>29</v>
      </c>
      <c r="X213" t="s">
        <v>9</v>
      </c>
      <c r="Y213">
        <v>12</v>
      </c>
      <c r="Z213">
        <v>3</v>
      </c>
      <c r="AA213">
        <v>1</v>
      </c>
      <c r="AB213">
        <v>80</v>
      </c>
      <c r="AC213">
        <v>1</v>
      </c>
      <c r="AD213">
        <v>30</v>
      </c>
      <c r="AE213">
        <v>2</v>
      </c>
      <c r="AF213">
        <v>3</v>
      </c>
      <c r="AG213">
        <v>15</v>
      </c>
      <c r="AH213">
        <v>7</v>
      </c>
      <c r="AI213">
        <v>6</v>
      </c>
      <c r="AJ213">
        <v>12</v>
      </c>
    </row>
    <row r="214" spans="1:36" x14ac:dyDescent="0.25">
      <c r="A214">
        <v>571</v>
      </c>
      <c r="B214">
        <v>41</v>
      </c>
      <c r="C214" t="s">
        <v>9</v>
      </c>
      <c r="D214" t="s">
        <v>15</v>
      </c>
      <c r="E214">
        <v>337</v>
      </c>
      <c r="F214" t="s">
        <v>118</v>
      </c>
      <c r="G214">
        <v>8</v>
      </c>
      <c r="H214">
        <v>3</v>
      </c>
      <c r="I214" t="s">
        <v>18</v>
      </c>
      <c r="J214">
        <v>1</v>
      </c>
      <c r="K214">
        <v>1909</v>
      </c>
      <c r="L214">
        <v>3</v>
      </c>
      <c r="M214" t="s">
        <v>24</v>
      </c>
      <c r="N214">
        <v>54</v>
      </c>
      <c r="O214">
        <v>3</v>
      </c>
      <c r="P214">
        <v>2</v>
      </c>
      <c r="Q214" t="s">
        <v>25</v>
      </c>
      <c r="R214">
        <v>2</v>
      </c>
      <c r="S214" t="s">
        <v>28</v>
      </c>
      <c r="T214">
        <v>4393</v>
      </c>
      <c r="U214">
        <v>26841</v>
      </c>
      <c r="V214">
        <v>5</v>
      </c>
      <c r="W214" t="s">
        <v>29</v>
      </c>
      <c r="X214" t="s">
        <v>9</v>
      </c>
      <c r="Y214">
        <v>21</v>
      </c>
      <c r="Z214">
        <v>4</v>
      </c>
      <c r="AA214">
        <v>3</v>
      </c>
      <c r="AB214">
        <v>80</v>
      </c>
      <c r="AC214">
        <v>1</v>
      </c>
      <c r="AD214">
        <v>14</v>
      </c>
      <c r="AE214">
        <v>3</v>
      </c>
      <c r="AF214">
        <v>3</v>
      </c>
      <c r="AG214">
        <v>5</v>
      </c>
      <c r="AH214">
        <v>4</v>
      </c>
      <c r="AI214">
        <v>1</v>
      </c>
      <c r="AJ214">
        <v>4</v>
      </c>
    </row>
    <row r="215" spans="1:36" x14ac:dyDescent="0.25">
      <c r="A215">
        <v>703</v>
      </c>
      <c r="B215">
        <v>35</v>
      </c>
      <c r="C215" t="s">
        <v>9</v>
      </c>
      <c r="D215" t="s">
        <v>16</v>
      </c>
      <c r="E215">
        <v>1212</v>
      </c>
      <c r="F215" t="s">
        <v>118</v>
      </c>
      <c r="G215">
        <v>8</v>
      </c>
      <c r="H215">
        <v>2</v>
      </c>
      <c r="I215" t="s">
        <v>18</v>
      </c>
      <c r="J215">
        <v>1</v>
      </c>
      <c r="K215">
        <v>1243</v>
      </c>
      <c r="L215">
        <v>3</v>
      </c>
      <c r="M215" t="s">
        <v>24</v>
      </c>
      <c r="N215">
        <v>78</v>
      </c>
      <c r="O215">
        <v>2</v>
      </c>
      <c r="P215">
        <v>3</v>
      </c>
      <c r="Q215" t="s">
        <v>25</v>
      </c>
      <c r="R215">
        <v>4</v>
      </c>
      <c r="S215" t="s">
        <v>28</v>
      </c>
      <c r="T215">
        <v>10377</v>
      </c>
      <c r="U215">
        <v>13755</v>
      </c>
      <c r="V215">
        <v>4</v>
      </c>
      <c r="W215" t="s">
        <v>29</v>
      </c>
      <c r="X215" t="s">
        <v>10</v>
      </c>
      <c r="Y215">
        <v>11</v>
      </c>
      <c r="Z215">
        <v>3</v>
      </c>
      <c r="AA215">
        <v>2</v>
      </c>
      <c r="AB215">
        <v>80</v>
      </c>
      <c r="AC215">
        <v>1</v>
      </c>
      <c r="AD215">
        <v>16</v>
      </c>
      <c r="AE215">
        <v>6</v>
      </c>
      <c r="AF215">
        <v>2</v>
      </c>
      <c r="AG215">
        <v>13</v>
      </c>
      <c r="AH215">
        <v>2</v>
      </c>
      <c r="AI215">
        <v>4</v>
      </c>
      <c r="AJ215">
        <v>12</v>
      </c>
    </row>
    <row r="216" spans="1:36" x14ac:dyDescent="0.25">
      <c r="A216">
        <v>739</v>
      </c>
      <c r="B216">
        <v>35</v>
      </c>
      <c r="C216" t="s">
        <v>9</v>
      </c>
      <c r="D216" t="s">
        <v>15</v>
      </c>
      <c r="E216">
        <v>1219</v>
      </c>
      <c r="F216" t="s">
        <v>118</v>
      </c>
      <c r="G216">
        <v>18</v>
      </c>
      <c r="H216">
        <v>3</v>
      </c>
      <c r="I216" t="s">
        <v>17</v>
      </c>
      <c r="J216">
        <v>1</v>
      </c>
      <c r="K216">
        <v>975</v>
      </c>
      <c r="L216">
        <v>3</v>
      </c>
      <c r="M216" t="s">
        <v>24</v>
      </c>
      <c r="N216">
        <v>86</v>
      </c>
      <c r="O216">
        <v>3</v>
      </c>
      <c r="P216">
        <v>2</v>
      </c>
      <c r="Q216" t="s">
        <v>25</v>
      </c>
      <c r="R216">
        <v>3</v>
      </c>
      <c r="S216" t="s">
        <v>28</v>
      </c>
      <c r="T216">
        <v>4601</v>
      </c>
      <c r="U216">
        <v>6179</v>
      </c>
      <c r="V216">
        <v>1</v>
      </c>
      <c r="W216" t="s">
        <v>29</v>
      </c>
      <c r="X216" t="s">
        <v>9</v>
      </c>
      <c r="Y216">
        <v>16</v>
      </c>
      <c r="Z216">
        <v>3</v>
      </c>
      <c r="AA216">
        <v>2</v>
      </c>
      <c r="AB216">
        <v>80</v>
      </c>
      <c r="AC216">
        <v>0</v>
      </c>
      <c r="AD216">
        <v>5</v>
      </c>
      <c r="AE216">
        <v>3</v>
      </c>
      <c r="AF216">
        <v>3</v>
      </c>
      <c r="AG216">
        <v>5</v>
      </c>
      <c r="AH216">
        <v>2</v>
      </c>
      <c r="AI216">
        <v>1</v>
      </c>
      <c r="AJ216">
        <v>0</v>
      </c>
    </row>
    <row r="217" spans="1:36" x14ac:dyDescent="0.25">
      <c r="A217">
        <v>868</v>
      </c>
      <c r="B217">
        <v>47</v>
      </c>
      <c r="C217" t="s">
        <v>9</v>
      </c>
      <c r="D217" t="s">
        <v>15</v>
      </c>
      <c r="E217">
        <v>571</v>
      </c>
      <c r="F217" t="s">
        <v>118</v>
      </c>
      <c r="G217">
        <v>14</v>
      </c>
      <c r="H217">
        <v>3</v>
      </c>
      <c r="I217" t="s">
        <v>17</v>
      </c>
      <c r="J217">
        <v>1</v>
      </c>
      <c r="K217">
        <v>1503</v>
      </c>
      <c r="L217">
        <v>3</v>
      </c>
      <c r="M217" t="s">
        <v>24</v>
      </c>
      <c r="N217">
        <v>78</v>
      </c>
      <c r="O217">
        <v>3</v>
      </c>
      <c r="P217">
        <v>2</v>
      </c>
      <c r="Q217" t="s">
        <v>25</v>
      </c>
      <c r="R217">
        <v>3</v>
      </c>
      <c r="S217" t="s">
        <v>28</v>
      </c>
      <c r="T217">
        <v>4591</v>
      </c>
      <c r="U217">
        <v>24200</v>
      </c>
      <c r="V217">
        <v>3</v>
      </c>
      <c r="W217" t="s">
        <v>29</v>
      </c>
      <c r="X217" t="s">
        <v>10</v>
      </c>
      <c r="Y217">
        <v>17</v>
      </c>
      <c r="Z217">
        <v>3</v>
      </c>
      <c r="AA217">
        <v>3</v>
      </c>
      <c r="AB217">
        <v>80</v>
      </c>
      <c r="AC217">
        <v>1</v>
      </c>
      <c r="AD217">
        <v>11</v>
      </c>
      <c r="AE217">
        <v>4</v>
      </c>
      <c r="AF217">
        <v>2</v>
      </c>
      <c r="AG217">
        <v>5</v>
      </c>
      <c r="AH217">
        <v>4</v>
      </c>
      <c r="AI217">
        <v>1</v>
      </c>
      <c r="AJ217">
        <v>2</v>
      </c>
    </row>
    <row r="218" spans="1:36" x14ac:dyDescent="0.25">
      <c r="A218">
        <v>372</v>
      </c>
      <c r="B218">
        <v>30</v>
      </c>
      <c r="C218" t="s">
        <v>9</v>
      </c>
      <c r="D218" t="s">
        <v>16</v>
      </c>
      <c r="E218">
        <v>1398</v>
      </c>
      <c r="F218" t="s">
        <v>118</v>
      </c>
      <c r="G218">
        <v>22</v>
      </c>
      <c r="H218">
        <v>4</v>
      </c>
      <c r="I218" t="s">
        <v>19</v>
      </c>
      <c r="J218">
        <v>1</v>
      </c>
      <c r="K218">
        <v>567</v>
      </c>
      <c r="L218">
        <v>3</v>
      </c>
      <c r="M218" t="s">
        <v>24</v>
      </c>
      <c r="N218">
        <v>69</v>
      </c>
      <c r="O218">
        <v>3</v>
      </c>
      <c r="P218">
        <v>3</v>
      </c>
      <c r="Q218" t="s">
        <v>25</v>
      </c>
      <c r="R218">
        <v>1</v>
      </c>
      <c r="S218" t="s">
        <v>28</v>
      </c>
      <c r="T218">
        <v>8412</v>
      </c>
      <c r="U218">
        <v>2890</v>
      </c>
      <c r="V218">
        <v>0</v>
      </c>
      <c r="W218" t="s">
        <v>29</v>
      </c>
      <c r="X218" t="s">
        <v>9</v>
      </c>
      <c r="Y218">
        <v>11</v>
      </c>
      <c r="Z218">
        <v>3</v>
      </c>
      <c r="AA218">
        <v>3</v>
      </c>
      <c r="AB218">
        <v>80</v>
      </c>
      <c r="AC218">
        <v>0</v>
      </c>
      <c r="AD218">
        <v>10</v>
      </c>
      <c r="AE218">
        <v>3</v>
      </c>
      <c r="AF218">
        <v>3</v>
      </c>
      <c r="AG218">
        <v>9</v>
      </c>
      <c r="AH218">
        <v>8</v>
      </c>
      <c r="AI218">
        <v>7</v>
      </c>
      <c r="AJ218">
        <v>8</v>
      </c>
    </row>
    <row r="219" spans="1:36" x14ac:dyDescent="0.25">
      <c r="A219">
        <v>9</v>
      </c>
      <c r="B219">
        <v>34</v>
      </c>
      <c r="C219" t="s">
        <v>9</v>
      </c>
      <c r="D219" t="s">
        <v>15</v>
      </c>
      <c r="E219">
        <v>1333</v>
      </c>
      <c r="F219" t="s">
        <v>118</v>
      </c>
      <c r="G219">
        <v>10</v>
      </c>
      <c r="H219">
        <v>4</v>
      </c>
      <c r="I219" t="s">
        <v>21</v>
      </c>
      <c r="J219">
        <v>1</v>
      </c>
      <c r="K219">
        <v>1055</v>
      </c>
      <c r="L219">
        <v>3</v>
      </c>
      <c r="M219" t="s">
        <v>24</v>
      </c>
      <c r="N219">
        <v>87</v>
      </c>
      <c r="O219">
        <v>3</v>
      </c>
      <c r="P219">
        <v>1</v>
      </c>
      <c r="Q219" t="s">
        <v>33</v>
      </c>
      <c r="R219">
        <v>3</v>
      </c>
      <c r="S219" t="s">
        <v>28</v>
      </c>
      <c r="T219">
        <v>2220</v>
      </c>
      <c r="U219">
        <v>18410</v>
      </c>
      <c r="V219">
        <v>1</v>
      </c>
      <c r="W219" t="s">
        <v>29</v>
      </c>
      <c r="X219" t="s">
        <v>10</v>
      </c>
      <c r="Y219">
        <v>19</v>
      </c>
      <c r="Z219">
        <v>3</v>
      </c>
      <c r="AA219">
        <v>4</v>
      </c>
      <c r="AB219">
        <v>80</v>
      </c>
      <c r="AC219">
        <v>1</v>
      </c>
      <c r="AD219">
        <v>1</v>
      </c>
      <c r="AE219">
        <v>2</v>
      </c>
      <c r="AF219">
        <v>3</v>
      </c>
      <c r="AG219">
        <v>1</v>
      </c>
      <c r="AH219">
        <v>1</v>
      </c>
      <c r="AI219">
        <v>0</v>
      </c>
      <c r="AJ219">
        <v>0</v>
      </c>
    </row>
    <row r="220" spans="1:36" x14ac:dyDescent="0.25">
      <c r="A220">
        <v>205</v>
      </c>
      <c r="B220">
        <v>32</v>
      </c>
      <c r="C220" t="s">
        <v>9</v>
      </c>
      <c r="D220" t="s">
        <v>15</v>
      </c>
      <c r="E220">
        <v>1401</v>
      </c>
      <c r="F220" t="s">
        <v>118</v>
      </c>
      <c r="G220">
        <v>4</v>
      </c>
      <c r="H220">
        <v>2</v>
      </c>
      <c r="I220" t="s">
        <v>21</v>
      </c>
      <c r="J220">
        <v>1</v>
      </c>
      <c r="K220">
        <v>330</v>
      </c>
      <c r="L220">
        <v>3</v>
      </c>
      <c r="M220" t="s">
        <v>24</v>
      </c>
      <c r="N220">
        <v>56</v>
      </c>
      <c r="O220">
        <v>3</v>
      </c>
      <c r="P220">
        <v>1</v>
      </c>
      <c r="Q220" t="s">
        <v>33</v>
      </c>
      <c r="R220">
        <v>2</v>
      </c>
      <c r="S220" t="s">
        <v>28</v>
      </c>
      <c r="T220">
        <v>3931</v>
      </c>
      <c r="U220">
        <v>20990</v>
      </c>
      <c r="V220">
        <v>2</v>
      </c>
      <c r="W220" t="s">
        <v>29</v>
      </c>
      <c r="X220" t="s">
        <v>9</v>
      </c>
      <c r="Y220">
        <v>11</v>
      </c>
      <c r="Z220">
        <v>3</v>
      </c>
      <c r="AA220">
        <v>1</v>
      </c>
      <c r="AB220">
        <v>80</v>
      </c>
      <c r="AC220">
        <v>1</v>
      </c>
      <c r="AD220">
        <v>6</v>
      </c>
      <c r="AE220">
        <v>5</v>
      </c>
      <c r="AF220">
        <v>3</v>
      </c>
      <c r="AG220">
        <v>4</v>
      </c>
      <c r="AH220">
        <v>3</v>
      </c>
      <c r="AI220">
        <v>1</v>
      </c>
      <c r="AJ220">
        <v>2</v>
      </c>
    </row>
    <row r="221" spans="1:36" x14ac:dyDescent="0.25">
      <c r="A221">
        <v>317</v>
      </c>
      <c r="B221">
        <v>34</v>
      </c>
      <c r="C221" t="s">
        <v>9</v>
      </c>
      <c r="D221" t="s">
        <v>11</v>
      </c>
      <c r="E221">
        <v>303</v>
      </c>
      <c r="F221" t="s">
        <v>118</v>
      </c>
      <c r="G221">
        <v>2</v>
      </c>
      <c r="H221">
        <v>4</v>
      </c>
      <c r="I221" t="s">
        <v>18</v>
      </c>
      <c r="J221">
        <v>1</v>
      </c>
      <c r="K221">
        <v>216</v>
      </c>
      <c r="L221">
        <v>3</v>
      </c>
      <c r="M221" t="s">
        <v>24</v>
      </c>
      <c r="N221">
        <v>75</v>
      </c>
      <c r="O221">
        <v>3</v>
      </c>
      <c r="P221">
        <v>1</v>
      </c>
      <c r="Q221" t="s">
        <v>33</v>
      </c>
      <c r="R221">
        <v>3</v>
      </c>
      <c r="S221" t="s">
        <v>28</v>
      </c>
      <c r="T221">
        <v>2231</v>
      </c>
      <c r="U221">
        <v>11314</v>
      </c>
      <c r="V221">
        <v>6</v>
      </c>
      <c r="W221" t="s">
        <v>29</v>
      </c>
      <c r="X221" t="s">
        <v>9</v>
      </c>
      <c r="Y221">
        <v>18</v>
      </c>
      <c r="Z221">
        <v>3</v>
      </c>
      <c r="AA221">
        <v>4</v>
      </c>
      <c r="AB221">
        <v>80</v>
      </c>
      <c r="AC221">
        <v>1</v>
      </c>
      <c r="AD221">
        <v>6</v>
      </c>
      <c r="AE221">
        <v>3</v>
      </c>
      <c r="AF221">
        <v>3</v>
      </c>
      <c r="AG221">
        <v>4</v>
      </c>
      <c r="AH221">
        <v>3</v>
      </c>
      <c r="AI221">
        <v>1</v>
      </c>
      <c r="AJ221">
        <v>2</v>
      </c>
    </row>
    <row r="222" spans="1:36" x14ac:dyDescent="0.25">
      <c r="A222" s="15">
        <v>358</v>
      </c>
      <c r="B222" s="15">
        <v>29</v>
      </c>
      <c r="C222" s="15" t="s">
        <v>10</v>
      </c>
      <c r="D222" s="15" t="s">
        <v>15</v>
      </c>
      <c r="E222" s="15">
        <v>408</v>
      </c>
      <c r="F222" s="15" t="s">
        <v>119</v>
      </c>
      <c r="G222" s="15">
        <v>25</v>
      </c>
      <c r="H222" s="15">
        <v>5</v>
      </c>
      <c r="I222" s="15" t="s">
        <v>22</v>
      </c>
      <c r="J222" s="15">
        <v>1</v>
      </c>
      <c r="K222" s="15">
        <v>565</v>
      </c>
      <c r="L222" s="15">
        <v>3</v>
      </c>
      <c r="M222" s="15" t="s">
        <v>24</v>
      </c>
      <c r="N222" s="15">
        <v>71</v>
      </c>
      <c r="O222" s="15">
        <v>2</v>
      </c>
      <c r="P222" s="15">
        <v>1</v>
      </c>
      <c r="Q222" s="15" t="s">
        <v>32</v>
      </c>
      <c r="R222" s="15">
        <v>2</v>
      </c>
      <c r="S222" s="15" t="s">
        <v>28</v>
      </c>
      <c r="T222" s="15">
        <v>2546</v>
      </c>
      <c r="U222" s="15">
        <v>18300</v>
      </c>
      <c r="V222" s="15">
        <v>5</v>
      </c>
      <c r="W222" s="15" t="s">
        <v>29</v>
      </c>
      <c r="X222" s="15" t="s">
        <v>9</v>
      </c>
      <c r="Y222" s="15">
        <v>16</v>
      </c>
      <c r="Z222" s="15">
        <v>3</v>
      </c>
      <c r="AA222" s="15">
        <v>2</v>
      </c>
      <c r="AB222" s="15">
        <v>80</v>
      </c>
      <c r="AC222" s="15">
        <v>0</v>
      </c>
      <c r="AD222" s="15">
        <v>6</v>
      </c>
      <c r="AE222" s="15">
        <v>2</v>
      </c>
      <c r="AF222" s="15">
        <v>4</v>
      </c>
      <c r="AG222" s="15">
        <v>2</v>
      </c>
      <c r="AH222" s="15">
        <v>2</v>
      </c>
      <c r="AI222" s="15">
        <v>1</v>
      </c>
      <c r="AJ222" s="15">
        <v>1</v>
      </c>
    </row>
    <row r="223" spans="1:36" x14ac:dyDescent="0.25">
      <c r="A223">
        <v>727</v>
      </c>
      <c r="B223">
        <v>37</v>
      </c>
      <c r="C223" t="s">
        <v>9</v>
      </c>
      <c r="D223" t="s">
        <v>11</v>
      </c>
      <c r="E223">
        <v>1231</v>
      </c>
      <c r="F223" t="s">
        <v>118</v>
      </c>
      <c r="G223">
        <v>21</v>
      </c>
      <c r="H223">
        <v>2</v>
      </c>
      <c r="I223" t="s">
        <v>17</v>
      </c>
      <c r="J223">
        <v>1</v>
      </c>
      <c r="K223">
        <v>900</v>
      </c>
      <c r="L223">
        <v>3</v>
      </c>
      <c r="M223" t="s">
        <v>24</v>
      </c>
      <c r="N223">
        <v>54</v>
      </c>
      <c r="O223">
        <v>3</v>
      </c>
      <c r="P223">
        <v>1</v>
      </c>
      <c r="Q223" t="s">
        <v>33</v>
      </c>
      <c r="R223">
        <v>4</v>
      </c>
      <c r="S223" t="s">
        <v>28</v>
      </c>
      <c r="T223">
        <v>2973</v>
      </c>
      <c r="U223">
        <v>21222</v>
      </c>
      <c r="V223">
        <v>5</v>
      </c>
      <c r="W223" t="s">
        <v>29</v>
      </c>
      <c r="X223" t="s">
        <v>9</v>
      </c>
      <c r="Y223">
        <v>15</v>
      </c>
      <c r="Z223">
        <v>3</v>
      </c>
      <c r="AA223">
        <v>2</v>
      </c>
      <c r="AB223">
        <v>80</v>
      </c>
      <c r="AC223">
        <v>1</v>
      </c>
      <c r="AD223">
        <v>10</v>
      </c>
      <c r="AE223">
        <v>3</v>
      </c>
      <c r="AF223">
        <v>3</v>
      </c>
      <c r="AG223">
        <v>5</v>
      </c>
      <c r="AH223">
        <v>4</v>
      </c>
      <c r="AI223">
        <v>0</v>
      </c>
      <c r="AJ223">
        <v>0</v>
      </c>
    </row>
    <row r="224" spans="1:36" x14ac:dyDescent="0.25">
      <c r="A224">
        <v>264</v>
      </c>
      <c r="B224">
        <v>29</v>
      </c>
      <c r="C224" t="s">
        <v>9</v>
      </c>
      <c r="D224" t="s">
        <v>11</v>
      </c>
      <c r="E224">
        <v>1404</v>
      </c>
      <c r="F224" t="s">
        <v>118</v>
      </c>
      <c r="G224">
        <v>20</v>
      </c>
      <c r="H224">
        <v>3</v>
      </c>
      <c r="I224" t="s">
        <v>22</v>
      </c>
      <c r="J224">
        <v>1</v>
      </c>
      <c r="K224">
        <v>974</v>
      </c>
      <c r="L224">
        <v>3</v>
      </c>
      <c r="M224" t="s">
        <v>24</v>
      </c>
      <c r="N224">
        <v>84</v>
      </c>
      <c r="O224">
        <v>3</v>
      </c>
      <c r="P224">
        <v>1</v>
      </c>
      <c r="Q224" t="s">
        <v>33</v>
      </c>
      <c r="R224">
        <v>4</v>
      </c>
      <c r="S224" t="s">
        <v>28</v>
      </c>
      <c r="T224">
        <v>2157</v>
      </c>
      <c r="U224">
        <v>18203</v>
      </c>
      <c r="V224">
        <v>1</v>
      </c>
      <c r="W224" t="s">
        <v>29</v>
      </c>
      <c r="X224" t="s">
        <v>9</v>
      </c>
      <c r="Y224">
        <v>15</v>
      </c>
      <c r="Z224">
        <v>3</v>
      </c>
      <c r="AA224">
        <v>2</v>
      </c>
      <c r="AB224">
        <v>80</v>
      </c>
      <c r="AC224">
        <v>1</v>
      </c>
      <c r="AD224">
        <v>3</v>
      </c>
      <c r="AE224">
        <v>5</v>
      </c>
      <c r="AF224">
        <v>3</v>
      </c>
      <c r="AG224">
        <v>3</v>
      </c>
      <c r="AH224">
        <v>1</v>
      </c>
      <c r="AI224">
        <v>0</v>
      </c>
      <c r="AJ224">
        <v>2</v>
      </c>
    </row>
    <row r="225" spans="1:36" x14ac:dyDescent="0.25">
      <c r="A225">
        <v>120</v>
      </c>
      <c r="B225">
        <v>34</v>
      </c>
      <c r="C225" t="s">
        <v>9</v>
      </c>
      <c r="D225" t="s">
        <v>15</v>
      </c>
      <c r="E225">
        <v>404</v>
      </c>
      <c r="F225" t="s">
        <v>119</v>
      </c>
      <c r="G225">
        <v>2</v>
      </c>
      <c r="H225">
        <v>4</v>
      </c>
      <c r="I225" t="s">
        <v>22</v>
      </c>
      <c r="J225">
        <v>1</v>
      </c>
      <c r="K225">
        <v>1383</v>
      </c>
      <c r="L225">
        <v>3</v>
      </c>
      <c r="M225" t="s">
        <v>24</v>
      </c>
      <c r="N225">
        <v>98</v>
      </c>
      <c r="O225">
        <v>3</v>
      </c>
      <c r="P225">
        <v>2</v>
      </c>
      <c r="Q225" t="s">
        <v>34</v>
      </c>
      <c r="R225">
        <v>4</v>
      </c>
      <c r="S225" t="s">
        <v>27</v>
      </c>
      <c r="T225">
        <v>6687</v>
      </c>
      <c r="U225">
        <v>6163</v>
      </c>
      <c r="V225">
        <v>1</v>
      </c>
      <c r="W225" t="s">
        <v>29</v>
      </c>
      <c r="X225" t="s">
        <v>9</v>
      </c>
      <c r="Y225">
        <v>11</v>
      </c>
      <c r="Z225">
        <v>3</v>
      </c>
      <c r="AA225">
        <v>4</v>
      </c>
      <c r="AB225">
        <v>80</v>
      </c>
      <c r="AC225">
        <v>0</v>
      </c>
      <c r="AD225">
        <v>14</v>
      </c>
      <c r="AE225">
        <v>2</v>
      </c>
      <c r="AF225">
        <v>4</v>
      </c>
      <c r="AG225">
        <v>14</v>
      </c>
      <c r="AH225">
        <v>11</v>
      </c>
      <c r="AI225">
        <v>4</v>
      </c>
      <c r="AJ225">
        <v>11</v>
      </c>
    </row>
    <row r="226" spans="1:36" x14ac:dyDescent="0.25">
      <c r="A226">
        <v>773</v>
      </c>
      <c r="B226">
        <v>39</v>
      </c>
      <c r="C226" t="s">
        <v>9</v>
      </c>
      <c r="D226" t="s">
        <v>11</v>
      </c>
      <c r="E226">
        <v>505</v>
      </c>
      <c r="F226" t="s">
        <v>119</v>
      </c>
      <c r="G226">
        <v>2</v>
      </c>
      <c r="H226">
        <v>4</v>
      </c>
      <c r="I226" t="s">
        <v>22</v>
      </c>
      <c r="J226">
        <v>1</v>
      </c>
      <c r="K226">
        <v>343</v>
      </c>
      <c r="L226">
        <v>3</v>
      </c>
      <c r="M226" t="s">
        <v>24</v>
      </c>
      <c r="N226">
        <v>64</v>
      </c>
      <c r="O226">
        <v>3</v>
      </c>
      <c r="P226">
        <v>3</v>
      </c>
      <c r="Q226" t="s">
        <v>34</v>
      </c>
      <c r="R226">
        <v>3</v>
      </c>
      <c r="S226" t="s">
        <v>27</v>
      </c>
      <c r="T226">
        <v>10938</v>
      </c>
      <c r="U226">
        <v>6420</v>
      </c>
      <c r="V226">
        <v>0</v>
      </c>
      <c r="W226" t="s">
        <v>29</v>
      </c>
      <c r="X226" t="s">
        <v>9</v>
      </c>
      <c r="Y226">
        <v>25</v>
      </c>
      <c r="Z226">
        <v>4</v>
      </c>
      <c r="AA226">
        <v>4</v>
      </c>
      <c r="AB226">
        <v>80</v>
      </c>
      <c r="AC226">
        <v>0</v>
      </c>
      <c r="AD226">
        <v>20</v>
      </c>
      <c r="AE226">
        <v>1</v>
      </c>
      <c r="AF226">
        <v>3</v>
      </c>
      <c r="AG226">
        <v>19</v>
      </c>
      <c r="AH226">
        <v>6</v>
      </c>
      <c r="AI226">
        <v>11</v>
      </c>
      <c r="AJ226">
        <v>8</v>
      </c>
    </row>
    <row r="227" spans="1:36" x14ac:dyDescent="0.25">
      <c r="A227">
        <v>624</v>
      </c>
      <c r="B227">
        <v>35</v>
      </c>
      <c r="C227" t="s">
        <v>9</v>
      </c>
      <c r="D227" t="s">
        <v>15</v>
      </c>
      <c r="E227">
        <v>1146</v>
      </c>
      <c r="F227" t="s">
        <v>20</v>
      </c>
      <c r="G227">
        <v>26</v>
      </c>
      <c r="H227">
        <v>4</v>
      </c>
      <c r="I227" t="s">
        <v>21</v>
      </c>
      <c r="J227">
        <v>1</v>
      </c>
      <c r="K227">
        <v>2040</v>
      </c>
      <c r="L227">
        <v>3</v>
      </c>
      <c r="M227" t="s">
        <v>24</v>
      </c>
      <c r="N227">
        <v>31</v>
      </c>
      <c r="O227">
        <v>3</v>
      </c>
      <c r="P227">
        <v>3</v>
      </c>
      <c r="Q227" t="s">
        <v>20</v>
      </c>
      <c r="R227">
        <v>4</v>
      </c>
      <c r="S227" t="s">
        <v>27</v>
      </c>
      <c r="T227">
        <v>8837</v>
      </c>
      <c r="U227">
        <v>16642</v>
      </c>
      <c r="V227">
        <v>1</v>
      </c>
      <c r="W227" t="s">
        <v>29</v>
      </c>
      <c r="X227" t="s">
        <v>10</v>
      </c>
      <c r="Y227">
        <v>16</v>
      </c>
      <c r="Z227">
        <v>3</v>
      </c>
      <c r="AA227">
        <v>3</v>
      </c>
      <c r="AB227">
        <v>80</v>
      </c>
      <c r="AC227">
        <v>0</v>
      </c>
      <c r="AD227">
        <v>9</v>
      </c>
      <c r="AE227">
        <v>2</v>
      </c>
      <c r="AF227">
        <v>3</v>
      </c>
      <c r="AG227">
        <v>9</v>
      </c>
      <c r="AH227">
        <v>0</v>
      </c>
      <c r="AI227">
        <v>1</v>
      </c>
      <c r="AJ227">
        <v>7</v>
      </c>
    </row>
    <row r="228" spans="1:36" x14ac:dyDescent="0.25">
      <c r="A228">
        <v>278</v>
      </c>
      <c r="B228">
        <v>43</v>
      </c>
      <c r="C228" t="s">
        <v>9</v>
      </c>
      <c r="D228" t="s">
        <v>11</v>
      </c>
      <c r="E228">
        <v>185</v>
      </c>
      <c r="F228" t="s">
        <v>119</v>
      </c>
      <c r="G228">
        <v>10</v>
      </c>
      <c r="H228">
        <v>4</v>
      </c>
      <c r="I228" t="s">
        <v>21</v>
      </c>
      <c r="J228">
        <v>1</v>
      </c>
      <c r="K228">
        <v>430</v>
      </c>
      <c r="L228">
        <v>3</v>
      </c>
      <c r="M228" t="s">
        <v>24</v>
      </c>
      <c r="N228">
        <v>33</v>
      </c>
      <c r="O228">
        <v>3</v>
      </c>
      <c r="P228">
        <v>1</v>
      </c>
      <c r="Q228" t="s">
        <v>36</v>
      </c>
      <c r="R228">
        <v>4</v>
      </c>
      <c r="S228" t="s">
        <v>27</v>
      </c>
      <c r="T228">
        <v>2455</v>
      </c>
      <c r="U228">
        <v>10675</v>
      </c>
      <c r="V228">
        <v>0</v>
      </c>
      <c r="W228" t="s">
        <v>29</v>
      </c>
      <c r="X228" t="s">
        <v>9</v>
      </c>
      <c r="Y228">
        <v>19</v>
      </c>
      <c r="Z228">
        <v>3</v>
      </c>
      <c r="AA228">
        <v>1</v>
      </c>
      <c r="AB228">
        <v>80</v>
      </c>
      <c r="AC228">
        <v>0</v>
      </c>
      <c r="AD228">
        <v>9</v>
      </c>
      <c r="AE228">
        <v>5</v>
      </c>
      <c r="AF228">
        <v>3</v>
      </c>
      <c r="AG228">
        <v>8</v>
      </c>
      <c r="AH228">
        <v>7</v>
      </c>
      <c r="AI228">
        <v>1</v>
      </c>
      <c r="AJ228">
        <v>7</v>
      </c>
    </row>
    <row r="229" spans="1:36" x14ac:dyDescent="0.25">
      <c r="A229">
        <v>557</v>
      </c>
      <c r="B229">
        <v>54</v>
      </c>
      <c r="C229" t="s">
        <v>9</v>
      </c>
      <c r="D229" t="s">
        <v>15</v>
      </c>
      <c r="E229">
        <v>548</v>
      </c>
      <c r="F229" t="s">
        <v>119</v>
      </c>
      <c r="G229">
        <v>8</v>
      </c>
      <c r="H229">
        <v>4</v>
      </c>
      <c r="I229" t="s">
        <v>21</v>
      </c>
      <c r="J229">
        <v>1</v>
      </c>
      <c r="K229">
        <v>578</v>
      </c>
      <c r="L229">
        <v>3</v>
      </c>
      <c r="M229" t="s">
        <v>24</v>
      </c>
      <c r="N229">
        <v>42</v>
      </c>
      <c r="O229">
        <v>3</v>
      </c>
      <c r="P229">
        <v>2</v>
      </c>
      <c r="Q229" t="s">
        <v>36</v>
      </c>
      <c r="R229">
        <v>3</v>
      </c>
      <c r="S229" t="s">
        <v>27</v>
      </c>
      <c r="T229">
        <v>3780</v>
      </c>
      <c r="U229">
        <v>23428</v>
      </c>
      <c r="V229">
        <v>7</v>
      </c>
      <c r="W229" t="s">
        <v>29</v>
      </c>
      <c r="X229" t="s">
        <v>9</v>
      </c>
      <c r="Y229">
        <v>11</v>
      </c>
      <c r="Z229">
        <v>3</v>
      </c>
      <c r="AA229">
        <v>3</v>
      </c>
      <c r="AB229">
        <v>80</v>
      </c>
      <c r="AC229">
        <v>0</v>
      </c>
      <c r="AD229">
        <v>19</v>
      </c>
      <c r="AE229">
        <v>3</v>
      </c>
      <c r="AF229">
        <v>3</v>
      </c>
      <c r="AG229">
        <v>1</v>
      </c>
      <c r="AH229">
        <v>0</v>
      </c>
      <c r="AI229">
        <v>0</v>
      </c>
      <c r="AJ229">
        <v>0</v>
      </c>
    </row>
    <row r="230" spans="1:36" x14ac:dyDescent="0.25">
      <c r="A230">
        <v>76</v>
      </c>
      <c r="B230">
        <v>30</v>
      </c>
      <c r="C230" t="s">
        <v>9</v>
      </c>
      <c r="D230" t="s">
        <v>11</v>
      </c>
      <c r="E230">
        <v>721</v>
      </c>
      <c r="F230" t="s">
        <v>119</v>
      </c>
      <c r="G230">
        <v>1</v>
      </c>
      <c r="H230">
        <v>2</v>
      </c>
      <c r="I230" t="s">
        <v>17</v>
      </c>
      <c r="J230">
        <v>1</v>
      </c>
      <c r="K230">
        <v>57</v>
      </c>
      <c r="L230">
        <v>3</v>
      </c>
      <c r="M230" t="s">
        <v>24</v>
      </c>
      <c r="N230">
        <v>58</v>
      </c>
      <c r="O230">
        <v>3</v>
      </c>
      <c r="P230">
        <v>2</v>
      </c>
      <c r="Q230" t="s">
        <v>36</v>
      </c>
      <c r="R230">
        <v>4</v>
      </c>
      <c r="S230" t="s">
        <v>27</v>
      </c>
      <c r="T230">
        <v>4011</v>
      </c>
      <c r="U230">
        <v>10781</v>
      </c>
      <c r="V230">
        <v>1</v>
      </c>
      <c r="W230" t="s">
        <v>29</v>
      </c>
      <c r="X230" t="s">
        <v>9</v>
      </c>
      <c r="Y230">
        <v>23</v>
      </c>
      <c r="Z230">
        <v>4</v>
      </c>
      <c r="AA230">
        <v>4</v>
      </c>
      <c r="AB230">
        <v>80</v>
      </c>
      <c r="AC230">
        <v>0</v>
      </c>
      <c r="AD230">
        <v>12</v>
      </c>
      <c r="AE230">
        <v>2</v>
      </c>
      <c r="AF230">
        <v>3</v>
      </c>
      <c r="AG230">
        <v>12</v>
      </c>
      <c r="AH230">
        <v>8</v>
      </c>
      <c r="AI230">
        <v>3</v>
      </c>
      <c r="AJ230">
        <v>7</v>
      </c>
    </row>
    <row r="231" spans="1:36" x14ac:dyDescent="0.25">
      <c r="A231">
        <v>417</v>
      </c>
      <c r="B231">
        <v>30</v>
      </c>
      <c r="C231" t="s">
        <v>9</v>
      </c>
      <c r="D231" t="s">
        <v>16</v>
      </c>
      <c r="E231">
        <v>1116</v>
      </c>
      <c r="F231" t="s">
        <v>119</v>
      </c>
      <c r="G231">
        <v>2</v>
      </c>
      <c r="H231">
        <v>3</v>
      </c>
      <c r="I231" t="s">
        <v>17</v>
      </c>
      <c r="J231">
        <v>1</v>
      </c>
      <c r="K231">
        <v>571</v>
      </c>
      <c r="L231">
        <v>3</v>
      </c>
      <c r="M231" t="s">
        <v>24</v>
      </c>
      <c r="N231">
        <v>49</v>
      </c>
      <c r="O231">
        <v>3</v>
      </c>
      <c r="P231">
        <v>1</v>
      </c>
      <c r="Q231" t="s">
        <v>36</v>
      </c>
      <c r="R231">
        <v>4</v>
      </c>
      <c r="S231" t="s">
        <v>27</v>
      </c>
      <c r="T231">
        <v>2564</v>
      </c>
      <c r="U231">
        <v>7181</v>
      </c>
      <c r="V231">
        <v>0</v>
      </c>
      <c r="W231" t="s">
        <v>29</v>
      </c>
      <c r="X231" t="s">
        <v>9</v>
      </c>
      <c r="Y231">
        <v>14</v>
      </c>
      <c r="Z231">
        <v>3</v>
      </c>
      <c r="AA231">
        <v>3</v>
      </c>
      <c r="AB231">
        <v>80</v>
      </c>
      <c r="AC231">
        <v>0</v>
      </c>
      <c r="AD231">
        <v>12</v>
      </c>
      <c r="AE231">
        <v>2</v>
      </c>
      <c r="AF231">
        <v>2</v>
      </c>
      <c r="AG231">
        <v>11</v>
      </c>
      <c r="AH231">
        <v>7</v>
      </c>
      <c r="AI231">
        <v>6</v>
      </c>
      <c r="AJ231">
        <v>7</v>
      </c>
    </row>
    <row r="232" spans="1:36" x14ac:dyDescent="0.25">
      <c r="A232">
        <v>744</v>
      </c>
      <c r="B232">
        <v>23</v>
      </c>
      <c r="C232" t="s">
        <v>9</v>
      </c>
      <c r="D232" t="s">
        <v>15</v>
      </c>
      <c r="E232">
        <v>160</v>
      </c>
      <c r="F232" t="s">
        <v>119</v>
      </c>
      <c r="G232">
        <v>4</v>
      </c>
      <c r="H232">
        <v>1</v>
      </c>
      <c r="I232" t="s">
        <v>17</v>
      </c>
      <c r="J232">
        <v>1</v>
      </c>
      <c r="K232">
        <v>1735</v>
      </c>
      <c r="L232">
        <v>3</v>
      </c>
      <c r="M232" t="s">
        <v>24</v>
      </c>
      <c r="N232">
        <v>51</v>
      </c>
      <c r="O232">
        <v>3</v>
      </c>
      <c r="P232">
        <v>1</v>
      </c>
      <c r="Q232" t="s">
        <v>36</v>
      </c>
      <c r="R232">
        <v>2</v>
      </c>
      <c r="S232" t="s">
        <v>27</v>
      </c>
      <c r="T232">
        <v>3295</v>
      </c>
      <c r="U232">
        <v>12862</v>
      </c>
      <c r="V232">
        <v>1</v>
      </c>
      <c r="W232" t="s">
        <v>29</v>
      </c>
      <c r="X232" t="s">
        <v>9</v>
      </c>
      <c r="Y232">
        <v>13</v>
      </c>
      <c r="Z232">
        <v>3</v>
      </c>
      <c r="AA232">
        <v>3</v>
      </c>
      <c r="AB232">
        <v>80</v>
      </c>
      <c r="AC232">
        <v>0</v>
      </c>
      <c r="AD232">
        <v>3</v>
      </c>
      <c r="AE232">
        <v>3</v>
      </c>
      <c r="AF232">
        <v>1</v>
      </c>
      <c r="AG232">
        <v>3</v>
      </c>
      <c r="AH232">
        <v>2</v>
      </c>
      <c r="AI232">
        <v>1</v>
      </c>
      <c r="AJ232">
        <v>2</v>
      </c>
    </row>
    <row r="233" spans="1:36" x14ac:dyDescent="0.25">
      <c r="A233">
        <v>766</v>
      </c>
      <c r="B233">
        <v>45</v>
      </c>
      <c r="C233" t="s">
        <v>9</v>
      </c>
      <c r="D233" t="s">
        <v>15</v>
      </c>
      <c r="E233">
        <v>1015</v>
      </c>
      <c r="F233" t="s">
        <v>119</v>
      </c>
      <c r="G233">
        <v>5</v>
      </c>
      <c r="H233">
        <v>5</v>
      </c>
      <c r="I233" t="s">
        <v>17</v>
      </c>
      <c r="J233">
        <v>1</v>
      </c>
      <c r="K233">
        <v>1611</v>
      </c>
      <c r="L233">
        <v>3</v>
      </c>
      <c r="M233" t="s">
        <v>24</v>
      </c>
      <c r="N233">
        <v>50</v>
      </c>
      <c r="O233">
        <v>1</v>
      </c>
      <c r="P233">
        <v>2</v>
      </c>
      <c r="Q233" t="s">
        <v>36</v>
      </c>
      <c r="R233">
        <v>1</v>
      </c>
      <c r="S233" t="s">
        <v>27</v>
      </c>
      <c r="T233">
        <v>5769</v>
      </c>
      <c r="U233">
        <v>23447</v>
      </c>
      <c r="V233">
        <v>1</v>
      </c>
      <c r="W233" t="s">
        <v>29</v>
      </c>
      <c r="X233" t="s">
        <v>10</v>
      </c>
      <c r="Y233">
        <v>14</v>
      </c>
      <c r="Z233">
        <v>3</v>
      </c>
      <c r="AA233">
        <v>1</v>
      </c>
      <c r="AB233">
        <v>80</v>
      </c>
      <c r="AC233">
        <v>0</v>
      </c>
      <c r="AD233">
        <v>10</v>
      </c>
      <c r="AE233">
        <v>3</v>
      </c>
      <c r="AF233">
        <v>3</v>
      </c>
      <c r="AG233">
        <v>10</v>
      </c>
      <c r="AH233">
        <v>7</v>
      </c>
      <c r="AI233">
        <v>1</v>
      </c>
      <c r="AJ233">
        <v>4</v>
      </c>
    </row>
    <row r="234" spans="1:36" x14ac:dyDescent="0.25">
      <c r="A234">
        <v>95</v>
      </c>
      <c r="B234">
        <v>50</v>
      </c>
      <c r="C234" t="s">
        <v>9</v>
      </c>
      <c r="D234" t="s">
        <v>15</v>
      </c>
      <c r="E234">
        <v>1452</v>
      </c>
      <c r="F234" t="s">
        <v>119</v>
      </c>
      <c r="G234">
        <v>11</v>
      </c>
      <c r="H234">
        <v>3</v>
      </c>
      <c r="I234" t="s">
        <v>21</v>
      </c>
      <c r="J234">
        <v>1</v>
      </c>
      <c r="K234">
        <v>226</v>
      </c>
      <c r="L234">
        <v>3</v>
      </c>
      <c r="M234" t="s">
        <v>24</v>
      </c>
      <c r="N234">
        <v>53</v>
      </c>
      <c r="O234">
        <v>3</v>
      </c>
      <c r="P234">
        <v>5</v>
      </c>
      <c r="Q234" t="s">
        <v>35</v>
      </c>
      <c r="R234">
        <v>2</v>
      </c>
      <c r="S234" t="s">
        <v>27</v>
      </c>
      <c r="T234">
        <v>19926</v>
      </c>
      <c r="U234">
        <v>17053</v>
      </c>
      <c r="V234">
        <v>3</v>
      </c>
      <c r="W234" t="s">
        <v>29</v>
      </c>
      <c r="X234" t="s">
        <v>9</v>
      </c>
      <c r="Y234">
        <v>15</v>
      </c>
      <c r="Z234">
        <v>3</v>
      </c>
      <c r="AA234">
        <v>2</v>
      </c>
      <c r="AB234">
        <v>80</v>
      </c>
      <c r="AC234">
        <v>0</v>
      </c>
      <c r="AD234">
        <v>21</v>
      </c>
      <c r="AE234">
        <v>5</v>
      </c>
      <c r="AF234">
        <v>3</v>
      </c>
      <c r="AG234">
        <v>5</v>
      </c>
      <c r="AH234">
        <v>4</v>
      </c>
      <c r="AI234">
        <v>4</v>
      </c>
      <c r="AJ234">
        <v>4</v>
      </c>
    </row>
    <row r="235" spans="1:36" x14ac:dyDescent="0.25">
      <c r="A235" s="15">
        <v>166</v>
      </c>
      <c r="B235" s="15">
        <v>20</v>
      </c>
      <c r="C235" s="15" t="s">
        <v>10</v>
      </c>
      <c r="D235" s="15" t="s">
        <v>15</v>
      </c>
      <c r="E235" s="15">
        <v>500</v>
      </c>
      <c r="F235" s="15" t="s">
        <v>118</v>
      </c>
      <c r="G235" s="15">
        <v>2</v>
      </c>
      <c r="H235" s="15">
        <v>3</v>
      </c>
      <c r="I235" s="15" t="s">
        <v>17</v>
      </c>
      <c r="J235" s="15">
        <v>1</v>
      </c>
      <c r="K235" s="15">
        <v>922</v>
      </c>
      <c r="L235" s="15">
        <v>3</v>
      </c>
      <c r="M235" s="15" t="s">
        <v>24</v>
      </c>
      <c r="N235" s="15">
        <v>49</v>
      </c>
      <c r="O235" s="15">
        <v>2</v>
      </c>
      <c r="P235" s="15">
        <v>1</v>
      </c>
      <c r="Q235" s="15" t="s">
        <v>33</v>
      </c>
      <c r="R235" s="15">
        <v>3</v>
      </c>
      <c r="S235" s="15" t="s">
        <v>27</v>
      </c>
      <c r="T235" s="15">
        <v>2044</v>
      </c>
      <c r="U235" s="15">
        <v>22052</v>
      </c>
      <c r="V235" s="15">
        <v>1</v>
      </c>
      <c r="W235" s="15" t="s">
        <v>29</v>
      </c>
      <c r="X235" s="15" t="s">
        <v>9</v>
      </c>
      <c r="Y235" s="15">
        <v>13</v>
      </c>
      <c r="Z235" s="15">
        <v>3</v>
      </c>
      <c r="AA235" s="15">
        <v>4</v>
      </c>
      <c r="AB235" s="15">
        <v>80</v>
      </c>
      <c r="AC235" s="15">
        <v>0</v>
      </c>
      <c r="AD235" s="15">
        <v>2</v>
      </c>
      <c r="AE235" s="15">
        <v>3</v>
      </c>
      <c r="AF235" s="15">
        <v>2</v>
      </c>
      <c r="AG235" s="15">
        <v>2</v>
      </c>
      <c r="AH235" s="15">
        <v>2</v>
      </c>
      <c r="AI235" s="15">
        <v>0</v>
      </c>
      <c r="AJ235" s="15">
        <v>2</v>
      </c>
    </row>
    <row r="236" spans="1:36" x14ac:dyDescent="0.25">
      <c r="A236">
        <v>55</v>
      </c>
      <c r="B236">
        <v>31</v>
      </c>
      <c r="C236" t="s">
        <v>9</v>
      </c>
      <c r="D236" t="s">
        <v>15</v>
      </c>
      <c r="E236">
        <v>746</v>
      </c>
      <c r="F236" t="s">
        <v>119</v>
      </c>
      <c r="G236">
        <v>8</v>
      </c>
      <c r="H236">
        <v>4</v>
      </c>
      <c r="I236" t="s">
        <v>21</v>
      </c>
      <c r="J236">
        <v>1</v>
      </c>
      <c r="K236">
        <v>98</v>
      </c>
      <c r="L236">
        <v>3</v>
      </c>
      <c r="M236" t="s">
        <v>24</v>
      </c>
      <c r="N236">
        <v>61</v>
      </c>
      <c r="O236">
        <v>3</v>
      </c>
      <c r="P236">
        <v>2</v>
      </c>
      <c r="Q236" t="s">
        <v>31</v>
      </c>
      <c r="R236">
        <v>4</v>
      </c>
      <c r="S236" t="s">
        <v>27</v>
      </c>
      <c r="T236">
        <v>4424</v>
      </c>
      <c r="U236">
        <v>20682</v>
      </c>
      <c r="V236">
        <v>1</v>
      </c>
      <c r="W236" t="s">
        <v>29</v>
      </c>
      <c r="X236" t="s">
        <v>9</v>
      </c>
      <c r="Y236">
        <v>23</v>
      </c>
      <c r="Z236">
        <v>4</v>
      </c>
      <c r="AA236">
        <v>4</v>
      </c>
      <c r="AB236">
        <v>80</v>
      </c>
      <c r="AC236">
        <v>0</v>
      </c>
      <c r="AD236">
        <v>11</v>
      </c>
      <c r="AE236">
        <v>2</v>
      </c>
      <c r="AF236">
        <v>3</v>
      </c>
      <c r="AG236">
        <v>11</v>
      </c>
      <c r="AH236">
        <v>7</v>
      </c>
      <c r="AI236">
        <v>1</v>
      </c>
      <c r="AJ236">
        <v>8</v>
      </c>
    </row>
    <row r="237" spans="1:36" x14ac:dyDescent="0.25">
      <c r="A237">
        <v>85</v>
      </c>
      <c r="B237">
        <v>36</v>
      </c>
      <c r="C237" t="s">
        <v>9</v>
      </c>
      <c r="D237" t="s">
        <v>15</v>
      </c>
      <c r="E237">
        <v>429</v>
      </c>
      <c r="F237" t="s">
        <v>119</v>
      </c>
      <c r="G237">
        <v>2</v>
      </c>
      <c r="H237">
        <v>4</v>
      </c>
      <c r="I237" t="s">
        <v>21</v>
      </c>
      <c r="J237">
        <v>1</v>
      </c>
      <c r="K237">
        <v>1294</v>
      </c>
      <c r="L237">
        <v>3</v>
      </c>
      <c r="M237" t="s">
        <v>24</v>
      </c>
      <c r="N237">
        <v>53</v>
      </c>
      <c r="O237">
        <v>3</v>
      </c>
      <c r="P237">
        <v>2</v>
      </c>
      <c r="Q237" t="s">
        <v>31</v>
      </c>
      <c r="R237">
        <v>2</v>
      </c>
      <c r="S237" t="s">
        <v>27</v>
      </c>
      <c r="T237">
        <v>5410</v>
      </c>
      <c r="U237">
        <v>2323</v>
      </c>
      <c r="V237">
        <v>9</v>
      </c>
      <c r="W237" t="s">
        <v>29</v>
      </c>
      <c r="X237" t="s">
        <v>10</v>
      </c>
      <c r="Y237">
        <v>11</v>
      </c>
      <c r="Z237">
        <v>3</v>
      </c>
      <c r="AA237">
        <v>4</v>
      </c>
      <c r="AB237">
        <v>80</v>
      </c>
      <c r="AC237">
        <v>0</v>
      </c>
      <c r="AD237">
        <v>18</v>
      </c>
      <c r="AE237">
        <v>2</v>
      </c>
      <c r="AF237">
        <v>3</v>
      </c>
      <c r="AG237">
        <v>16</v>
      </c>
      <c r="AH237">
        <v>14</v>
      </c>
      <c r="AI237">
        <v>5</v>
      </c>
      <c r="AJ237">
        <v>12</v>
      </c>
    </row>
    <row r="238" spans="1:36" x14ac:dyDescent="0.25">
      <c r="A238">
        <v>86</v>
      </c>
      <c r="B238">
        <v>59</v>
      </c>
      <c r="C238" t="s">
        <v>9</v>
      </c>
      <c r="D238" t="s">
        <v>15</v>
      </c>
      <c r="E238">
        <v>715</v>
      </c>
      <c r="F238" t="s">
        <v>119</v>
      </c>
      <c r="G238">
        <v>2</v>
      </c>
      <c r="H238">
        <v>3</v>
      </c>
      <c r="I238" t="s">
        <v>21</v>
      </c>
      <c r="J238">
        <v>1</v>
      </c>
      <c r="K238">
        <v>1032</v>
      </c>
      <c r="L238">
        <v>3</v>
      </c>
      <c r="M238" t="s">
        <v>24</v>
      </c>
      <c r="N238">
        <v>69</v>
      </c>
      <c r="O238">
        <v>2</v>
      </c>
      <c r="P238">
        <v>4</v>
      </c>
      <c r="Q238" t="s">
        <v>31</v>
      </c>
      <c r="R238">
        <v>4</v>
      </c>
      <c r="S238" t="s">
        <v>27</v>
      </c>
      <c r="T238">
        <v>13726</v>
      </c>
      <c r="U238">
        <v>21829</v>
      </c>
      <c r="V238">
        <v>3</v>
      </c>
      <c r="W238" t="s">
        <v>29</v>
      </c>
      <c r="X238" t="s">
        <v>10</v>
      </c>
      <c r="Y238">
        <v>13</v>
      </c>
      <c r="Z238">
        <v>3</v>
      </c>
      <c r="AA238">
        <v>1</v>
      </c>
      <c r="AB238">
        <v>80</v>
      </c>
      <c r="AC238">
        <v>0</v>
      </c>
      <c r="AD238">
        <v>30</v>
      </c>
      <c r="AE238">
        <v>4</v>
      </c>
      <c r="AF238">
        <v>3</v>
      </c>
      <c r="AG238">
        <v>5</v>
      </c>
      <c r="AH238">
        <v>3</v>
      </c>
      <c r="AI238">
        <v>4</v>
      </c>
      <c r="AJ238">
        <v>3</v>
      </c>
    </row>
    <row r="239" spans="1:36" x14ac:dyDescent="0.25">
      <c r="A239">
        <v>401</v>
      </c>
      <c r="B239">
        <v>30</v>
      </c>
      <c r="C239" t="s">
        <v>9</v>
      </c>
      <c r="D239" t="s">
        <v>15</v>
      </c>
      <c r="E239">
        <v>317</v>
      </c>
      <c r="F239" t="s">
        <v>119</v>
      </c>
      <c r="G239">
        <v>2</v>
      </c>
      <c r="H239">
        <v>3</v>
      </c>
      <c r="I239" t="s">
        <v>21</v>
      </c>
      <c r="J239">
        <v>1</v>
      </c>
      <c r="K239">
        <v>548</v>
      </c>
      <c r="L239">
        <v>3</v>
      </c>
      <c r="M239" t="s">
        <v>24</v>
      </c>
      <c r="N239">
        <v>43</v>
      </c>
      <c r="O239">
        <v>1</v>
      </c>
      <c r="P239">
        <v>2</v>
      </c>
      <c r="Q239" t="s">
        <v>31</v>
      </c>
      <c r="R239">
        <v>4</v>
      </c>
      <c r="S239" t="s">
        <v>27</v>
      </c>
      <c r="T239">
        <v>6091</v>
      </c>
      <c r="U239">
        <v>24793</v>
      </c>
      <c r="V239">
        <v>2</v>
      </c>
      <c r="W239" t="s">
        <v>29</v>
      </c>
      <c r="X239" t="s">
        <v>9</v>
      </c>
      <c r="Y239">
        <v>20</v>
      </c>
      <c r="Z239">
        <v>4</v>
      </c>
      <c r="AA239">
        <v>3</v>
      </c>
      <c r="AB239">
        <v>80</v>
      </c>
      <c r="AC239">
        <v>0</v>
      </c>
      <c r="AD239">
        <v>11</v>
      </c>
      <c r="AE239">
        <v>2</v>
      </c>
      <c r="AF239">
        <v>3</v>
      </c>
      <c r="AG239">
        <v>5</v>
      </c>
      <c r="AH239">
        <v>4</v>
      </c>
      <c r="AI239">
        <v>0</v>
      </c>
      <c r="AJ239">
        <v>2</v>
      </c>
    </row>
    <row r="240" spans="1:36" x14ac:dyDescent="0.25">
      <c r="A240">
        <v>247</v>
      </c>
      <c r="B240">
        <v>31</v>
      </c>
      <c r="C240" t="s">
        <v>9</v>
      </c>
      <c r="D240" t="s">
        <v>15</v>
      </c>
      <c r="E240">
        <v>1232</v>
      </c>
      <c r="F240" t="s">
        <v>119</v>
      </c>
      <c r="G240">
        <v>7</v>
      </c>
      <c r="H240">
        <v>4</v>
      </c>
      <c r="I240" t="s">
        <v>17</v>
      </c>
      <c r="J240">
        <v>1</v>
      </c>
      <c r="K240">
        <v>462</v>
      </c>
      <c r="L240">
        <v>3</v>
      </c>
      <c r="M240" t="s">
        <v>24</v>
      </c>
      <c r="N240">
        <v>39</v>
      </c>
      <c r="O240">
        <v>3</v>
      </c>
      <c r="P240">
        <v>3</v>
      </c>
      <c r="Q240" t="s">
        <v>31</v>
      </c>
      <c r="R240">
        <v>4</v>
      </c>
      <c r="S240" t="s">
        <v>27</v>
      </c>
      <c r="T240">
        <v>7143</v>
      </c>
      <c r="U240">
        <v>25713</v>
      </c>
      <c r="V240">
        <v>1</v>
      </c>
      <c r="W240" t="s">
        <v>29</v>
      </c>
      <c r="X240" t="s">
        <v>10</v>
      </c>
      <c r="Y240">
        <v>14</v>
      </c>
      <c r="Z240">
        <v>3</v>
      </c>
      <c r="AA240">
        <v>3</v>
      </c>
      <c r="AB240">
        <v>80</v>
      </c>
      <c r="AC240">
        <v>0</v>
      </c>
      <c r="AD240">
        <v>11</v>
      </c>
      <c r="AE240">
        <v>2</v>
      </c>
      <c r="AF240">
        <v>2</v>
      </c>
      <c r="AG240">
        <v>11</v>
      </c>
      <c r="AH240">
        <v>9</v>
      </c>
      <c r="AI240">
        <v>4</v>
      </c>
      <c r="AJ240">
        <v>10</v>
      </c>
    </row>
    <row r="241" spans="1:36" x14ac:dyDescent="0.25">
      <c r="A241">
        <v>817</v>
      </c>
      <c r="B241">
        <v>30</v>
      </c>
      <c r="C241" t="s">
        <v>9</v>
      </c>
      <c r="D241" t="s">
        <v>15</v>
      </c>
      <c r="E241">
        <v>946</v>
      </c>
      <c r="F241" t="s">
        <v>119</v>
      </c>
      <c r="G241">
        <v>2</v>
      </c>
      <c r="H241">
        <v>3</v>
      </c>
      <c r="I241" t="s">
        <v>17</v>
      </c>
      <c r="J241">
        <v>1</v>
      </c>
      <c r="K241">
        <v>833</v>
      </c>
      <c r="L241">
        <v>3</v>
      </c>
      <c r="M241" t="s">
        <v>24</v>
      </c>
      <c r="N241">
        <v>52</v>
      </c>
      <c r="O241">
        <v>2</v>
      </c>
      <c r="P241">
        <v>2</v>
      </c>
      <c r="Q241" t="s">
        <v>31</v>
      </c>
      <c r="R241">
        <v>4</v>
      </c>
      <c r="S241" t="s">
        <v>27</v>
      </c>
      <c r="T241">
        <v>6877</v>
      </c>
      <c r="U241">
        <v>20234</v>
      </c>
      <c r="V241">
        <v>5</v>
      </c>
      <c r="W241" t="s">
        <v>29</v>
      </c>
      <c r="X241" t="s">
        <v>10</v>
      </c>
      <c r="Y241">
        <v>24</v>
      </c>
      <c r="Z241">
        <v>4</v>
      </c>
      <c r="AA241">
        <v>2</v>
      </c>
      <c r="AB241">
        <v>80</v>
      </c>
      <c r="AC241">
        <v>0</v>
      </c>
      <c r="AD241">
        <v>12</v>
      </c>
      <c r="AE241">
        <v>4</v>
      </c>
      <c r="AF241">
        <v>2</v>
      </c>
      <c r="AG241">
        <v>0</v>
      </c>
      <c r="AH241">
        <v>0</v>
      </c>
      <c r="AI241">
        <v>0</v>
      </c>
      <c r="AJ241">
        <v>0</v>
      </c>
    </row>
    <row r="242" spans="1:36" x14ac:dyDescent="0.25">
      <c r="A242">
        <v>491</v>
      </c>
      <c r="B242">
        <v>49</v>
      </c>
      <c r="C242" t="s">
        <v>9</v>
      </c>
      <c r="D242" t="s">
        <v>11</v>
      </c>
      <c r="E242">
        <v>636</v>
      </c>
      <c r="F242" t="s">
        <v>119</v>
      </c>
      <c r="G242">
        <v>10</v>
      </c>
      <c r="H242">
        <v>4</v>
      </c>
      <c r="I242" t="s">
        <v>21</v>
      </c>
      <c r="J242">
        <v>1</v>
      </c>
      <c r="K242">
        <v>396</v>
      </c>
      <c r="L242">
        <v>3</v>
      </c>
      <c r="M242" t="s">
        <v>24</v>
      </c>
      <c r="N242">
        <v>35</v>
      </c>
      <c r="O242">
        <v>3</v>
      </c>
      <c r="P242">
        <v>5</v>
      </c>
      <c r="Q242" t="s">
        <v>30</v>
      </c>
      <c r="R242">
        <v>1</v>
      </c>
      <c r="S242" t="s">
        <v>27</v>
      </c>
      <c r="T242">
        <v>18665</v>
      </c>
      <c r="U242">
        <v>25594</v>
      </c>
      <c r="V242">
        <v>9</v>
      </c>
      <c r="W242" t="s">
        <v>29</v>
      </c>
      <c r="X242" t="s">
        <v>10</v>
      </c>
      <c r="Y242">
        <v>11</v>
      </c>
      <c r="Z242">
        <v>3</v>
      </c>
      <c r="AA242">
        <v>4</v>
      </c>
      <c r="AB242">
        <v>80</v>
      </c>
      <c r="AC242">
        <v>0</v>
      </c>
      <c r="AD242">
        <v>22</v>
      </c>
      <c r="AE242">
        <v>4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25">
      <c r="A243" s="15">
        <v>687</v>
      </c>
      <c r="B243" s="15">
        <v>29</v>
      </c>
      <c r="C243" s="15" t="s">
        <v>10</v>
      </c>
      <c r="D243" s="15" t="s">
        <v>11</v>
      </c>
      <c r="E243" s="15">
        <v>337</v>
      </c>
      <c r="F243" s="15" t="s">
        <v>119</v>
      </c>
      <c r="G243" s="15">
        <v>14</v>
      </c>
      <c r="H243" s="15">
        <v>1</v>
      </c>
      <c r="I243" s="15" t="s">
        <v>19</v>
      </c>
      <c r="J243" s="15">
        <v>1</v>
      </c>
      <c r="K243" s="15">
        <v>1421</v>
      </c>
      <c r="L243" s="15">
        <v>3</v>
      </c>
      <c r="M243" s="15" t="s">
        <v>24</v>
      </c>
      <c r="N243" s="15">
        <v>84</v>
      </c>
      <c r="O243" s="15">
        <v>3</v>
      </c>
      <c r="P243" s="15">
        <v>3</v>
      </c>
      <c r="Q243" s="15" t="s">
        <v>34</v>
      </c>
      <c r="R243" s="15">
        <v>4</v>
      </c>
      <c r="S243" s="15" t="s">
        <v>27</v>
      </c>
      <c r="T243" s="15">
        <v>7553</v>
      </c>
      <c r="U243" s="15">
        <v>22930</v>
      </c>
      <c r="V243" s="15">
        <v>0</v>
      </c>
      <c r="W243" s="15" t="s">
        <v>29</v>
      </c>
      <c r="X243" s="15" t="s">
        <v>10</v>
      </c>
      <c r="Y243" s="15">
        <v>12</v>
      </c>
      <c r="Z243" s="15">
        <v>3</v>
      </c>
      <c r="AA243" s="15">
        <v>1</v>
      </c>
      <c r="AB243" s="15">
        <v>80</v>
      </c>
      <c r="AC243" s="15">
        <v>0</v>
      </c>
      <c r="AD243" s="15">
        <v>9</v>
      </c>
      <c r="AE243" s="15">
        <v>1</v>
      </c>
      <c r="AF243" s="15">
        <v>3</v>
      </c>
      <c r="AG243" s="15">
        <v>8</v>
      </c>
      <c r="AH243" s="15">
        <v>7</v>
      </c>
      <c r="AI243" s="15">
        <v>7</v>
      </c>
      <c r="AJ243" s="15">
        <v>7</v>
      </c>
    </row>
    <row r="244" spans="1:36" x14ac:dyDescent="0.25">
      <c r="A244" s="15">
        <v>377</v>
      </c>
      <c r="B244" s="15">
        <v>36</v>
      </c>
      <c r="C244" s="15" t="s">
        <v>10</v>
      </c>
      <c r="D244" s="15" t="s">
        <v>15</v>
      </c>
      <c r="E244" s="15">
        <v>885</v>
      </c>
      <c r="F244" s="15" t="s">
        <v>119</v>
      </c>
      <c r="G244" s="15">
        <v>16</v>
      </c>
      <c r="H244" s="15">
        <v>4</v>
      </c>
      <c r="I244" s="15" t="s">
        <v>21</v>
      </c>
      <c r="J244" s="15">
        <v>1</v>
      </c>
      <c r="K244" s="15">
        <v>1042</v>
      </c>
      <c r="L244" s="15">
        <v>3</v>
      </c>
      <c r="M244" s="15" t="s">
        <v>24</v>
      </c>
      <c r="N244" s="15">
        <v>43</v>
      </c>
      <c r="O244" s="15">
        <v>4</v>
      </c>
      <c r="P244" s="15">
        <v>1</v>
      </c>
      <c r="Q244" s="15" t="s">
        <v>36</v>
      </c>
      <c r="R244" s="15">
        <v>1</v>
      </c>
      <c r="S244" s="15" t="s">
        <v>27</v>
      </c>
      <c r="T244" s="15">
        <v>2743</v>
      </c>
      <c r="U244" s="15">
        <v>8269</v>
      </c>
      <c r="V244" s="15">
        <v>1</v>
      </c>
      <c r="W244" s="15" t="s">
        <v>29</v>
      </c>
      <c r="X244" s="15" t="s">
        <v>9</v>
      </c>
      <c r="Y244" s="15">
        <v>16</v>
      </c>
      <c r="Z244" s="15">
        <v>3</v>
      </c>
      <c r="AA244" s="15">
        <v>3</v>
      </c>
      <c r="AB244" s="15">
        <v>80</v>
      </c>
      <c r="AC244" s="15">
        <v>0</v>
      </c>
      <c r="AD244" s="15">
        <v>18</v>
      </c>
      <c r="AE244" s="15">
        <v>1</v>
      </c>
      <c r="AF244" s="15">
        <v>3</v>
      </c>
      <c r="AG244" s="15">
        <v>17</v>
      </c>
      <c r="AH244" s="15">
        <v>13</v>
      </c>
      <c r="AI244" s="15">
        <v>15</v>
      </c>
      <c r="AJ244" s="15">
        <v>14</v>
      </c>
    </row>
    <row r="245" spans="1:36" x14ac:dyDescent="0.25">
      <c r="A245">
        <v>51</v>
      </c>
      <c r="B245">
        <v>38</v>
      </c>
      <c r="C245" t="s">
        <v>9</v>
      </c>
      <c r="D245" t="s">
        <v>15</v>
      </c>
      <c r="E245">
        <v>362</v>
      </c>
      <c r="F245" t="s">
        <v>119</v>
      </c>
      <c r="G245">
        <v>1</v>
      </c>
      <c r="H245">
        <v>1</v>
      </c>
      <c r="I245" t="s">
        <v>21</v>
      </c>
      <c r="J245">
        <v>1</v>
      </c>
      <c r="K245">
        <v>662</v>
      </c>
      <c r="L245">
        <v>3</v>
      </c>
      <c r="M245" t="s">
        <v>24</v>
      </c>
      <c r="N245">
        <v>43</v>
      </c>
      <c r="O245">
        <v>3</v>
      </c>
      <c r="P245">
        <v>1</v>
      </c>
      <c r="Q245" t="s">
        <v>32</v>
      </c>
      <c r="R245">
        <v>1</v>
      </c>
      <c r="S245" t="s">
        <v>27</v>
      </c>
      <c r="T245">
        <v>2619</v>
      </c>
      <c r="U245">
        <v>14561</v>
      </c>
      <c r="V245">
        <v>3</v>
      </c>
      <c r="W245" t="s">
        <v>29</v>
      </c>
      <c r="X245" t="s">
        <v>9</v>
      </c>
      <c r="Y245">
        <v>17</v>
      </c>
      <c r="Z245">
        <v>3</v>
      </c>
      <c r="AA245">
        <v>4</v>
      </c>
      <c r="AB245">
        <v>80</v>
      </c>
      <c r="AC245">
        <v>0</v>
      </c>
      <c r="AD245">
        <v>8</v>
      </c>
      <c r="AE245">
        <v>3</v>
      </c>
      <c r="AF245">
        <v>2</v>
      </c>
      <c r="AG245">
        <v>0</v>
      </c>
      <c r="AH245">
        <v>0</v>
      </c>
      <c r="AI245">
        <v>0</v>
      </c>
      <c r="AJ245">
        <v>0</v>
      </c>
    </row>
    <row r="246" spans="1:36" x14ac:dyDescent="0.25">
      <c r="A246">
        <v>521</v>
      </c>
      <c r="B246">
        <v>34</v>
      </c>
      <c r="C246" t="s">
        <v>9</v>
      </c>
      <c r="D246" t="s">
        <v>11</v>
      </c>
      <c r="E246">
        <v>702</v>
      </c>
      <c r="F246" t="s">
        <v>119</v>
      </c>
      <c r="G246">
        <v>16</v>
      </c>
      <c r="H246">
        <v>4</v>
      </c>
      <c r="I246" t="s">
        <v>21</v>
      </c>
      <c r="J246">
        <v>1</v>
      </c>
      <c r="K246">
        <v>838</v>
      </c>
      <c r="L246">
        <v>3</v>
      </c>
      <c r="M246" t="s">
        <v>24</v>
      </c>
      <c r="N246">
        <v>100</v>
      </c>
      <c r="O246">
        <v>2</v>
      </c>
      <c r="P246">
        <v>1</v>
      </c>
      <c r="Q246" t="s">
        <v>32</v>
      </c>
      <c r="R246">
        <v>4</v>
      </c>
      <c r="S246" t="s">
        <v>27</v>
      </c>
      <c r="T246">
        <v>2553</v>
      </c>
      <c r="U246">
        <v>8306</v>
      </c>
      <c r="V246">
        <v>1</v>
      </c>
      <c r="W246" t="s">
        <v>29</v>
      </c>
      <c r="X246" t="s">
        <v>9</v>
      </c>
      <c r="Y246">
        <v>16</v>
      </c>
      <c r="Z246">
        <v>3</v>
      </c>
      <c r="AA246">
        <v>3</v>
      </c>
      <c r="AB246">
        <v>80</v>
      </c>
      <c r="AC246">
        <v>0</v>
      </c>
      <c r="AD246">
        <v>6</v>
      </c>
      <c r="AE246">
        <v>3</v>
      </c>
      <c r="AF246">
        <v>3</v>
      </c>
      <c r="AG246">
        <v>5</v>
      </c>
      <c r="AH246">
        <v>2</v>
      </c>
      <c r="AI246">
        <v>1</v>
      </c>
      <c r="AJ246">
        <v>3</v>
      </c>
    </row>
    <row r="247" spans="1:36" x14ac:dyDescent="0.25">
      <c r="A247">
        <v>405</v>
      </c>
      <c r="B247">
        <v>35</v>
      </c>
      <c r="C247" t="s">
        <v>9</v>
      </c>
      <c r="D247" t="s">
        <v>15</v>
      </c>
      <c r="E247">
        <v>1343</v>
      </c>
      <c r="F247" t="s">
        <v>119</v>
      </c>
      <c r="G247">
        <v>27</v>
      </c>
      <c r="H247">
        <v>1</v>
      </c>
      <c r="I247" t="s">
        <v>17</v>
      </c>
      <c r="J247">
        <v>1</v>
      </c>
      <c r="K247">
        <v>856</v>
      </c>
      <c r="L247">
        <v>3</v>
      </c>
      <c r="M247" t="s">
        <v>24</v>
      </c>
      <c r="N247">
        <v>53</v>
      </c>
      <c r="O247">
        <v>2</v>
      </c>
      <c r="P247">
        <v>1</v>
      </c>
      <c r="Q247" t="s">
        <v>32</v>
      </c>
      <c r="R247">
        <v>1</v>
      </c>
      <c r="S247" t="s">
        <v>27</v>
      </c>
      <c r="T247">
        <v>2559</v>
      </c>
      <c r="U247">
        <v>17852</v>
      </c>
      <c r="V247">
        <v>1</v>
      </c>
      <c r="W247" t="s">
        <v>29</v>
      </c>
      <c r="X247" t="s">
        <v>9</v>
      </c>
      <c r="Y247">
        <v>11</v>
      </c>
      <c r="Z247">
        <v>3</v>
      </c>
      <c r="AA247">
        <v>4</v>
      </c>
      <c r="AB247">
        <v>80</v>
      </c>
      <c r="AC247">
        <v>0</v>
      </c>
      <c r="AD247">
        <v>6</v>
      </c>
      <c r="AE247">
        <v>3</v>
      </c>
      <c r="AF247">
        <v>2</v>
      </c>
      <c r="AG247">
        <v>6</v>
      </c>
      <c r="AH247">
        <v>5</v>
      </c>
      <c r="AI247">
        <v>1</v>
      </c>
      <c r="AJ247">
        <v>1</v>
      </c>
    </row>
    <row r="248" spans="1:36" x14ac:dyDescent="0.25">
      <c r="A248">
        <v>545</v>
      </c>
      <c r="B248">
        <v>34</v>
      </c>
      <c r="C248" t="s">
        <v>9</v>
      </c>
      <c r="D248" t="s">
        <v>15</v>
      </c>
      <c r="E248">
        <v>121</v>
      </c>
      <c r="F248" t="s">
        <v>119</v>
      </c>
      <c r="G248">
        <v>2</v>
      </c>
      <c r="H248">
        <v>4</v>
      </c>
      <c r="I248" t="s">
        <v>17</v>
      </c>
      <c r="J248">
        <v>1</v>
      </c>
      <c r="K248">
        <v>804</v>
      </c>
      <c r="L248">
        <v>3</v>
      </c>
      <c r="M248" t="s">
        <v>24</v>
      </c>
      <c r="N248">
        <v>86</v>
      </c>
      <c r="O248">
        <v>2</v>
      </c>
      <c r="P248">
        <v>1</v>
      </c>
      <c r="Q248" t="s">
        <v>32</v>
      </c>
      <c r="R248">
        <v>1</v>
      </c>
      <c r="S248" t="s">
        <v>27</v>
      </c>
      <c r="T248">
        <v>4381</v>
      </c>
      <c r="U248">
        <v>7530</v>
      </c>
      <c r="V248">
        <v>1</v>
      </c>
      <c r="W248" t="s">
        <v>29</v>
      </c>
      <c r="X248" t="s">
        <v>9</v>
      </c>
      <c r="Y248">
        <v>11</v>
      </c>
      <c r="Z248">
        <v>3</v>
      </c>
      <c r="AA248">
        <v>3</v>
      </c>
      <c r="AB248">
        <v>80</v>
      </c>
      <c r="AC248">
        <v>0</v>
      </c>
      <c r="AD248">
        <v>6</v>
      </c>
      <c r="AE248">
        <v>3</v>
      </c>
      <c r="AF248">
        <v>3</v>
      </c>
      <c r="AG248">
        <v>6</v>
      </c>
      <c r="AH248">
        <v>5</v>
      </c>
      <c r="AI248">
        <v>1</v>
      </c>
      <c r="AJ248">
        <v>3</v>
      </c>
    </row>
    <row r="249" spans="1:36" x14ac:dyDescent="0.25">
      <c r="A249">
        <v>718</v>
      </c>
      <c r="B249">
        <v>28</v>
      </c>
      <c r="C249" t="s">
        <v>9</v>
      </c>
      <c r="D249" t="s">
        <v>15</v>
      </c>
      <c r="E249">
        <v>857</v>
      </c>
      <c r="F249" t="s">
        <v>119</v>
      </c>
      <c r="G249">
        <v>10</v>
      </c>
      <c r="H249">
        <v>3</v>
      </c>
      <c r="I249" t="s">
        <v>19</v>
      </c>
      <c r="J249">
        <v>1</v>
      </c>
      <c r="K249">
        <v>1097</v>
      </c>
      <c r="L249">
        <v>3</v>
      </c>
      <c r="M249" t="s">
        <v>24</v>
      </c>
      <c r="N249">
        <v>59</v>
      </c>
      <c r="O249">
        <v>3</v>
      </c>
      <c r="P249">
        <v>2</v>
      </c>
      <c r="Q249" t="s">
        <v>32</v>
      </c>
      <c r="R249">
        <v>3</v>
      </c>
      <c r="S249" t="s">
        <v>27</v>
      </c>
      <c r="T249">
        <v>3660</v>
      </c>
      <c r="U249">
        <v>7909</v>
      </c>
      <c r="V249">
        <v>3</v>
      </c>
      <c r="W249" t="s">
        <v>29</v>
      </c>
      <c r="X249" t="s">
        <v>9</v>
      </c>
      <c r="Y249">
        <v>13</v>
      </c>
      <c r="Z249">
        <v>3</v>
      </c>
      <c r="AA249">
        <v>4</v>
      </c>
      <c r="AB249">
        <v>80</v>
      </c>
      <c r="AC249">
        <v>0</v>
      </c>
      <c r="AD249">
        <v>10</v>
      </c>
      <c r="AE249">
        <v>4</v>
      </c>
      <c r="AF249">
        <v>4</v>
      </c>
      <c r="AG249">
        <v>8</v>
      </c>
      <c r="AH249">
        <v>7</v>
      </c>
      <c r="AI249">
        <v>1</v>
      </c>
      <c r="AJ249">
        <v>7</v>
      </c>
    </row>
    <row r="250" spans="1:36" x14ac:dyDescent="0.25">
      <c r="A250">
        <v>738</v>
      </c>
      <c r="B250">
        <v>59</v>
      </c>
      <c r="C250" t="s">
        <v>9</v>
      </c>
      <c r="D250" t="s">
        <v>15</v>
      </c>
      <c r="E250">
        <v>326</v>
      </c>
      <c r="F250" t="s">
        <v>118</v>
      </c>
      <c r="G250">
        <v>3</v>
      </c>
      <c r="H250">
        <v>3</v>
      </c>
      <c r="I250" t="s">
        <v>21</v>
      </c>
      <c r="J250">
        <v>1</v>
      </c>
      <c r="K250">
        <v>1254</v>
      </c>
      <c r="L250">
        <v>3</v>
      </c>
      <c r="M250" t="s">
        <v>24</v>
      </c>
      <c r="N250">
        <v>48</v>
      </c>
      <c r="O250">
        <v>2</v>
      </c>
      <c r="P250">
        <v>2</v>
      </c>
      <c r="Q250" t="s">
        <v>25</v>
      </c>
      <c r="R250">
        <v>4</v>
      </c>
      <c r="S250" t="s">
        <v>27</v>
      </c>
      <c r="T250">
        <v>5171</v>
      </c>
      <c r="U250">
        <v>16490</v>
      </c>
      <c r="V250">
        <v>5</v>
      </c>
      <c r="W250" t="s">
        <v>29</v>
      </c>
      <c r="X250" t="s">
        <v>9</v>
      </c>
      <c r="Y250">
        <v>17</v>
      </c>
      <c r="Z250">
        <v>3</v>
      </c>
      <c r="AA250">
        <v>4</v>
      </c>
      <c r="AB250">
        <v>80</v>
      </c>
      <c r="AC250">
        <v>0</v>
      </c>
      <c r="AD250">
        <v>13</v>
      </c>
      <c r="AE250">
        <v>2</v>
      </c>
      <c r="AF250">
        <v>3</v>
      </c>
      <c r="AG250">
        <v>6</v>
      </c>
      <c r="AH250">
        <v>1</v>
      </c>
      <c r="AI250">
        <v>0</v>
      </c>
      <c r="AJ250">
        <v>5</v>
      </c>
    </row>
    <row r="251" spans="1:36" x14ac:dyDescent="0.25">
      <c r="A251">
        <v>387</v>
      </c>
      <c r="B251">
        <v>35</v>
      </c>
      <c r="C251" t="s">
        <v>9</v>
      </c>
      <c r="D251" t="s">
        <v>11</v>
      </c>
      <c r="E251">
        <v>944</v>
      </c>
      <c r="F251" t="s">
        <v>118</v>
      </c>
      <c r="G251">
        <v>1</v>
      </c>
      <c r="H251">
        <v>3</v>
      </c>
      <c r="I251" t="s">
        <v>18</v>
      </c>
      <c r="J251">
        <v>1</v>
      </c>
      <c r="K251">
        <v>314</v>
      </c>
      <c r="L251">
        <v>3</v>
      </c>
      <c r="M251" t="s">
        <v>24</v>
      </c>
      <c r="N251">
        <v>92</v>
      </c>
      <c r="O251">
        <v>3</v>
      </c>
      <c r="P251">
        <v>3</v>
      </c>
      <c r="Q251" t="s">
        <v>25</v>
      </c>
      <c r="R251">
        <v>3</v>
      </c>
      <c r="S251" t="s">
        <v>27</v>
      </c>
      <c r="T251">
        <v>8789</v>
      </c>
      <c r="U251">
        <v>9096</v>
      </c>
      <c r="V251">
        <v>1</v>
      </c>
      <c r="W251" t="s">
        <v>29</v>
      </c>
      <c r="X251" t="s">
        <v>9</v>
      </c>
      <c r="Y251">
        <v>14</v>
      </c>
      <c r="Z251">
        <v>3</v>
      </c>
      <c r="AA251">
        <v>1</v>
      </c>
      <c r="AB251">
        <v>80</v>
      </c>
      <c r="AC251">
        <v>0</v>
      </c>
      <c r="AD251">
        <v>10</v>
      </c>
      <c r="AE251">
        <v>3</v>
      </c>
      <c r="AF251">
        <v>4</v>
      </c>
      <c r="AG251">
        <v>10</v>
      </c>
      <c r="AH251">
        <v>7</v>
      </c>
      <c r="AI251">
        <v>0</v>
      </c>
      <c r="AJ251">
        <v>8</v>
      </c>
    </row>
    <row r="252" spans="1:36" x14ac:dyDescent="0.25">
      <c r="A252">
        <v>463</v>
      </c>
      <c r="B252">
        <v>50</v>
      </c>
      <c r="C252" t="s">
        <v>9</v>
      </c>
      <c r="D252" t="s">
        <v>11</v>
      </c>
      <c r="E252">
        <v>809</v>
      </c>
      <c r="F252" t="s">
        <v>118</v>
      </c>
      <c r="G252">
        <v>12</v>
      </c>
      <c r="H252">
        <v>3</v>
      </c>
      <c r="I252" t="s">
        <v>18</v>
      </c>
      <c r="J252">
        <v>1</v>
      </c>
      <c r="K252">
        <v>174</v>
      </c>
      <c r="L252">
        <v>3</v>
      </c>
      <c r="M252" t="s">
        <v>24</v>
      </c>
      <c r="N252">
        <v>77</v>
      </c>
      <c r="O252">
        <v>3</v>
      </c>
      <c r="P252">
        <v>3</v>
      </c>
      <c r="Q252" t="s">
        <v>25</v>
      </c>
      <c r="R252">
        <v>4</v>
      </c>
      <c r="S252" t="s">
        <v>27</v>
      </c>
      <c r="T252">
        <v>9208</v>
      </c>
      <c r="U252">
        <v>6645</v>
      </c>
      <c r="V252">
        <v>4</v>
      </c>
      <c r="W252" t="s">
        <v>29</v>
      </c>
      <c r="X252" t="s">
        <v>9</v>
      </c>
      <c r="Y252">
        <v>11</v>
      </c>
      <c r="Z252">
        <v>3</v>
      </c>
      <c r="AA252">
        <v>4</v>
      </c>
      <c r="AB252">
        <v>80</v>
      </c>
      <c r="AC252">
        <v>0</v>
      </c>
      <c r="AD252">
        <v>16</v>
      </c>
      <c r="AE252">
        <v>3</v>
      </c>
      <c r="AF252">
        <v>3</v>
      </c>
      <c r="AG252">
        <v>2</v>
      </c>
      <c r="AH252">
        <v>2</v>
      </c>
      <c r="AI252">
        <v>2</v>
      </c>
      <c r="AJ252">
        <v>1</v>
      </c>
    </row>
    <row r="253" spans="1:36" x14ac:dyDescent="0.25">
      <c r="A253">
        <v>828</v>
      </c>
      <c r="B253">
        <v>34</v>
      </c>
      <c r="C253" t="s">
        <v>9</v>
      </c>
      <c r="D253" t="s">
        <v>15</v>
      </c>
      <c r="E253">
        <v>131</v>
      </c>
      <c r="F253" t="s">
        <v>118</v>
      </c>
      <c r="G253">
        <v>2</v>
      </c>
      <c r="H253">
        <v>3</v>
      </c>
      <c r="I253" t="s">
        <v>18</v>
      </c>
      <c r="J253">
        <v>1</v>
      </c>
      <c r="K253">
        <v>1281</v>
      </c>
      <c r="L253">
        <v>3</v>
      </c>
      <c r="M253" t="s">
        <v>24</v>
      </c>
      <c r="N253">
        <v>86</v>
      </c>
      <c r="O253">
        <v>3</v>
      </c>
      <c r="P253">
        <v>2</v>
      </c>
      <c r="Q253" t="s">
        <v>25</v>
      </c>
      <c r="R253">
        <v>1</v>
      </c>
      <c r="S253" t="s">
        <v>27</v>
      </c>
      <c r="T253">
        <v>4538</v>
      </c>
      <c r="U253">
        <v>6039</v>
      </c>
      <c r="V253">
        <v>0</v>
      </c>
      <c r="W253" t="s">
        <v>29</v>
      </c>
      <c r="X253" t="s">
        <v>10</v>
      </c>
      <c r="Y253">
        <v>12</v>
      </c>
      <c r="Z253">
        <v>3</v>
      </c>
      <c r="AA253">
        <v>4</v>
      </c>
      <c r="AB253">
        <v>80</v>
      </c>
      <c r="AC253">
        <v>0</v>
      </c>
      <c r="AD253">
        <v>4</v>
      </c>
      <c r="AE253">
        <v>3</v>
      </c>
      <c r="AF253">
        <v>3</v>
      </c>
      <c r="AG253">
        <v>3</v>
      </c>
      <c r="AH253">
        <v>2</v>
      </c>
      <c r="AI253">
        <v>0</v>
      </c>
      <c r="AJ253">
        <v>2</v>
      </c>
    </row>
    <row r="254" spans="1:36" x14ac:dyDescent="0.25">
      <c r="A254">
        <v>569</v>
      </c>
      <c r="B254">
        <v>42</v>
      </c>
      <c r="C254" t="s">
        <v>9</v>
      </c>
      <c r="D254" t="s">
        <v>15</v>
      </c>
      <c r="E254">
        <v>462</v>
      </c>
      <c r="F254" t="s">
        <v>118</v>
      </c>
      <c r="G254">
        <v>14</v>
      </c>
      <c r="H254">
        <v>2</v>
      </c>
      <c r="I254" t="s">
        <v>17</v>
      </c>
      <c r="J254">
        <v>1</v>
      </c>
      <c r="K254">
        <v>936</v>
      </c>
      <c r="L254">
        <v>3</v>
      </c>
      <c r="M254" t="s">
        <v>24</v>
      </c>
      <c r="N254">
        <v>68</v>
      </c>
      <c r="O254">
        <v>2</v>
      </c>
      <c r="P254">
        <v>2</v>
      </c>
      <c r="Q254" t="s">
        <v>25</v>
      </c>
      <c r="R254">
        <v>3</v>
      </c>
      <c r="S254" t="s">
        <v>27</v>
      </c>
      <c r="T254">
        <v>6244</v>
      </c>
      <c r="U254">
        <v>7824</v>
      </c>
      <c r="V254">
        <v>7</v>
      </c>
      <c r="W254" t="s">
        <v>29</v>
      </c>
      <c r="X254" t="s">
        <v>9</v>
      </c>
      <c r="Y254">
        <v>17</v>
      </c>
      <c r="Z254">
        <v>3</v>
      </c>
      <c r="AA254">
        <v>1</v>
      </c>
      <c r="AB254">
        <v>80</v>
      </c>
      <c r="AC254">
        <v>0</v>
      </c>
      <c r="AD254">
        <v>10</v>
      </c>
      <c r="AE254">
        <v>6</v>
      </c>
      <c r="AF254">
        <v>3</v>
      </c>
      <c r="AG254">
        <v>5</v>
      </c>
      <c r="AH254">
        <v>4</v>
      </c>
      <c r="AI254">
        <v>0</v>
      </c>
      <c r="AJ254">
        <v>3</v>
      </c>
    </row>
    <row r="255" spans="1:36" x14ac:dyDescent="0.25">
      <c r="A255">
        <v>389</v>
      </c>
      <c r="B255">
        <v>36</v>
      </c>
      <c r="C255" t="s">
        <v>9</v>
      </c>
      <c r="D255" t="s">
        <v>15</v>
      </c>
      <c r="E255">
        <v>530</v>
      </c>
      <c r="F255" t="s">
        <v>118</v>
      </c>
      <c r="G255">
        <v>2</v>
      </c>
      <c r="H255">
        <v>4</v>
      </c>
      <c r="I255" t="s">
        <v>21</v>
      </c>
      <c r="J255">
        <v>1</v>
      </c>
      <c r="K255">
        <v>1710</v>
      </c>
      <c r="L255">
        <v>3</v>
      </c>
      <c r="M255" t="s">
        <v>24</v>
      </c>
      <c r="N255">
        <v>51</v>
      </c>
      <c r="O255">
        <v>3</v>
      </c>
      <c r="P255">
        <v>2</v>
      </c>
      <c r="Q255" t="s">
        <v>33</v>
      </c>
      <c r="R255">
        <v>4</v>
      </c>
      <c r="S255" t="s">
        <v>27</v>
      </c>
      <c r="T255">
        <v>4502</v>
      </c>
      <c r="U255">
        <v>7439</v>
      </c>
      <c r="V255">
        <v>3</v>
      </c>
      <c r="W255" t="s">
        <v>29</v>
      </c>
      <c r="X255" t="s">
        <v>9</v>
      </c>
      <c r="Y255">
        <v>15</v>
      </c>
      <c r="Z255">
        <v>3</v>
      </c>
      <c r="AA255">
        <v>3</v>
      </c>
      <c r="AB255">
        <v>80</v>
      </c>
      <c r="AC255">
        <v>0</v>
      </c>
      <c r="AD255">
        <v>17</v>
      </c>
      <c r="AE255">
        <v>2</v>
      </c>
      <c r="AF255">
        <v>2</v>
      </c>
      <c r="AG255">
        <v>13</v>
      </c>
      <c r="AH255">
        <v>7</v>
      </c>
      <c r="AI255">
        <v>6</v>
      </c>
      <c r="AJ255">
        <v>7</v>
      </c>
    </row>
    <row r="256" spans="1:36" x14ac:dyDescent="0.25">
      <c r="A256" s="15">
        <v>261</v>
      </c>
      <c r="B256" s="15">
        <v>31</v>
      </c>
      <c r="C256" s="15" t="s">
        <v>10</v>
      </c>
      <c r="D256" s="15" t="s">
        <v>11</v>
      </c>
      <c r="E256" s="15">
        <v>703</v>
      </c>
      <c r="F256" s="15" t="s">
        <v>118</v>
      </c>
      <c r="G256" s="15">
        <v>2</v>
      </c>
      <c r="H256" s="15">
        <v>3</v>
      </c>
      <c r="I256" s="15" t="s">
        <v>21</v>
      </c>
      <c r="J256" s="15">
        <v>1</v>
      </c>
      <c r="K256" s="15">
        <v>1379</v>
      </c>
      <c r="L256" s="15">
        <v>3</v>
      </c>
      <c r="M256" s="15" t="s">
        <v>24</v>
      </c>
      <c r="N256" s="15">
        <v>90</v>
      </c>
      <c r="O256" s="15">
        <v>2</v>
      </c>
      <c r="P256" s="15">
        <v>1</v>
      </c>
      <c r="Q256" s="15" t="s">
        <v>33</v>
      </c>
      <c r="R256" s="15">
        <v>4</v>
      </c>
      <c r="S256" s="15" t="s">
        <v>27</v>
      </c>
      <c r="T256" s="15">
        <v>2785</v>
      </c>
      <c r="U256" s="15">
        <v>11882</v>
      </c>
      <c r="V256" s="15">
        <v>7</v>
      </c>
      <c r="W256" s="15" t="s">
        <v>29</v>
      </c>
      <c r="X256" s="15" t="s">
        <v>9</v>
      </c>
      <c r="Y256" s="15">
        <v>14</v>
      </c>
      <c r="Z256" s="15">
        <v>3</v>
      </c>
      <c r="AA256" s="15">
        <v>3</v>
      </c>
      <c r="AB256" s="15">
        <v>80</v>
      </c>
      <c r="AC256" s="15">
        <v>0</v>
      </c>
      <c r="AD256" s="15">
        <v>3</v>
      </c>
      <c r="AE256" s="15">
        <v>3</v>
      </c>
      <c r="AF256" s="15">
        <v>4</v>
      </c>
      <c r="AG256" s="15">
        <v>1</v>
      </c>
      <c r="AH256" s="15">
        <v>0</v>
      </c>
      <c r="AI256" s="15">
        <v>0</v>
      </c>
      <c r="AJ256" s="15">
        <v>0</v>
      </c>
    </row>
    <row r="257" spans="1:36" x14ac:dyDescent="0.25">
      <c r="A257">
        <v>114</v>
      </c>
      <c r="B257">
        <v>35</v>
      </c>
      <c r="C257" t="s">
        <v>9</v>
      </c>
      <c r="D257" t="s">
        <v>16</v>
      </c>
      <c r="E257">
        <v>1225</v>
      </c>
      <c r="F257" t="s">
        <v>119</v>
      </c>
      <c r="G257">
        <v>2</v>
      </c>
      <c r="H257">
        <v>4</v>
      </c>
      <c r="I257" t="s">
        <v>21</v>
      </c>
      <c r="J257">
        <v>1</v>
      </c>
      <c r="K257">
        <v>771</v>
      </c>
      <c r="L257">
        <v>4</v>
      </c>
      <c r="M257" t="s">
        <v>24</v>
      </c>
      <c r="N257">
        <v>61</v>
      </c>
      <c r="O257">
        <v>3</v>
      </c>
      <c r="P257">
        <v>2</v>
      </c>
      <c r="Q257" t="s">
        <v>34</v>
      </c>
      <c r="R257">
        <v>1</v>
      </c>
      <c r="S257" t="s">
        <v>26</v>
      </c>
      <c r="T257">
        <v>5093</v>
      </c>
      <c r="U257">
        <v>4761</v>
      </c>
      <c r="V257">
        <v>2</v>
      </c>
      <c r="W257" t="s">
        <v>29</v>
      </c>
      <c r="X257" t="s">
        <v>9</v>
      </c>
      <c r="Y257">
        <v>11</v>
      </c>
      <c r="Z257">
        <v>3</v>
      </c>
      <c r="AA257">
        <v>1</v>
      </c>
      <c r="AB257">
        <v>80</v>
      </c>
      <c r="AC257">
        <v>1</v>
      </c>
      <c r="AD257">
        <v>16</v>
      </c>
      <c r="AE257">
        <v>2</v>
      </c>
      <c r="AF257">
        <v>4</v>
      </c>
      <c r="AG257">
        <v>1</v>
      </c>
      <c r="AH257">
        <v>0</v>
      </c>
      <c r="AI257">
        <v>0</v>
      </c>
      <c r="AJ257">
        <v>0</v>
      </c>
    </row>
    <row r="258" spans="1:36" x14ac:dyDescent="0.25">
      <c r="A258" s="15">
        <v>674</v>
      </c>
      <c r="B258" s="15">
        <v>35</v>
      </c>
      <c r="C258" s="15" t="s">
        <v>10</v>
      </c>
      <c r="D258" s="15" t="s">
        <v>11</v>
      </c>
      <c r="E258" s="15">
        <v>130</v>
      </c>
      <c r="F258" s="15" t="s">
        <v>119</v>
      </c>
      <c r="G258" s="15">
        <v>25</v>
      </c>
      <c r="H258" s="15">
        <v>4</v>
      </c>
      <c r="I258" s="15" t="s">
        <v>21</v>
      </c>
      <c r="J258" s="15">
        <v>1</v>
      </c>
      <c r="K258" s="15">
        <v>881</v>
      </c>
      <c r="L258" s="15">
        <v>4</v>
      </c>
      <c r="M258" s="15" t="s">
        <v>24</v>
      </c>
      <c r="N258" s="15">
        <v>96</v>
      </c>
      <c r="O258" s="15">
        <v>3</v>
      </c>
      <c r="P258" s="15">
        <v>1</v>
      </c>
      <c r="Q258" s="15" t="s">
        <v>32</v>
      </c>
      <c r="R258" s="15">
        <v>2</v>
      </c>
      <c r="S258" s="15" t="s">
        <v>26</v>
      </c>
      <c r="T258" s="15">
        <v>2022</v>
      </c>
      <c r="U258" s="15">
        <v>16612</v>
      </c>
      <c r="V258" s="15">
        <v>1</v>
      </c>
      <c r="W258" s="15" t="s">
        <v>29</v>
      </c>
      <c r="X258" s="15" t="s">
        <v>10</v>
      </c>
      <c r="Y258" s="15">
        <v>19</v>
      </c>
      <c r="Z258" s="15">
        <v>3</v>
      </c>
      <c r="AA258" s="15">
        <v>1</v>
      </c>
      <c r="AB258" s="15">
        <v>80</v>
      </c>
      <c r="AC258" s="15">
        <v>1</v>
      </c>
      <c r="AD258" s="15">
        <v>10</v>
      </c>
      <c r="AE258" s="15">
        <v>3</v>
      </c>
      <c r="AF258" s="15">
        <v>2</v>
      </c>
      <c r="AG258" s="15">
        <v>10</v>
      </c>
      <c r="AH258" s="15">
        <v>2</v>
      </c>
      <c r="AI258" s="15">
        <v>7</v>
      </c>
      <c r="AJ258" s="15">
        <v>8</v>
      </c>
    </row>
    <row r="259" spans="1:36" x14ac:dyDescent="0.25">
      <c r="A259">
        <v>340</v>
      </c>
      <c r="B259">
        <v>27</v>
      </c>
      <c r="C259" t="s">
        <v>9</v>
      </c>
      <c r="D259" t="s">
        <v>15</v>
      </c>
      <c r="E259">
        <v>1240</v>
      </c>
      <c r="F259" t="s">
        <v>119</v>
      </c>
      <c r="G259">
        <v>2</v>
      </c>
      <c r="H259">
        <v>4</v>
      </c>
      <c r="I259" t="s">
        <v>21</v>
      </c>
      <c r="J259">
        <v>1</v>
      </c>
      <c r="K259">
        <v>54</v>
      </c>
      <c r="L259">
        <v>4</v>
      </c>
      <c r="M259" t="s">
        <v>24</v>
      </c>
      <c r="N259">
        <v>33</v>
      </c>
      <c r="O259">
        <v>3</v>
      </c>
      <c r="P259">
        <v>1</v>
      </c>
      <c r="Q259" t="s">
        <v>36</v>
      </c>
      <c r="R259">
        <v>1</v>
      </c>
      <c r="S259" t="s">
        <v>26</v>
      </c>
      <c r="T259">
        <v>2341</v>
      </c>
      <c r="U259">
        <v>19715</v>
      </c>
      <c r="V259">
        <v>1</v>
      </c>
      <c r="W259" t="s">
        <v>29</v>
      </c>
      <c r="X259" t="s">
        <v>9</v>
      </c>
      <c r="Y259">
        <v>13</v>
      </c>
      <c r="Z259">
        <v>3</v>
      </c>
      <c r="AA259">
        <v>4</v>
      </c>
      <c r="AB259">
        <v>80</v>
      </c>
      <c r="AC259">
        <v>1</v>
      </c>
      <c r="AD259">
        <v>1</v>
      </c>
      <c r="AE259">
        <v>6</v>
      </c>
      <c r="AF259">
        <v>3</v>
      </c>
      <c r="AG259">
        <v>1</v>
      </c>
      <c r="AH259">
        <v>0</v>
      </c>
      <c r="AI259">
        <v>0</v>
      </c>
      <c r="AJ259">
        <v>0</v>
      </c>
    </row>
    <row r="260" spans="1:36" x14ac:dyDescent="0.25">
      <c r="A260">
        <v>80</v>
      </c>
      <c r="B260">
        <v>31</v>
      </c>
      <c r="C260" t="s">
        <v>9</v>
      </c>
      <c r="D260" t="s">
        <v>15</v>
      </c>
      <c r="E260">
        <v>1276</v>
      </c>
      <c r="F260" t="s">
        <v>119</v>
      </c>
      <c r="G260">
        <v>2</v>
      </c>
      <c r="H260">
        <v>1</v>
      </c>
      <c r="I260" t="s">
        <v>17</v>
      </c>
      <c r="J260">
        <v>1</v>
      </c>
      <c r="K260">
        <v>1974</v>
      </c>
      <c r="L260">
        <v>4</v>
      </c>
      <c r="M260" t="s">
        <v>24</v>
      </c>
      <c r="N260">
        <v>59</v>
      </c>
      <c r="O260">
        <v>1</v>
      </c>
      <c r="P260">
        <v>1</v>
      </c>
      <c r="Q260" t="s">
        <v>36</v>
      </c>
      <c r="R260">
        <v>4</v>
      </c>
      <c r="S260" t="s">
        <v>26</v>
      </c>
      <c r="T260">
        <v>1129</v>
      </c>
      <c r="U260">
        <v>17536</v>
      </c>
      <c r="V260">
        <v>1</v>
      </c>
      <c r="W260" t="s">
        <v>29</v>
      </c>
      <c r="X260" t="s">
        <v>10</v>
      </c>
      <c r="Y260">
        <v>11</v>
      </c>
      <c r="Z260">
        <v>3</v>
      </c>
      <c r="AA260">
        <v>3</v>
      </c>
      <c r="AB260">
        <v>80</v>
      </c>
      <c r="AC260">
        <v>3</v>
      </c>
      <c r="AD260">
        <v>1</v>
      </c>
      <c r="AE260">
        <v>4</v>
      </c>
      <c r="AF260">
        <v>3</v>
      </c>
      <c r="AG260">
        <v>1</v>
      </c>
      <c r="AH260">
        <v>0</v>
      </c>
      <c r="AI260">
        <v>0</v>
      </c>
      <c r="AJ260">
        <v>0</v>
      </c>
    </row>
    <row r="261" spans="1:36" x14ac:dyDescent="0.25">
      <c r="A261">
        <v>43</v>
      </c>
      <c r="B261">
        <v>49</v>
      </c>
      <c r="C261" t="s">
        <v>9</v>
      </c>
      <c r="D261" t="s">
        <v>15</v>
      </c>
      <c r="E261">
        <v>464</v>
      </c>
      <c r="F261" t="s">
        <v>119</v>
      </c>
      <c r="G261">
        <v>16</v>
      </c>
      <c r="H261">
        <v>3</v>
      </c>
      <c r="I261" t="s">
        <v>17</v>
      </c>
      <c r="J261">
        <v>1</v>
      </c>
      <c r="K261">
        <v>1674</v>
      </c>
      <c r="L261">
        <v>4</v>
      </c>
      <c r="M261" t="s">
        <v>24</v>
      </c>
      <c r="N261">
        <v>74</v>
      </c>
      <c r="O261">
        <v>3</v>
      </c>
      <c r="P261">
        <v>1</v>
      </c>
      <c r="Q261" t="s">
        <v>36</v>
      </c>
      <c r="R261">
        <v>1</v>
      </c>
      <c r="S261" t="s">
        <v>26</v>
      </c>
      <c r="T261">
        <v>2587</v>
      </c>
      <c r="U261">
        <v>24941</v>
      </c>
      <c r="V261">
        <v>4</v>
      </c>
      <c r="W261" t="s">
        <v>29</v>
      </c>
      <c r="X261" t="s">
        <v>10</v>
      </c>
      <c r="Y261">
        <v>16</v>
      </c>
      <c r="Z261">
        <v>3</v>
      </c>
      <c r="AA261">
        <v>2</v>
      </c>
      <c r="AB261">
        <v>80</v>
      </c>
      <c r="AC261">
        <v>1</v>
      </c>
      <c r="AD261">
        <v>17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</row>
    <row r="262" spans="1:36" x14ac:dyDescent="0.25">
      <c r="A262">
        <v>291</v>
      </c>
      <c r="B262">
        <v>45</v>
      </c>
      <c r="C262" t="s">
        <v>9</v>
      </c>
      <c r="D262" t="s">
        <v>15</v>
      </c>
      <c r="E262">
        <v>974</v>
      </c>
      <c r="F262" t="s">
        <v>119</v>
      </c>
      <c r="G262">
        <v>1</v>
      </c>
      <c r="H262">
        <v>4</v>
      </c>
      <c r="I262" t="s">
        <v>17</v>
      </c>
      <c r="J262">
        <v>1</v>
      </c>
      <c r="K262">
        <v>996</v>
      </c>
      <c r="L262">
        <v>4</v>
      </c>
      <c r="M262" t="s">
        <v>24</v>
      </c>
      <c r="N262">
        <v>91</v>
      </c>
      <c r="O262">
        <v>3</v>
      </c>
      <c r="P262">
        <v>1</v>
      </c>
      <c r="Q262" t="s">
        <v>36</v>
      </c>
      <c r="R262">
        <v>4</v>
      </c>
      <c r="S262" t="s">
        <v>26</v>
      </c>
      <c r="T262">
        <v>2270</v>
      </c>
      <c r="U262">
        <v>11005</v>
      </c>
      <c r="V262">
        <v>3</v>
      </c>
      <c r="W262" t="s">
        <v>29</v>
      </c>
      <c r="X262" t="s">
        <v>9</v>
      </c>
      <c r="Y262">
        <v>14</v>
      </c>
      <c r="Z262">
        <v>3</v>
      </c>
      <c r="AA262">
        <v>4</v>
      </c>
      <c r="AB262">
        <v>80</v>
      </c>
      <c r="AC262">
        <v>2</v>
      </c>
      <c r="AD262">
        <v>8</v>
      </c>
      <c r="AE262">
        <v>2</v>
      </c>
      <c r="AF262">
        <v>3</v>
      </c>
      <c r="AG262">
        <v>5</v>
      </c>
      <c r="AH262">
        <v>3</v>
      </c>
      <c r="AI262">
        <v>0</v>
      </c>
      <c r="AJ262">
        <v>2</v>
      </c>
    </row>
    <row r="263" spans="1:36" x14ac:dyDescent="0.25">
      <c r="A263" s="15">
        <v>415</v>
      </c>
      <c r="B263" s="15">
        <v>34</v>
      </c>
      <c r="C263" s="15" t="s">
        <v>10</v>
      </c>
      <c r="D263" s="15" t="s">
        <v>11</v>
      </c>
      <c r="E263" s="15">
        <v>296</v>
      </c>
      <c r="F263" s="15" t="s">
        <v>118</v>
      </c>
      <c r="G263" s="15">
        <v>6</v>
      </c>
      <c r="H263" s="15">
        <v>2</v>
      </c>
      <c r="I263" s="15" t="s">
        <v>18</v>
      </c>
      <c r="J263" s="15">
        <v>1</v>
      </c>
      <c r="K263" s="15">
        <v>555</v>
      </c>
      <c r="L263" s="15">
        <v>4</v>
      </c>
      <c r="M263" s="15" t="s">
        <v>24</v>
      </c>
      <c r="N263" s="15">
        <v>33</v>
      </c>
      <c r="O263" s="15">
        <v>1</v>
      </c>
      <c r="P263" s="15">
        <v>1</v>
      </c>
      <c r="Q263" s="15" t="s">
        <v>33</v>
      </c>
      <c r="R263" s="15">
        <v>3</v>
      </c>
      <c r="S263" s="15" t="s">
        <v>26</v>
      </c>
      <c r="T263" s="15">
        <v>2351</v>
      </c>
      <c r="U263" s="15">
        <v>12253</v>
      </c>
      <c r="V263" s="15">
        <v>0</v>
      </c>
      <c r="W263" s="15" t="s">
        <v>29</v>
      </c>
      <c r="X263" s="15" t="s">
        <v>9</v>
      </c>
      <c r="Y263" s="15">
        <v>16</v>
      </c>
      <c r="Z263" s="15">
        <v>3</v>
      </c>
      <c r="AA263" s="15">
        <v>4</v>
      </c>
      <c r="AB263" s="15">
        <v>80</v>
      </c>
      <c r="AC263" s="15">
        <v>1</v>
      </c>
      <c r="AD263" s="15">
        <v>3</v>
      </c>
      <c r="AE263" s="15">
        <v>3</v>
      </c>
      <c r="AF263" s="15">
        <v>2</v>
      </c>
      <c r="AG263" s="15">
        <v>2</v>
      </c>
      <c r="AH263" s="15">
        <v>2</v>
      </c>
      <c r="AI263" s="15">
        <v>1</v>
      </c>
      <c r="AJ263" s="15">
        <v>0</v>
      </c>
    </row>
    <row r="264" spans="1:36" x14ac:dyDescent="0.25">
      <c r="A264">
        <v>218</v>
      </c>
      <c r="B264">
        <v>48</v>
      </c>
      <c r="C264" t="s">
        <v>9</v>
      </c>
      <c r="D264" t="s">
        <v>11</v>
      </c>
      <c r="E264">
        <v>117</v>
      </c>
      <c r="F264" t="s">
        <v>119</v>
      </c>
      <c r="G264">
        <v>22</v>
      </c>
      <c r="H264">
        <v>3</v>
      </c>
      <c r="I264" t="s">
        <v>17</v>
      </c>
      <c r="J264">
        <v>1</v>
      </c>
      <c r="K264">
        <v>1900</v>
      </c>
      <c r="L264">
        <v>4</v>
      </c>
      <c r="M264" t="s">
        <v>24</v>
      </c>
      <c r="N264">
        <v>58</v>
      </c>
      <c r="O264">
        <v>3</v>
      </c>
      <c r="P264">
        <v>4</v>
      </c>
      <c r="Q264" t="s">
        <v>35</v>
      </c>
      <c r="R264">
        <v>4</v>
      </c>
      <c r="S264" t="s">
        <v>26</v>
      </c>
      <c r="T264">
        <v>17174</v>
      </c>
      <c r="U264">
        <v>2437</v>
      </c>
      <c r="V264">
        <v>3</v>
      </c>
      <c r="W264" t="s">
        <v>29</v>
      </c>
      <c r="X264" t="s">
        <v>9</v>
      </c>
      <c r="Y264">
        <v>11</v>
      </c>
      <c r="Z264">
        <v>3</v>
      </c>
      <c r="AA264">
        <v>2</v>
      </c>
      <c r="AB264">
        <v>80</v>
      </c>
      <c r="AC264">
        <v>1</v>
      </c>
      <c r="AD264">
        <v>24</v>
      </c>
      <c r="AE264">
        <v>3</v>
      </c>
      <c r="AF264">
        <v>3</v>
      </c>
      <c r="AG264">
        <v>22</v>
      </c>
      <c r="AH264">
        <v>17</v>
      </c>
      <c r="AI264">
        <v>4</v>
      </c>
      <c r="AJ264">
        <v>7</v>
      </c>
    </row>
    <row r="265" spans="1:36" x14ac:dyDescent="0.25">
      <c r="A265">
        <v>276</v>
      </c>
      <c r="B265">
        <v>56</v>
      </c>
      <c r="C265" t="s">
        <v>9</v>
      </c>
      <c r="D265" t="s">
        <v>15</v>
      </c>
      <c r="E265">
        <v>718</v>
      </c>
      <c r="F265" t="s">
        <v>119</v>
      </c>
      <c r="G265">
        <v>4</v>
      </c>
      <c r="H265">
        <v>4</v>
      </c>
      <c r="I265" t="s">
        <v>22</v>
      </c>
      <c r="J265">
        <v>1</v>
      </c>
      <c r="K265">
        <v>1191</v>
      </c>
      <c r="L265">
        <v>4</v>
      </c>
      <c r="M265" t="s">
        <v>24</v>
      </c>
      <c r="N265">
        <v>92</v>
      </c>
      <c r="O265">
        <v>3</v>
      </c>
      <c r="P265">
        <v>5</v>
      </c>
      <c r="Q265" t="s">
        <v>35</v>
      </c>
      <c r="R265">
        <v>1</v>
      </c>
      <c r="S265" t="s">
        <v>26</v>
      </c>
      <c r="T265">
        <v>19943</v>
      </c>
      <c r="U265">
        <v>18575</v>
      </c>
      <c r="V265">
        <v>4</v>
      </c>
      <c r="W265" t="s">
        <v>29</v>
      </c>
      <c r="X265" t="s">
        <v>9</v>
      </c>
      <c r="Y265">
        <v>13</v>
      </c>
      <c r="Z265">
        <v>3</v>
      </c>
      <c r="AA265">
        <v>4</v>
      </c>
      <c r="AB265">
        <v>80</v>
      </c>
      <c r="AC265">
        <v>1</v>
      </c>
      <c r="AD265">
        <v>28</v>
      </c>
      <c r="AE265">
        <v>2</v>
      </c>
      <c r="AF265">
        <v>3</v>
      </c>
      <c r="AG265">
        <v>5</v>
      </c>
      <c r="AH265">
        <v>2</v>
      </c>
      <c r="AI265">
        <v>4</v>
      </c>
      <c r="AJ265">
        <v>2</v>
      </c>
    </row>
    <row r="266" spans="1:36" x14ac:dyDescent="0.25">
      <c r="A266">
        <v>679</v>
      </c>
      <c r="B266">
        <v>36</v>
      </c>
      <c r="C266" t="s">
        <v>9</v>
      </c>
      <c r="D266" t="s">
        <v>11</v>
      </c>
      <c r="E266">
        <v>688</v>
      </c>
      <c r="F266" t="s">
        <v>119</v>
      </c>
      <c r="G266">
        <v>4</v>
      </c>
      <c r="H266">
        <v>2</v>
      </c>
      <c r="I266" t="s">
        <v>21</v>
      </c>
      <c r="J266">
        <v>1</v>
      </c>
      <c r="K266">
        <v>2025</v>
      </c>
      <c r="L266">
        <v>4</v>
      </c>
      <c r="M266" t="s">
        <v>24</v>
      </c>
      <c r="N266">
        <v>97</v>
      </c>
      <c r="O266">
        <v>3</v>
      </c>
      <c r="P266">
        <v>2</v>
      </c>
      <c r="Q266" t="s">
        <v>31</v>
      </c>
      <c r="R266">
        <v>2</v>
      </c>
      <c r="S266" t="s">
        <v>26</v>
      </c>
      <c r="T266">
        <v>5131</v>
      </c>
      <c r="U266">
        <v>9192</v>
      </c>
      <c r="V266">
        <v>7</v>
      </c>
      <c r="W266" t="s">
        <v>29</v>
      </c>
      <c r="X266" t="s">
        <v>9</v>
      </c>
      <c r="Y266">
        <v>13</v>
      </c>
      <c r="Z266">
        <v>3</v>
      </c>
      <c r="AA266">
        <v>2</v>
      </c>
      <c r="AB266">
        <v>80</v>
      </c>
      <c r="AC266">
        <v>3</v>
      </c>
      <c r="AD266">
        <v>18</v>
      </c>
      <c r="AE266">
        <v>3</v>
      </c>
      <c r="AF266">
        <v>3</v>
      </c>
      <c r="AG266">
        <v>4</v>
      </c>
      <c r="AH266">
        <v>2</v>
      </c>
      <c r="AI266">
        <v>0</v>
      </c>
      <c r="AJ266">
        <v>2</v>
      </c>
    </row>
    <row r="267" spans="1:36" x14ac:dyDescent="0.25">
      <c r="A267">
        <v>470</v>
      </c>
      <c r="B267">
        <v>53</v>
      </c>
      <c r="C267" t="s">
        <v>9</v>
      </c>
      <c r="D267" t="s">
        <v>15</v>
      </c>
      <c r="E267">
        <v>1084</v>
      </c>
      <c r="F267" t="s">
        <v>119</v>
      </c>
      <c r="G267">
        <v>13</v>
      </c>
      <c r="H267">
        <v>2</v>
      </c>
      <c r="I267" t="s">
        <v>17</v>
      </c>
      <c r="J267">
        <v>1</v>
      </c>
      <c r="K267">
        <v>250</v>
      </c>
      <c r="L267">
        <v>4</v>
      </c>
      <c r="M267" t="s">
        <v>24</v>
      </c>
      <c r="N267">
        <v>57</v>
      </c>
      <c r="O267">
        <v>4</v>
      </c>
      <c r="P267">
        <v>2</v>
      </c>
      <c r="Q267" t="s">
        <v>31</v>
      </c>
      <c r="R267">
        <v>1</v>
      </c>
      <c r="S267" t="s">
        <v>26</v>
      </c>
      <c r="T267">
        <v>4450</v>
      </c>
      <c r="U267">
        <v>26250</v>
      </c>
      <c r="V267">
        <v>1</v>
      </c>
      <c r="W267" t="s">
        <v>29</v>
      </c>
      <c r="X267" t="s">
        <v>9</v>
      </c>
      <c r="Y267">
        <v>11</v>
      </c>
      <c r="Z267">
        <v>3</v>
      </c>
      <c r="AA267">
        <v>3</v>
      </c>
      <c r="AB267">
        <v>80</v>
      </c>
      <c r="AC267">
        <v>2</v>
      </c>
      <c r="AD267">
        <v>5</v>
      </c>
      <c r="AE267">
        <v>3</v>
      </c>
      <c r="AF267">
        <v>3</v>
      </c>
      <c r="AG267">
        <v>4</v>
      </c>
      <c r="AH267">
        <v>2</v>
      </c>
      <c r="AI267">
        <v>1</v>
      </c>
      <c r="AJ267">
        <v>3</v>
      </c>
    </row>
    <row r="268" spans="1:36" x14ac:dyDescent="0.25">
      <c r="A268">
        <v>720</v>
      </c>
      <c r="B268">
        <v>28</v>
      </c>
      <c r="C268" t="s">
        <v>9</v>
      </c>
      <c r="D268" t="s">
        <v>15</v>
      </c>
      <c r="E268">
        <v>950</v>
      </c>
      <c r="F268" t="s">
        <v>119</v>
      </c>
      <c r="G268">
        <v>3</v>
      </c>
      <c r="H268">
        <v>3</v>
      </c>
      <c r="I268" t="s">
        <v>17</v>
      </c>
      <c r="J268">
        <v>1</v>
      </c>
      <c r="K268">
        <v>1121</v>
      </c>
      <c r="L268">
        <v>4</v>
      </c>
      <c r="M268" t="s">
        <v>24</v>
      </c>
      <c r="N268">
        <v>93</v>
      </c>
      <c r="O268">
        <v>3</v>
      </c>
      <c r="P268">
        <v>3</v>
      </c>
      <c r="Q268" t="s">
        <v>31</v>
      </c>
      <c r="R268">
        <v>2</v>
      </c>
      <c r="S268" t="s">
        <v>26</v>
      </c>
      <c r="T268">
        <v>7655</v>
      </c>
      <c r="U268">
        <v>8039</v>
      </c>
      <c r="V268">
        <v>0</v>
      </c>
      <c r="W268" t="s">
        <v>29</v>
      </c>
      <c r="X268" t="s">
        <v>9</v>
      </c>
      <c r="Y268">
        <v>17</v>
      </c>
      <c r="Z268">
        <v>3</v>
      </c>
      <c r="AA268">
        <v>2</v>
      </c>
      <c r="AB268">
        <v>80</v>
      </c>
      <c r="AC268">
        <v>3</v>
      </c>
      <c r="AD268">
        <v>10</v>
      </c>
      <c r="AE268">
        <v>3</v>
      </c>
      <c r="AF268">
        <v>2</v>
      </c>
      <c r="AG268">
        <v>9</v>
      </c>
      <c r="AH268">
        <v>7</v>
      </c>
      <c r="AI268">
        <v>1</v>
      </c>
      <c r="AJ268">
        <v>7</v>
      </c>
    </row>
    <row r="269" spans="1:36" x14ac:dyDescent="0.25">
      <c r="A269">
        <v>231</v>
      </c>
      <c r="B269">
        <v>45</v>
      </c>
      <c r="C269" t="s">
        <v>9</v>
      </c>
      <c r="D269" t="s">
        <v>15</v>
      </c>
      <c r="E269">
        <v>1329</v>
      </c>
      <c r="F269" t="s">
        <v>119</v>
      </c>
      <c r="G269">
        <v>2</v>
      </c>
      <c r="H269">
        <v>2</v>
      </c>
      <c r="I269" t="s">
        <v>19</v>
      </c>
      <c r="J269">
        <v>1</v>
      </c>
      <c r="K269">
        <v>1635</v>
      </c>
      <c r="L269">
        <v>4</v>
      </c>
      <c r="M269" t="s">
        <v>24</v>
      </c>
      <c r="N269">
        <v>59</v>
      </c>
      <c r="O269">
        <v>2</v>
      </c>
      <c r="P269">
        <v>2</v>
      </c>
      <c r="Q269" t="s">
        <v>31</v>
      </c>
      <c r="R269">
        <v>4</v>
      </c>
      <c r="S269" t="s">
        <v>26</v>
      </c>
      <c r="T269">
        <v>5770</v>
      </c>
      <c r="U269">
        <v>5388</v>
      </c>
      <c r="V269">
        <v>1</v>
      </c>
      <c r="W269" t="s">
        <v>29</v>
      </c>
      <c r="X269" t="s">
        <v>9</v>
      </c>
      <c r="Y269">
        <v>19</v>
      </c>
      <c r="Z269">
        <v>3</v>
      </c>
      <c r="AA269">
        <v>1</v>
      </c>
      <c r="AB269">
        <v>80</v>
      </c>
      <c r="AC269">
        <v>2</v>
      </c>
      <c r="AD269">
        <v>10</v>
      </c>
      <c r="AE269">
        <v>3</v>
      </c>
      <c r="AF269">
        <v>3</v>
      </c>
      <c r="AG269">
        <v>10</v>
      </c>
      <c r="AH269">
        <v>7</v>
      </c>
      <c r="AI269">
        <v>3</v>
      </c>
      <c r="AJ269">
        <v>9</v>
      </c>
    </row>
    <row r="270" spans="1:36" x14ac:dyDescent="0.25">
      <c r="A270">
        <v>240</v>
      </c>
      <c r="B270">
        <v>50</v>
      </c>
      <c r="C270" t="s">
        <v>9</v>
      </c>
      <c r="D270" t="s">
        <v>15</v>
      </c>
      <c r="E270">
        <v>813</v>
      </c>
      <c r="F270" t="s">
        <v>119</v>
      </c>
      <c r="G270">
        <v>17</v>
      </c>
      <c r="H270">
        <v>5</v>
      </c>
      <c r="I270" t="s">
        <v>21</v>
      </c>
      <c r="J270">
        <v>1</v>
      </c>
      <c r="K270">
        <v>1656</v>
      </c>
      <c r="L270">
        <v>4</v>
      </c>
      <c r="M270" t="s">
        <v>24</v>
      </c>
      <c r="N270">
        <v>50</v>
      </c>
      <c r="O270">
        <v>2</v>
      </c>
      <c r="P270">
        <v>3</v>
      </c>
      <c r="Q270" t="s">
        <v>30</v>
      </c>
      <c r="R270">
        <v>1</v>
      </c>
      <c r="S270" t="s">
        <v>26</v>
      </c>
      <c r="T270">
        <v>13269</v>
      </c>
      <c r="U270">
        <v>21981</v>
      </c>
      <c r="V270">
        <v>5</v>
      </c>
      <c r="W270" t="s">
        <v>29</v>
      </c>
      <c r="X270" t="s">
        <v>9</v>
      </c>
      <c r="Y270">
        <v>15</v>
      </c>
      <c r="Z270">
        <v>3</v>
      </c>
      <c r="AA270">
        <v>3</v>
      </c>
      <c r="AB270">
        <v>80</v>
      </c>
      <c r="AC270">
        <v>3</v>
      </c>
      <c r="AD270">
        <v>19</v>
      </c>
      <c r="AE270">
        <v>3</v>
      </c>
      <c r="AF270">
        <v>3</v>
      </c>
      <c r="AG270">
        <v>14</v>
      </c>
      <c r="AH270">
        <v>11</v>
      </c>
      <c r="AI270">
        <v>1</v>
      </c>
      <c r="AJ270">
        <v>11</v>
      </c>
    </row>
    <row r="271" spans="1:36" x14ac:dyDescent="0.25">
      <c r="A271">
        <v>249</v>
      </c>
      <c r="B271">
        <v>41</v>
      </c>
      <c r="C271" t="s">
        <v>9</v>
      </c>
      <c r="D271" t="s">
        <v>11</v>
      </c>
      <c r="E271">
        <v>1200</v>
      </c>
      <c r="F271" t="s">
        <v>119</v>
      </c>
      <c r="G271">
        <v>22</v>
      </c>
      <c r="H271">
        <v>3</v>
      </c>
      <c r="I271" t="s">
        <v>21</v>
      </c>
      <c r="J271">
        <v>1</v>
      </c>
      <c r="K271">
        <v>1392</v>
      </c>
      <c r="L271">
        <v>4</v>
      </c>
      <c r="M271" t="s">
        <v>24</v>
      </c>
      <c r="N271">
        <v>75</v>
      </c>
      <c r="O271">
        <v>3</v>
      </c>
      <c r="P271">
        <v>2</v>
      </c>
      <c r="Q271" t="s">
        <v>32</v>
      </c>
      <c r="R271">
        <v>4</v>
      </c>
      <c r="S271" t="s">
        <v>26</v>
      </c>
      <c r="T271">
        <v>5467</v>
      </c>
      <c r="U271">
        <v>13953</v>
      </c>
      <c r="V271">
        <v>3</v>
      </c>
      <c r="W271" t="s">
        <v>29</v>
      </c>
      <c r="X271" t="s">
        <v>10</v>
      </c>
      <c r="Y271">
        <v>14</v>
      </c>
      <c r="Z271">
        <v>3</v>
      </c>
      <c r="AA271">
        <v>1</v>
      </c>
      <c r="AB271">
        <v>80</v>
      </c>
      <c r="AC271">
        <v>2</v>
      </c>
      <c r="AD271">
        <v>12</v>
      </c>
      <c r="AE271">
        <v>4</v>
      </c>
      <c r="AF271">
        <v>2</v>
      </c>
      <c r="AG271">
        <v>6</v>
      </c>
      <c r="AH271">
        <v>2</v>
      </c>
      <c r="AI271">
        <v>3</v>
      </c>
      <c r="AJ271">
        <v>3</v>
      </c>
    </row>
    <row r="272" spans="1:36" x14ac:dyDescent="0.25">
      <c r="A272">
        <v>272</v>
      </c>
      <c r="B272">
        <v>34</v>
      </c>
      <c r="C272" t="s">
        <v>9</v>
      </c>
      <c r="D272" t="s">
        <v>15</v>
      </c>
      <c r="E272">
        <v>1130</v>
      </c>
      <c r="F272" t="s">
        <v>119</v>
      </c>
      <c r="G272">
        <v>3</v>
      </c>
      <c r="H272">
        <v>3</v>
      </c>
      <c r="I272" t="s">
        <v>21</v>
      </c>
      <c r="J272">
        <v>1</v>
      </c>
      <c r="K272">
        <v>1658</v>
      </c>
      <c r="L272">
        <v>4</v>
      </c>
      <c r="M272" t="s">
        <v>24</v>
      </c>
      <c r="N272">
        <v>66</v>
      </c>
      <c r="O272">
        <v>3</v>
      </c>
      <c r="P272">
        <v>2</v>
      </c>
      <c r="Q272" t="s">
        <v>32</v>
      </c>
      <c r="R272">
        <v>2</v>
      </c>
      <c r="S272" t="s">
        <v>26</v>
      </c>
      <c r="T272">
        <v>5433</v>
      </c>
      <c r="U272">
        <v>19332</v>
      </c>
      <c r="V272">
        <v>1</v>
      </c>
      <c r="W272" t="s">
        <v>29</v>
      </c>
      <c r="X272" t="s">
        <v>9</v>
      </c>
      <c r="Y272">
        <v>12</v>
      </c>
      <c r="Z272">
        <v>3</v>
      </c>
      <c r="AA272">
        <v>3</v>
      </c>
      <c r="AB272">
        <v>80</v>
      </c>
      <c r="AC272">
        <v>1</v>
      </c>
      <c r="AD272">
        <v>11</v>
      </c>
      <c r="AE272">
        <v>2</v>
      </c>
      <c r="AF272">
        <v>3</v>
      </c>
      <c r="AG272">
        <v>11</v>
      </c>
      <c r="AH272">
        <v>8</v>
      </c>
      <c r="AI272">
        <v>7</v>
      </c>
      <c r="AJ272">
        <v>9</v>
      </c>
    </row>
    <row r="273" spans="1:36" x14ac:dyDescent="0.25">
      <c r="A273">
        <v>324</v>
      </c>
      <c r="B273">
        <v>46</v>
      </c>
      <c r="C273" t="s">
        <v>9</v>
      </c>
      <c r="D273" t="s">
        <v>15</v>
      </c>
      <c r="E273">
        <v>1003</v>
      </c>
      <c r="F273" t="s">
        <v>119</v>
      </c>
      <c r="G273">
        <v>8</v>
      </c>
      <c r="H273">
        <v>4</v>
      </c>
      <c r="I273" t="s">
        <v>21</v>
      </c>
      <c r="J273">
        <v>1</v>
      </c>
      <c r="K273">
        <v>1080</v>
      </c>
      <c r="L273">
        <v>4</v>
      </c>
      <c r="M273" t="s">
        <v>24</v>
      </c>
      <c r="N273">
        <v>74</v>
      </c>
      <c r="O273">
        <v>2</v>
      </c>
      <c r="P273">
        <v>2</v>
      </c>
      <c r="Q273" t="s">
        <v>32</v>
      </c>
      <c r="R273">
        <v>1</v>
      </c>
      <c r="S273" t="s">
        <v>26</v>
      </c>
      <c r="T273">
        <v>4615</v>
      </c>
      <c r="U273">
        <v>21029</v>
      </c>
      <c r="V273">
        <v>8</v>
      </c>
      <c r="W273" t="s">
        <v>29</v>
      </c>
      <c r="X273" t="s">
        <v>10</v>
      </c>
      <c r="Y273">
        <v>23</v>
      </c>
      <c r="Z273">
        <v>4</v>
      </c>
      <c r="AA273">
        <v>1</v>
      </c>
      <c r="AB273">
        <v>80</v>
      </c>
      <c r="AC273">
        <v>3</v>
      </c>
      <c r="AD273">
        <v>19</v>
      </c>
      <c r="AE273">
        <v>2</v>
      </c>
      <c r="AF273">
        <v>3</v>
      </c>
      <c r="AG273">
        <v>16</v>
      </c>
      <c r="AH273">
        <v>13</v>
      </c>
      <c r="AI273">
        <v>1</v>
      </c>
      <c r="AJ273">
        <v>7</v>
      </c>
    </row>
    <row r="274" spans="1:36" x14ac:dyDescent="0.25">
      <c r="A274">
        <v>329</v>
      </c>
      <c r="B274">
        <v>38</v>
      </c>
      <c r="C274" t="s">
        <v>9</v>
      </c>
      <c r="D274" t="s">
        <v>11</v>
      </c>
      <c r="E274">
        <v>1394</v>
      </c>
      <c r="F274" t="s">
        <v>119</v>
      </c>
      <c r="G274">
        <v>8</v>
      </c>
      <c r="H274">
        <v>3</v>
      </c>
      <c r="I274" t="s">
        <v>17</v>
      </c>
      <c r="J274">
        <v>1</v>
      </c>
      <c r="K274">
        <v>1937</v>
      </c>
      <c r="L274">
        <v>4</v>
      </c>
      <c r="M274" t="s">
        <v>24</v>
      </c>
      <c r="N274">
        <v>58</v>
      </c>
      <c r="O274">
        <v>2</v>
      </c>
      <c r="P274">
        <v>2</v>
      </c>
      <c r="Q274" t="s">
        <v>32</v>
      </c>
      <c r="R274">
        <v>2</v>
      </c>
      <c r="S274" t="s">
        <v>26</v>
      </c>
      <c r="T274">
        <v>2133</v>
      </c>
      <c r="U274">
        <v>18115</v>
      </c>
      <c r="V274">
        <v>1</v>
      </c>
      <c r="W274" t="s">
        <v>29</v>
      </c>
      <c r="X274" t="s">
        <v>10</v>
      </c>
      <c r="Y274">
        <v>16</v>
      </c>
      <c r="Z274">
        <v>3</v>
      </c>
      <c r="AA274">
        <v>3</v>
      </c>
      <c r="AB274">
        <v>80</v>
      </c>
      <c r="AC274">
        <v>1</v>
      </c>
      <c r="AD274">
        <v>20</v>
      </c>
      <c r="AE274">
        <v>3</v>
      </c>
      <c r="AF274">
        <v>3</v>
      </c>
      <c r="AG274">
        <v>20</v>
      </c>
      <c r="AH274">
        <v>11</v>
      </c>
      <c r="AI274">
        <v>0</v>
      </c>
      <c r="AJ274">
        <v>7</v>
      </c>
    </row>
    <row r="275" spans="1:36" x14ac:dyDescent="0.25">
      <c r="A275">
        <v>209</v>
      </c>
      <c r="B275">
        <v>30</v>
      </c>
      <c r="C275" t="s">
        <v>9</v>
      </c>
      <c r="D275" t="s">
        <v>15</v>
      </c>
      <c r="E275">
        <v>201</v>
      </c>
      <c r="F275" t="s">
        <v>119</v>
      </c>
      <c r="G275">
        <v>5</v>
      </c>
      <c r="H275">
        <v>3</v>
      </c>
      <c r="I275" t="s">
        <v>22</v>
      </c>
      <c r="J275">
        <v>1</v>
      </c>
      <c r="K275">
        <v>197</v>
      </c>
      <c r="L275">
        <v>4</v>
      </c>
      <c r="M275" t="s">
        <v>24</v>
      </c>
      <c r="N275">
        <v>84</v>
      </c>
      <c r="O275">
        <v>3</v>
      </c>
      <c r="P275">
        <v>1</v>
      </c>
      <c r="Q275" t="s">
        <v>32</v>
      </c>
      <c r="R275">
        <v>1</v>
      </c>
      <c r="S275" t="s">
        <v>26</v>
      </c>
      <c r="T275">
        <v>3204</v>
      </c>
      <c r="U275">
        <v>10415</v>
      </c>
      <c r="V275">
        <v>5</v>
      </c>
      <c r="W275" t="s">
        <v>29</v>
      </c>
      <c r="X275" t="s">
        <v>9</v>
      </c>
      <c r="Y275">
        <v>14</v>
      </c>
      <c r="Z275">
        <v>3</v>
      </c>
      <c r="AA275">
        <v>4</v>
      </c>
      <c r="AB275">
        <v>80</v>
      </c>
      <c r="AC275">
        <v>1</v>
      </c>
      <c r="AD275">
        <v>8</v>
      </c>
      <c r="AE275">
        <v>3</v>
      </c>
      <c r="AF275">
        <v>3</v>
      </c>
      <c r="AG275">
        <v>3</v>
      </c>
      <c r="AH275">
        <v>2</v>
      </c>
      <c r="AI275">
        <v>2</v>
      </c>
      <c r="AJ275">
        <v>2</v>
      </c>
    </row>
    <row r="276" spans="1:36" x14ac:dyDescent="0.25">
      <c r="A276">
        <v>434</v>
      </c>
      <c r="B276">
        <v>29</v>
      </c>
      <c r="C276" t="s">
        <v>9</v>
      </c>
      <c r="D276" t="s">
        <v>15</v>
      </c>
      <c r="E276">
        <v>590</v>
      </c>
      <c r="F276" t="s">
        <v>119</v>
      </c>
      <c r="G276">
        <v>4</v>
      </c>
      <c r="H276">
        <v>3</v>
      </c>
      <c r="I276" t="s">
        <v>22</v>
      </c>
      <c r="J276">
        <v>1</v>
      </c>
      <c r="K276">
        <v>1762</v>
      </c>
      <c r="L276">
        <v>4</v>
      </c>
      <c r="M276" t="s">
        <v>24</v>
      </c>
      <c r="N276">
        <v>91</v>
      </c>
      <c r="O276">
        <v>2</v>
      </c>
      <c r="P276">
        <v>1</v>
      </c>
      <c r="Q276" t="s">
        <v>32</v>
      </c>
      <c r="R276">
        <v>1</v>
      </c>
      <c r="S276" t="s">
        <v>26</v>
      </c>
      <c r="T276">
        <v>2109</v>
      </c>
      <c r="U276">
        <v>10007</v>
      </c>
      <c r="V276">
        <v>1</v>
      </c>
      <c r="W276" t="s">
        <v>29</v>
      </c>
      <c r="X276" t="s">
        <v>9</v>
      </c>
      <c r="Y276">
        <v>13</v>
      </c>
      <c r="Z276">
        <v>3</v>
      </c>
      <c r="AA276">
        <v>3</v>
      </c>
      <c r="AB276">
        <v>80</v>
      </c>
      <c r="AC276">
        <v>1</v>
      </c>
      <c r="AD276">
        <v>1</v>
      </c>
      <c r="AE276">
        <v>2</v>
      </c>
      <c r="AF276">
        <v>3</v>
      </c>
      <c r="AG276">
        <v>1</v>
      </c>
      <c r="AH276">
        <v>0</v>
      </c>
      <c r="AI276">
        <v>0</v>
      </c>
      <c r="AJ276">
        <v>0</v>
      </c>
    </row>
    <row r="277" spans="1:36" x14ac:dyDescent="0.25">
      <c r="A277">
        <v>8</v>
      </c>
      <c r="B277">
        <v>37</v>
      </c>
      <c r="C277" t="s">
        <v>9</v>
      </c>
      <c r="D277" t="s">
        <v>15</v>
      </c>
      <c r="E277">
        <v>309</v>
      </c>
      <c r="F277" t="s">
        <v>118</v>
      </c>
      <c r="G277">
        <v>10</v>
      </c>
      <c r="H277">
        <v>4</v>
      </c>
      <c r="I277" t="s">
        <v>21</v>
      </c>
      <c r="J277">
        <v>1</v>
      </c>
      <c r="K277">
        <v>1105</v>
      </c>
      <c r="L277">
        <v>4</v>
      </c>
      <c r="M277" t="s">
        <v>24</v>
      </c>
      <c r="N277">
        <v>88</v>
      </c>
      <c r="O277">
        <v>2</v>
      </c>
      <c r="P277">
        <v>2</v>
      </c>
      <c r="Q277" t="s">
        <v>25</v>
      </c>
      <c r="R277">
        <v>4</v>
      </c>
      <c r="S277" t="s">
        <v>26</v>
      </c>
      <c r="T277">
        <v>6694</v>
      </c>
      <c r="U277">
        <v>24223</v>
      </c>
      <c r="V277">
        <v>2</v>
      </c>
      <c r="W277" t="s">
        <v>29</v>
      </c>
      <c r="X277" t="s">
        <v>10</v>
      </c>
      <c r="Y277">
        <v>14</v>
      </c>
      <c r="Z277">
        <v>3</v>
      </c>
      <c r="AA277">
        <v>3</v>
      </c>
      <c r="AB277">
        <v>80</v>
      </c>
      <c r="AC277">
        <v>3</v>
      </c>
      <c r="AD277">
        <v>8</v>
      </c>
      <c r="AE277">
        <v>5</v>
      </c>
      <c r="AF277">
        <v>3</v>
      </c>
      <c r="AG277">
        <v>1</v>
      </c>
      <c r="AH277">
        <v>0</v>
      </c>
      <c r="AI277">
        <v>0</v>
      </c>
      <c r="AJ277">
        <v>0</v>
      </c>
    </row>
    <row r="278" spans="1:36" x14ac:dyDescent="0.25">
      <c r="A278">
        <v>258</v>
      </c>
      <c r="B278">
        <v>30</v>
      </c>
      <c r="C278" t="s">
        <v>9</v>
      </c>
      <c r="D278" t="s">
        <v>15</v>
      </c>
      <c r="E278">
        <v>855</v>
      </c>
      <c r="F278" t="s">
        <v>118</v>
      </c>
      <c r="G278">
        <v>7</v>
      </c>
      <c r="H278">
        <v>4</v>
      </c>
      <c r="I278" t="s">
        <v>18</v>
      </c>
      <c r="J278">
        <v>1</v>
      </c>
      <c r="K278">
        <v>1428</v>
      </c>
      <c r="L278">
        <v>4</v>
      </c>
      <c r="M278" t="s">
        <v>24</v>
      </c>
      <c r="N278">
        <v>73</v>
      </c>
      <c r="O278">
        <v>3</v>
      </c>
      <c r="P278">
        <v>2</v>
      </c>
      <c r="Q278" t="s">
        <v>25</v>
      </c>
      <c r="R278">
        <v>1</v>
      </c>
      <c r="S278" t="s">
        <v>26</v>
      </c>
      <c r="T278">
        <v>4779</v>
      </c>
      <c r="U278">
        <v>12761</v>
      </c>
      <c r="V278">
        <v>7</v>
      </c>
      <c r="W278" t="s">
        <v>29</v>
      </c>
      <c r="X278" t="s">
        <v>9</v>
      </c>
      <c r="Y278">
        <v>14</v>
      </c>
      <c r="Z278">
        <v>3</v>
      </c>
      <c r="AA278">
        <v>2</v>
      </c>
      <c r="AB278">
        <v>80</v>
      </c>
      <c r="AC278">
        <v>2</v>
      </c>
      <c r="AD278">
        <v>8</v>
      </c>
      <c r="AE278">
        <v>3</v>
      </c>
      <c r="AF278">
        <v>3</v>
      </c>
      <c r="AG278">
        <v>3</v>
      </c>
      <c r="AH278">
        <v>2</v>
      </c>
      <c r="AI278">
        <v>0</v>
      </c>
      <c r="AJ278">
        <v>2</v>
      </c>
    </row>
    <row r="279" spans="1:36" x14ac:dyDescent="0.25">
      <c r="A279">
        <v>813</v>
      </c>
      <c r="B279">
        <v>24</v>
      </c>
      <c r="C279" t="s">
        <v>9</v>
      </c>
      <c r="D279" t="s">
        <v>15</v>
      </c>
      <c r="E279">
        <v>1371</v>
      </c>
      <c r="F279" t="s">
        <v>118</v>
      </c>
      <c r="G279">
        <v>10</v>
      </c>
      <c r="H279">
        <v>4</v>
      </c>
      <c r="I279" t="s">
        <v>18</v>
      </c>
      <c r="J279">
        <v>1</v>
      </c>
      <c r="K279">
        <v>507</v>
      </c>
      <c r="L279">
        <v>4</v>
      </c>
      <c r="M279" t="s">
        <v>24</v>
      </c>
      <c r="N279">
        <v>77</v>
      </c>
      <c r="O279">
        <v>3</v>
      </c>
      <c r="P279">
        <v>2</v>
      </c>
      <c r="Q279" t="s">
        <v>25</v>
      </c>
      <c r="R279">
        <v>3</v>
      </c>
      <c r="S279" t="s">
        <v>26</v>
      </c>
      <c r="T279">
        <v>4260</v>
      </c>
      <c r="U279">
        <v>5915</v>
      </c>
      <c r="V279">
        <v>1</v>
      </c>
      <c r="W279" t="s">
        <v>29</v>
      </c>
      <c r="X279" t="s">
        <v>10</v>
      </c>
      <c r="Y279">
        <v>12</v>
      </c>
      <c r="Z279">
        <v>3</v>
      </c>
      <c r="AA279">
        <v>4</v>
      </c>
      <c r="AB279">
        <v>80</v>
      </c>
      <c r="AC279">
        <v>1</v>
      </c>
      <c r="AD279">
        <v>5</v>
      </c>
      <c r="AE279">
        <v>2</v>
      </c>
      <c r="AF279">
        <v>4</v>
      </c>
      <c r="AG279">
        <v>5</v>
      </c>
      <c r="AH279">
        <v>2</v>
      </c>
      <c r="AI279">
        <v>0</v>
      </c>
      <c r="AJ279">
        <v>3</v>
      </c>
    </row>
    <row r="280" spans="1:36" x14ac:dyDescent="0.25">
      <c r="A280">
        <v>864</v>
      </c>
      <c r="B280">
        <v>47</v>
      </c>
      <c r="C280" t="s">
        <v>9</v>
      </c>
      <c r="D280" t="s">
        <v>11</v>
      </c>
      <c r="E280">
        <v>217</v>
      </c>
      <c r="F280" t="s">
        <v>118</v>
      </c>
      <c r="G280">
        <v>3</v>
      </c>
      <c r="H280">
        <v>3</v>
      </c>
      <c r="I280" t="s">
        <v>17</v>
      </c>
      <c r="J280">
        <v>1</v>
      </c>
      <c r="K280">
        <v>746</v>
      </c>
      <c r="L280">
        <v>4</v>
      </c>
      <c r="M280" t="s">
        <v>24</v>
      </c>
      <c r="N280">
        <v>49</v>
      </c>
      <c r="O280">
        <v>3</v>
      </c>
      <c r="P280">
        <v>4</v>
      </c>
      <c r="Q280" t="s">
        <v>25</v>
      </c>
      <c r="R280">
        <v>3</v>
      </c>
      <c r="S280" t="s">
        <v>26</v>
      </c>
      <c r="T280">
        <v>13770</v>
      </c>
      <c r="U280">
        <v>10225</v>
      </c>
      <c r="V280">
        <v>9</v>
      </c>
      <c r="W280" t="s">
        <v>29</v>
      </c>
      <c r="X280" t="s">
        <v>10</v>
      </c>
      <c r="Y280">
        <v>12</v>
      </c>
      <c r="Z280">
        <v>3</v>
      </c>
      <c r="AA280">
        <v>4</v>
      </c>
      <c r="AB280">
        <v>80</v>
      </c>
      <c r="AC280">
        <v>2</v>
      </c>
      <c r="AD280">
        <v>28</v>
      </c>
      <c r="AE280">
        <v>2</v>
      </c>
      <c r="AF280">
        <v>2</v>
      </c>
      <c r="AG280">
        <v>22</v>
      </c>
      <c r="AH280">
        <v>2</v>
      </c>
      <c r="AI280">
        <v>11</v>
      </c>
      <c r="AJ280">
        <v>13</v>
      </c>
    </row>
    <row r="281" spans="1:36" x14ac:dyDescent="0.25">
      <c r="A281">
        <v>257</v>
      </c>
      <c r="B281">
        <v>31</v>
      </c>
      <c r="C281" t="s">
        <v>9</v>
      </c>
      <c r="D281" t="s">
        <v>11</v>
      </c>
      <c r="E281">
        <v>444</v>
      </c>
      <c r="F281" t="s">
        <v>118</v>
      </c>
      <c r="G281">
        <v>5</v>
      </c>
      <c r="H281">
        <v>3</v>
      </c>
      <c r="I281" t="s">
        <v>18</v>
      </c>
      <c r="J281">
        <v>1</v>
      </c>
      <c r="K281">
        <v>399</v>
      </c>
      <c r="L281">
        <v>4</v>
      </c>
      <c r="M281" t="s">
        <v>24</v>
      </c>
      <c r="N281">
        <v>84</v>
      </c>
      <c r="O281">
        <v>3</v>
      </c>
      <c r="P281">
        <v>1</v>
      </c>
      <c r="Q281" t="s">
        <v>33</v>
      </c>
      <c r="R281">
        <v>2</v>
      </c>
      <c r="S281" t="s">
        <v>26</v>
      </c>
      <c r="T281">
        <v>2789</v>
      </c>
      <c r="U281">
        <v>3909</v>
      </c>
      <c r="V281">
        <v>1</v>
      </c>
      <c r="W281" t="s">
        <v>29</v>
      </c>
      <c r="X281" t="s">
        <v>9</v>
      </c>
      <c r="Y281">
        <v>11</v>
      </c>
      <c r="Z281">
        <v>3</v>
      </c>
      <c r="AA281">
        <v>3</v>
      </c>
      <c r="AB281">
        <v>80</v>
      </c>
      <c r="AC281">
        <v>1</v>
      </c>
      <c r="AD281">
        <v>2</v>
      </c>
      <c r="AE281">
        <v>5</v>
      </c>
      <c r="AF281">
        <v>2</v>
      </c>
      <c r="AG281">
        <v>2</v>
      </c>
      <c r="AH281">
        <v>2</v>
      </c>
      <c r="AI281">
        <v>2</v>
      </c>
      <c r="AJ281">
        <v>2</v>
      </c>
    </row>
    <row r="282" spans="1:36" x14ac:dyDescent="0.25">
      <c r="A282">
        <v>757</v>
      </c>
      <c r="B282">
        <v>35</v>
      </c>
      <c r="C282" t="s">
        <v>9</v>
      </c>
      <c r="D282" t="s">
        <v>15</v>
      </c>
      <c r="E282">
        <v>1137</v>
      </c>
      <c r="F282" t="s">
        <v>119</v>
      </c>
      <c r="G282">
        <v>21</v>
      </c>
      <c r="H282">
        <v>1</v>
      </c>
      <c r="I282" t="s">
        <v>21</v>
      </c>
      <c r="J282">
        <v>1</v>
      </c>
      <c r="K282">
        <v>942</v>
      </c>
      <c r="L282">
        <v>4</v>
      </c>
      <c r="M282" t="s">
        <v>24</v>
      </c>
      <c r="N282">
        <v>51</v>
      </c>
      <c r="O282">
        <v>3</v>
      </c>
      <c r="P282">
        <v>2</v>
      </c>
      <c r="Q282" t="s">
        <v>34</v>
      </c>
      <c r="R282">
        <v>4</v>
      </c>
      <c r="S282" t="s">
        <v>28</v>
      </c>
      <c r="T282">
        <v>4014</v>
      </c>
      <c r="U282">
        <v>19170</v>
      </c>
      <c r="V282">
        <v>1</v>
      </c>
      <c r="W282" t="s">
        <v>29</v>
      </c>
      <c r="X282" t="s">
        <v>10</v>
      </c>
      <c r="Y282">
        <v>25</v>
      </c>
      <c r="Z282">
        <v>4</v>
      </c>
      <c r="AA282">
        <v>4</v>
      </c>
      <c r="AB282">
        <v>80</v>
      </c>
      <c r="AC282">
        <v>1</v>
      </c>
      <c r="AD282">
        <v>10</v>
      </c>
      <c r="AE282">
        <v>2</v>
      </c>
      <c r="AF282">
        <v>1</v>
      </c>
      <c r="AG282">
        <v>10</v>
      </c>
      <c r="AH282">
        <v>6</v>
      </c>
      <c r="AI282">
        <v>0</v>
      </c>
      <c r="AJ282">
        <v>7</v>
      </c>
    </row>
    <row r="283" spans="1:36" x14ac:dyDescent="0.25">
      <c r="A283" s="15">
        <v>65</v>
      </c>
      <c r="B283" s="15">
        <v>24</v>
      </c>
      <c r="C283" s="15" t="s">
        <v>10</v>
      </c>
      <c r="D283" s="15" t="s">
        <v>15</v>
      </c>
      <c r="E283" s="15">
        <v>984</v>
      </c>
      <c r="F283" s="15" t="s">
        <v>119</v>
      </c>
      <c r="G283" s="15">
        <v>17</v>
      </c>
      <c r="H283" s="15">
        <v>2</v>
      </c>
      <c r="I283" s="15" t="s">
        <v>21</v>
      </c>
      <c r="J283" s="15">
        <v>1</v>
      </c>
      <c r="K283" s="15">
        <v>1219</v>
      </c>
      <c r="L283" s="15">
        <v>4</v>
      </c>
      <c r="M283" s="15" t="s">
        <v>24</v>
      </c>
      <c r="N283" s="15">
        <v>97</v>
      </c>
      <c r="O283" s="15">
        <v>3</v>
      </c>
      <c r="P283" s="15">
        <v>1</v>
      </c>
      <c r="Q283" s="15" t="s">
        <v>36</v>
      </c>
      <c r="R283" s="15">
        <v>2</v>
      </c>
      <c r="S283" s="15" t="s">
        <v>28</v>
      </c>
      <c r="T283" s="15">
        <v>2210</v>
      </c>
      <c r="U283" s="15">
        <v>3372</v>
      </c>
      <c r="V283" s="15">
        <v>1</v>
      </c>
      <c r="W283" s="15" t="s">
        <v>29</v>
      </c>
      <c r="X283" s="15" t="s">
        <v>9</v>
      </c>
      <c r="Y283" s="15">
        <v>13</v>
      </c>
      <c r="Z283" s="15">
        <v>3</v>
      </c>
      <c r="AA283" s="15">
        <v>1</v>
      </c>
      <c r="AB283" s="15">
        <v>80</v>
      </c>
      <c r="AC283" s="15">
        <v>1</v>
      </c>
      <c r="AD283" s="15">
        <v>1</v>
      </c>
      <c r="AE283" s="15">
        <v>3</v>
      </c>
      <c r="AF283" s="15">
        <v>1</v>
      </c>
      <c r="AG283" s="15">
        <v>1</v>
      </c>
      <c r="AH283" s="15">
        <v>0</v>
      </c>
      <c r="AI283" s="15">
        <v>0</v>
      </c>
      <c r="AJ283" s="15">
        <v>0</v>
      </c>
    </row>
    <row r="284" spans="1:36" x14ac:dyDescent="0.25">
      <c r="A284">
        <v>62</v>
      </c>
      <c r="B284">
        <v>36</v>
      </c>
      <c r="C284" t="s">
        <v>9</v>
      </c>
      <c r="D284" t="s">
        <v>15</v>
      </c>
      <c r="E284">
        <v>325</v>
      </c>
      <c r="F284" t="s">
        <v>119</v>
      </c>
      <c r="G284">
        <v>10</v>
      </c>
      <c r="H284">
        <v>4</v>
      </c>
      <c r="I284" t="s">
        <v>22</v>
      </c>
      <c r="J284">
        <v>1</v>
      </c>
      <c r="K284">
        <v>1312</v>
      </c>
      <c r="L284">
        <v>4</v>
      </c>
      <c r="M284" t="s">
        <v>24</v>
      </c>
      <c r="N284">
        <v>63</v>
      </c>
      <c r="O284">
        <v>3</v>
      </c>
      <c r="P284">
        <v>3</v>
      </c>
      <c r="Q284" t="s">
        <v>34</v>
      </c>
      <c r="R284">
        <v>3</v>
      </c>
      <c r="S284" t="s">
        <v>28</v>
      </c>
      <c r="T284">
        <v>7094</v>
      </c>
      <c r="U284">
        <v>5747</v>
      </c>
      <c r="V284">
        <v>3</v>
      </c>
      <c r="W284" t="s">
        <v>29</v>
      </c>
      <c r="X284" t="s">
        <v>9</v>
      </c>
      <c r="Y284">
        <v>12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0</v>
      </c>
      <c r="AF284">
        <v>3</v>
      </c>
      <c r="AG284">
        <v>7</v>
      </c>
      <c r="AH284">
        <v>7</v>
      </c>
      <c r="AI284">
        <v>1</v>
      </c>
      <c r="AJ284">
        <v>7</v>
      </c>
    </row>
    <row r="285" spans="1:36" x14ac:dyDescent="0.25">
      <c r="A285">
        <v>133</v>
      </c>
      <c r="B285">
        <v>42</v>
      </c>
      <c r="C285" t="s">
        <v>9</v>
      </c>
      <c r="D285" t="s">
        <v>11</v>
      </c>
      <c r="E285">
        <v>1368</v>
      </c>
      <c r="F285" t="s">
        <v>119</v>
      </c>
      <c r="G285">
        <v>28</v>
      </c>
      <c r="H285">
        <v>4</v>
      </c>
      <c r="I285" t="s">
        <v>22</v>
      </c>
      <c r="J285">
        <v>1</v>
      </c>
      <c r="K285">
        <v>551</v>
      </c>
      <c r="L285">
        <v>4</v>
      </c>
      <c r="M285" t="s">
        <v>24</v>
      </c>
      <c r="N285">
        <v>88</v>
      </c>
      <c r="O285">
        <v>2</v>
      </c>
      <c r="P285">
        <v>2</v>
      </c>
      <c r="Q285" t="s">
        <v>34</v>
      </c>
      <c r="R285">
        <v>4</v>
      </c>
      <c r="S285" t="s">
        <v>28</v>
      </c>
      <c r="T285">
        <v>4523</v>
      </c>
      <c r="U285">
        <v>4386</v>
      </c>
      <c r="V285">
        <v>0</v>
      </c>
      <c r="W285" t="s">
        <v>29</v>
      </c>
      <c r="X285" t="s">
        <v>9</v>
      </c>
      <c r="Y285">
        <v>11</v>
      </c>
      <c r="Z285">
        <v>3</v>
      </c>
      <c r="AA285">
        <v>4</v>
      </c>
      <c r="AB285">
        <v>80</v>
      </c>
      <c r="AC285">
        <v>3</v>
      </c>
      <c r="AD285">
        <v>7</v>
      </c>
      <c r="AE285">
        <v>4</v>
      </c>
      <c r="AF285">
        <v>4</v>
      </c>
      <c r="AG285">
        <v>6</v>
      </c>
      <c r="AH285">
        <v>5</v>
      </c>
      <c r="AI285">
        <v>0</v>
      </c>
      <c r="AJ285">
        <v>4</v>
      </c>
    </row>
    <row r="286" spans="1:36" x14ac:dyDescent="0.25">
      <c r="A286" s="15">
        <v>92</v>
      </c>
      <c r="B286" s="15">
        <v>29</v>
      </c>
      <c r="C286" s="15" t="s">
        <v>10</v>
      </c>
      <c r="D286" s="15" t="s">
        <v>15</v>
      </c>
      <c r="E286" s="15">
        <v>408</v>
      </c>
      <c r="F286" s="15" t="s">
        <v>118</v>
      </c>
      <c r="G286" s="15">
        <v>23</v>
      </c>
      <c r="H286" s="15">
        <v>1</v>
      </c>
      <c r="I286" s="15" t="s">
        <v>21</v>
      </c>
      <c r="J286" s="15">
        <v>1</v>
      </c>
      <c r="K286" s="15">
        <v>1165</v>
      </c>
      <c r="L286" s="15">
        <v>4</v>
      </c>
      <c r="M286" s="15" t="s">
        <v>24</v>
      </c>
      <c r="N286" s="15">
        <v>45</v>
      </c>
      <c r="O286" s="15">
        <v>2</v>
      </c>
      <c r="P286" s="15">
        <v>3</v>
      </c>
      <c r="Q286" s="15" t="s">
        <v>25</v>
      </c>
      <c r="R286" s="15">
        <v>1</v>
      </c>
      <c r="S286" s="15" t="s">
        <v>28</v>
      </c>
      <c r="T286" s="15">
        <v>7336</v>
      </c>
      <c r="U286" s="15">
        <v>11162</v>
      </c>
      <c r="V286" s="15">
        <v>1</v>
      </c>
      <c r="W286" s="15" t="s">
        <v>29</v>
      </c>
      <c r="X286" s="15" t="s">
        <v>9</v>
      </c>
      <c r="Y286" s="15">
        <v>13</v>
      </c>
      <c r="Z286" s="15">
        <v>3</v>
      </c>
      <c r="AA286" s="15">
        <v>1</v>
      </c>
      <c r="AB286" s="15">
        <v>80</v>
      </c>
      <c r="AC286" s="15">
        <v>1</v>
      </c>
      <c r="AD286" s="15">
        <v>11</v>
      </c>
      <c r="AE286" s="15">
        <v>3</v>
      </c>
      <c r="AF286" s="15">
        <v>1</v>
      </c>
      <c r="AG286" s="15">
        <v>11</v>
      </c>
      <c r="AH286" s="15">
        <v>8</v>
      </c>
      <c r="AI286" s="15">
        <v>3</v>
      </c>
      <c r="AJ286" s="15">
        <v>10</v>
      </c>
    </row>
    <row r="287" spans="1:36" x14ac:dyDescent="0.25">
      <c r="A287" s="15">
        <v>485</v>
      </c>
      <c r="B287" s="15">
        <v>58</v>
      </c>
      <c r="C287" s="15" t="s">
        <v>10</v>
      </c>
      <c r="D287" s="15" t="s">
        <v>15</v>
      </c>
      <c r="E287" s="15">
        <v>147</v>
      </c>
      <c r="F287" s="15" t="s">
        <v>119</v>
      </c>
      <c r="G287" s="15">
        <v>23</v>
      </c>
      <c r="H287" s="15">
        <v>4</v>
      </c>
      <c r="I287" s="15" t="s">
        <v>17</v>
      </c>
      <c r="J287" s="15">
        <v>1</v>
      </c>
      <c r="K287" s="15">
        <v>165</v>
      </c>
      <c r="L287" s="15">
        <v>4</v>
      </c>
      <c r="M287" s="15" t="s">
        <v>24</v>
      </c>
      <c r="N287" s="15">
        <v>94</v>
      </c>
      <c r="O287" s="15">
        <v>3</v>
      </c>
      <c r="P287" s="15">
        <v>3</v>
      </c>
      <c r="Q287" s="15" t="s">
        <v>34</v>
      </c>
      <c r="R287" s="15">
        <v>4</v>
      </c>
      <c r="S287" s="15" t="s">
        <v>28</v>
      </c>
      <c r="T287" s="15">
        <v>10312</v>
      </c>
      <c r="U287" s="15">
        <v>3465</v>
      </c>
      <c r="V287" s="15">
        <v>1</v>
      </c>
      <c r="W287" s="15" t="s">
        <v>29</v>
      </c>
      <c r="X287" s="15" t="s">
        <v>9</v>
      </c>
      <c r="Y287" s="15">
        <v>12</v>
      </c>
      <c r="Z287" s="15">
        <v>3</v>
      </c>
      <c r="AA287" s="15">
        <v>4</v>
      </c>
      <c r="AB287" s="15">
        <v>80</v>
      </c>
      <c r="AC287" s="15">
        <v>1</v>
      </c>
      <c r="AD287" s="15">
        <v>40</v>
      </c>
      <c r="AE287" s="15">
        <v>3</v>
      </c>
      <c r="AF287" s="15">
        <v>2</v>
      </c>
      <c r="AG287" s="15">
        <v>40</v>
      </c>
      <c r="AH287" s="15">
        <v>10</v>
      </c>
      <c r="AI287" s="15">
        <v>15</v>
      </c>
      <c r="AJ287" s="15">
        <v>6</v>
      </c>
    </row>
    <row r="288" spans="1:36" x14ac:dyDescent="0.25">
      <c r="A288">
        <v>99</v>
      </c>
      <c r="B288">
        <v>29</v>
      </c>
      <c r="C288" t="s">
        <v>9</v>
      </c>
      <c r="D288" t="s">
        <v>11</v>
      </c>
      <c r="E288">
        <v>410</v>
      </c>
      <c r="F288" t="s">
        <v>119</v>
      </c>
      <c r="G288">
        <v>2</v>
      </c>
      <c r="H288">
        <v>1</v>
      </c>
      <c r="I288" t="s">
        <v>21</v>
      </c>
      <c r="J288">
        <v>1</v>
      </c>
      <c r="K288">
        <v>1513</v>
      </c>
      <c r="L288">
        <v>4</v>
      </c>
      <c r="M288" t="s">
        <v>24</v>
      </c>
      <c r="N288">
        <v>97</v>
      </c>
      <c r="O288">
        <v>3</v>
      </c>
      <c r="P288">
        <v>1</v>
      </c>
      <c r="Q288" t="s">
        <v>36</v>
      </c>
      <c r="R288">
        <v>2</v>
      </c>
      <c r="S288" t="s">
        <v>28</v>
      </c>
      <c r="T288">
        <v>3180</v>
      </c>
      <c r="U288">
        <v>4668</v>
      </c>
      <c r="V288">
        <v>0</v>
      </c>
      <c r="W288" t="s">
        <v>29</v>
      </c>
      <c r="X288" t="s">
        <v>9</v>
      </c>
      <c r="Y288">
        <v>13</v>
      </c>
      <c r="Z288">
        <v>3</v>
      </c>
      <c r="AA288">
        <v>3</v>
      </c>
      <c r="AB288">
        <v>80</v>
      </c>
      <c r="AC288">
        <v>3</v>
      </c>
      <c r="AD288">
        <v>4</v>
      </c>
      <c r="AE288">
        <v>3</v>
      </c>
      <c r="AF288">
        <v>3</v>
      </c>
      <c r="AG288">
        <v>3</v>
      </c>
      <c r="AH288">
        <v>2</v>
      </c>
      <c r="AI288">
        <v>0</v>
      </c>
      <c r="AJ288">
        <v>2</v>
      </c>
    </row>
    <row r="289" spans="1:36" x14ac:dyDescent="0.25">
      <c r="A289">
        <v>100</v>
      </c>
      <c r="B289">
        <v>34</v>
      </c>
      <c r="C289" t="s">
        <v>9</v>
      </c>
      <c r="D289" t="s">
        <v>15</v>
      </c>
      <c r="E289">
        <v>401</v>
      </c>
      <c r="F289" t="s">
        <v>119</v>
      </c>
      <c r="G289">
        <v>1</v>
      </c>
      <c r="H289">
        <v>3</v>
      </c>
      <c r="I289" t="s">
        <v>21</v>
      </c>
      <c r="J289">
        <v>1</v>
      </c>
      <c r="K289">
        <v>1447</v>
      </c>
      <c r="L289">
        <v>4</v>
      </c>
      <c r="M289" t="s">
        <v>24</v>
      </c>
      <c r="N289">
        <v>86</v>
      </c>
      <c r="O289">
        <v>2</v>
      </c>
      <c r="P289">
        <v>1</v>
      </c>
      <c r="Q289" t="s">
        <v>36</v>
      </c>
      <c r="R289">
        <v>2</v>
      </c>
      <c r="S289" t="s">
        <v>28</v>
      </c>
      <c r="T289">
        <v>3294</v>
      </c>
      <c r="U289">
        <v>3708</v>
      </c>
      <c r="V289">
        <v>5</v>
      </c>
      <c r="W289" t="s">
        <v>29</v>
      </c>
      <c r="X289" t="s">
        <v>9</v>
      </c>
      <c r="Y289">
        <v>17</v>
      </c>
      <c r="Z289">
        <v>3</v>
      </c>
      <c r="AA289">
        <v>1</v>
      </c>
      <c r="AB289">
        <v>80</v>
      </c>
      <c r="AC289">
        <v>1</v>
      </c>
      <c r="AD289">
        <v>7</v>
      </c>
      <c r="AE289">
        <v>2</v>
      </c>
      <c r="AF289">
        <v>2</v>
      </c>
      <c r="AG289">
        <v>5</v>
      </c>
      <c r="AH289">
        <v>4</v>
      </c>
      <c r="AI289">
        <v>0</v>
      </c>
      <c r="AJ289">
        <v>2</v>
      </c>
    </row>
    <row r="290" spans="1:36" x14ac:dyDescent="0.25">
      <c r="A290">
        <v>442</v>
      </c>
      <c r="B290">
        <v>29</v>
      </c>
      <c r="C290" t="s">
        <v>9</v>
      </c>
      <c r="D290" t="s">
        <v>15</v>
      </c>
      <c r="E290">
        <v>1082</v>
      </c>
      <c r="F290" t="s">
        <v>119</v>
      </c>
      <c r="G290">
        <v>9</v>
      </c>
      <c r="H290">
        <v>4</v>
      </c>
      <c r="I290" t="s">
        <v>17</v>
      </c>
      <c r="J290">
        <v>1</v>
      </c>
      <c r="K290">
        <v>1709</v>
      </c>
      <c r="L290">
        <v>4</v>
      </c>
      <c r="M290" t="s">
        <v>24</v>
      </c>
      <c r="N290">
        <v>43</v>
      </c>
      <c r="O290">
        <v>3</v>
      </c>
      <c r="P290">
        <v>1</v>
      </c>
      <c r="Q290" t="s">
        <v>36</v>
      </c>
      <c r="R290">
        <v>3</v>
      </c>
      <c r="S290" t="s">
        <v>28</v>
      </c>
      <c r="T290">
        <v>2974</v>
      </c>
      <c r="U290">
        <v>25412</v>
      </c>
      <c r="V290">
        <v>9</v>
      </c>
      <c r="W290" t="s">
        <v>29</v>
      </c>
      <c r="X290" t="s">
        <v>9</v>
      </c>
      <c r="Y290">
        <v>17</v>
      </c>
      <c r="Z290">
        <v>3</v>
      </c>
      <c r="AA290">
        <v>3</v>
      </c>
      <c r="AB290">
        <v>80</v>
      </c>
      <c r="AC290">
        <v>1</v>
      </c>
      <c r="AD290">
        <v>9</v>
      </c>
      <c r="AE290">
        <v>2</v>
      </c>
      <c r="AF290">
        <v>3</v>
      </c>
      <c r="AG290">
        <v>5</v>
      </c>
      <c r="AH290">
        <v>3</v>
      </c>
      <c r="AI290">
        <v>1</v>
      </c>
      <c r="AJ290">
        <v>2</v>
      </c>
    </row>
    <row r="291" spans="1:36" x14ac:dyDescent="0.25">
      <c r="A291">
        <v>611</v>
      </c>
      <c r="B291">
        <v>35</v>
      </c>
      <c r="C291" t="s">
        <v>9</v>
      </c>
      <c r="D291" t="s">
        <v>15</v>
      </c>
      <c r="E291">
        <v>817</v>
      </c>
      <c r="F291" t="s">
        <v>119</v>
      </c>
      <c r="G291">
        <v>1</v>
      </c>
      <c r="H291">
        <v>3</v>
      </c>
      <c r="I291" t="s">
        <v>17</v>
      </c>
      <c r="J291">
        <v>1</v>
      </c>
      <c r="K291">
        <v>1369</v>
      </c>
      <c r="L291">
        <v>4</v>
      </c>
      <c r="M291" t="s">
        <v>24</v>
      </c>
      <c r="N291">
        <v>60</v>
      </c>
      <c r="O291">
        <v>2</v>
      </c>
      <c r="P291">
        <v>2</v>
      </c>
      <c r="Q291" t="s">
        <v>36</v>
      </c>
      <c r="R291">
        <v>4</v>
      </c>
      <c r="S291" t="s">
        <v>28</v>
      </c>
      <c r="T291">
        <v>5363</v>
      </c>
      <c r="U291">
        <v>10846</v>
      </c>
      <c r="V291">
        <v>0</v>
      </c>
      <c r="W291" t="s">
        <v>29</v>
      </c>
      <c r="X291" t="s">
        <v>9</v>
      </c>
      <c r="Y291">
        <v>12</v>
      </c>
      <c r="Z291">
        <v>3</v>
      </c>
      <c r="AA291">
        <v>2</v>
      </c>
      <c r="AB291">
        <v>80</v>
      </c>
      <c r="AC291">
        <v>1</v>
      </c>
      <c r="AD291">
        <v>10</v>
      </c>
      <c r="AE291">
        <v>0</v>
      </c>
      <c r="AF291">
        <v>3</v>
      </c>
      <c r="AG291">
        <v>9</v>
      </c>
      <c r="AH291">
        <v>7</v>
      </c>
      <c r="AI291">
        <v>0</v>
      </c>
      <c r="AJ291">
        <v>0</v>
      </c>
    </row>
    <row r="292" spans="1:36" x14ac:dyDescent="0.25">
      <c r="A292">
        <v>759</v>
      </c>
      <c r="B292">
        <v>38</v>
      </c>
      <c r="C292" t="s">
        <v>9</v>
      </c>
      <c r="D292" t="s">
        <v>15</v>
      </c>
      <c r="E292">
        <v>1495</v>
      </c>
      <c r="F292" t="s">
        <v>119</v>
      </c>
      <c r="G292">
        <v>4</v>
      </c>
      <c r="H292">
        <v>2</v>
      </c>
      <c r="I292" t="s">
        <v>17</v>
      </c>
      <c r="J292">
        <v>1</v>
      </c>
      <c r="K292">
        <v>1687</v>
      </c>
      <c r="L292">
        <v>4</v>
      </c>
      <c r="M292" t="s">
        <v>24</v>
      </c>
      <c r="N292">
        <v>87</v>
      </c>
      <c r="O292">
        <v>3</v>
      </c>
      <c r="P292">
        <v>1</v>
      </c>
      <c r="Q292" t="s">
        <v>36</v>
      </c>
      <c r="R292">
        <v>3</v>
      </c>
      <c r="S292" t="s">
        <v>28</v>
      </c>
      <c r="T292">
        <v>3306</v>
      </c>
      <c r="U292">
        <v>26176</v>
      </c>
      <c r="V292">
        <v>7</v>
      </c>
      <c r="W292" t="s">
        <v>29</v>
      </c>
      <c r="X292" t="s">
        <v>9</v>
      </c>
      <c r="Y292">
        <v>19</v>
      </c>
      <c r="Z292">
        <v>3</v>
      </c>
      <c r="AA292">
        <v>4</v>
      </c>
      <c r="AB292">
        <v>80</v>
      </c>
      <c r="AC292">
        <v>1</v>
      </c>
      <c r="AD292">
        <v>7</v>
      </c>
      <c r="AE292">
        <v>5</v>
      </c>
      <c r="AF292">
        <v>2</v>
      </c>
      <c r="AG292">
        <v>0</v>
      </c>
      <c r="AH292">
        <v>0</v>
      </c>
      <c r="AI292">
        <v>0</v>
      </c>
      <c r="AJ292">
        <v>0</v>
      </c>
    </row>
    <row r="293" spans="1:36" x14ac:dyDescent="0.25">
      <c r="A293" s="15">
        <v>732</v>
      </c>
      <c r="B293" s="15">
        <v>39</v>
      </c>
      <c r="C293" s="15" t="s">
        <v>10</v>
      </c>
      <c r="D293" s="15" t="s">
        <v>15</v>
      </c>
      <c r="E293" s="15">
        <v>1162</v>
      </c>
      <c r="F293" s="15" t="s">
        <v>118</v>
      </c>
      <c r="G293" s="15">
        <v>3</v>
      </c>
      <c r="H293" s="15">
        <v>2</v>
      </c>
      <c r="I293" s="15" t="s">
        <v>17</v>
      </c>
      <c r="J293" s="15">
        <v>1</v>
      </c>
      <c r="K293" s="15">
        <v>445</v>
      </c>
      <c r="L293" s="15">
        <v>4</v>
      </c>
      <c r="M293" s="15" t="s">
        <v>24</v>
      </c>
      <c r="N293" s="15">
        <v>41</v>
      </c>
      <c r="O293" s="15">
        <v>3</v>
      </c>
      <c r="P293" s="15">
        <v>2</v>
      </c>
      <c r="Q293" s="15" t="s">
        <v>25</v>
      </c>
      <c r="R293" s="15">
        <v>3</v>
      </c>
      <c r="S293" s="15" t="s">
        <v>28</v>
      </c>
      <c r="T293" s="15">
        <v>5238</v>
      </c>
      <c r="U293" s="15">
        <v>17778</v>
      </c>
      <c r="V293" s="15">
        <v>4</v>
      </c>
      <c r="W293" s="15" t="s">
        <v>29</v>
      </c>
      <c r="X293" s="15" t="s">
        <v>10</v>
      </c>
      <c r="Y293" s="15">
        <v>18</v>
      </c>
      <c r="Z293" s="15">
        <v>3</v>
      </c>
      <c r="AA293" s="15">
        <v>1</v>
      </c>
      <c r="AB293" s="15">
        <v>80</v>
      </c>
      <c r="AC293" s="15">
        <v>0</v>
      </c>
      <c r="AD293" s="15">
        <v>12</v>
      </c>
      <c r="AE293" s="15">
        <v>3</v>
      </c>
      <c r="AF293" s="15">
        <v>2</v>
      </c>
      <c r="AG293" s="15">
        <v>1</v>
      </c>
      <c r="AH293" s="15">
        <v>0</v>
      </c>
      <c r="AI293" s="15">
        <v>0</v>
      </c>
      <c r="AJ293" s="15">
        <v>0</v>
      </c>
    </row>
    <row r="294" spans="1:36" x14ac:dyDescent="0.25">
      <c r="A294">
        <v>709</v>
      </c>
      <c r="B294">
        <v>38</v>
      </c>
      <c r="C294" t="s">
        <v>9</v>
      </c>
      <c r="D294" t="s">
        <v>15</v>
      </c>
      <c r="E294">
        <v>1153</v>
      </c>
      <c r="F294" t="s">
        <v>119</v>
      </c>
      <c r="G294">
        <v>6</v>
      </c>
      <c r="H294">
        <v>2</v>
      </c>
      <c r="I294" t="s">
        <v>19</v>
      </c>
      <c r="J294">
        <v>1</v>
      </c>
      <c r="K294">
        <v>1782</v>
      </c>
      <c r="L294">
        <v>4</v>
      </c>
      <c r="M294" t="s">
        <v>24</v>
      </c>
      <c r="N294">
        <v>40</v>
      </c>
      <c r="O294">
        <v>2</v>
      </c>
      <c r="P294">
        <v>1</v>
      </c>
      <c r="Q294" t="s">
        <v>36</v>
      </c>
      <c r="R294">
        <v>3</v>
      </c>
      <c r="S294" t="s">
        <v>28</v>
      </c>
      <c r="T294">
        <v>3702</v>
      </c>
      <c r="U294">
        <v>16376</v>
      </c>
      <c r="V294">
        <v>1</v>
      </c>
      <c r="W294" t="s">
        <v>29</v>
      </c>
      <c r="X294" t="s">
        <v>9</v>
      </c>
      <c r="Y294">
        <v>11</v>
      </c>
      <c r="Z294">
        <v>3</v>
      </c>
      <c r="AA294">
        <v>2</v>
      </c>
      <c r="AB294">
        <v>80</v>
      </c>
      <c r="AC294">
        <v>1</v>
      </c>
      <c r="AD294">
        <v>5</v>
      </c>
      <c r="AE294">
        <v>3</v>
      </c>
      <c r="AF294">
        <v>3</v>
      </c>
      <c r="AG294">
        <v>5</v>
      </c>
      <c r="AH294">
        <v>4</v>
      </c>
      <c r="AI294">
        <v>0</v>
      </c>
      <c r="AJ294">
        <v>4</v>
      </c>
    </row>
    <row r="295" spans="1:36" x14ac:dyDescent="0.25">
      <c r="A295">
        <v>678</v>
      </c>
      <c r="B295">
        <v>40</v>
      </c>
      <c r="C295" t="s">
        <v>9</v>
      </c>
      <c r="D295" t="s">
        <v>11</v>
      </c>
      <c r="E295">
        <v>692</v>
      </c>
      <c r="F295" t="s">
        <v>119</v>
      </c>
      <c r="G295">
        <v>11</v>
      </c>
      <c r="H295">
        <v>3</v>
      </c>
      <c r="I295" t="s">
        <v>22</v>
      </c>
      <c r="J295">
        <v>1</v>
      </c>
      <c r="K295">
        <v>1985</v>
      </c>
      <c r="L295">
        <v>4</v>
      </c>
      <c r="M295" t="s">
        <v>24</v>
      </c>
      <c r="N295">
        <v>73</v>
      </c>
      <c r="O295">
        <v>3</v>
      </c>
      <c r="P295">
        <v>2</v>
      </c>
      <c r="Q295" t="s">
        <v>36</v>
      </c>
      <c r="R295">
        <v>3</v>
      </c>
      <c r="S295" t="s">
        <v>28</v>
      </c>
      <c r="T295">
        <v>6323</v>
      </c>
      <c r="U295">
        <v>26849</v>
      </c>
      <c r="V295">
        <v>1</v>
      </c>
      <c r="W295" t="s">
        <v>29</v>
      </c>
      <c r="X295" t="s">
        <v>9</v>
      </c>
      <c r="Y295">
        <v>11</v>
      </c>
      <c r="Z295">
        <v>3</v>
      </c>
      <c r="AA295">
        <v>1</v>
      </c>
      <c r="AB295">
        <v>80</v>
      </c>
      <c r="AC295">
        <v>1</v>
      </c>
      <c r="AD295">
        <v>10</v>
      </c>
      <c r="AE295">
        <v>2</v>
      </c>
      <c r="AF295">
        <v>4</v>
      </c>
      <c r="AG295">
        <v>10</v>
      </c>
      <c r="AH295">
        <v>9</v>
      </c>
      <c r="AI295">
        <v>9</v>
      </c>
      <c r="AJ295">
        <v>4</v>
      </c>
    </row>
    <row r="296" spans="1:36" x14ac:dyDescent="0.25">
      <c r="A296">
        <v>455</v>
      </c>
      <c r="B296">
        <v>48</v>
      </c>
      <c r="C296" t="s">
        <v>9</v>
      </c>
      <c r="D296" t="s">
        <v>15</v>
      </c>
      <c r="E296">
        <v>1236</v>
      </c>
      <c r="F296" t="s">
        <v>119</v>
      </c>
      <c r="G296">
        <v>1</v>
      </c>
      <c r="H296">
        <v>4</v>
      </c>
      <c r="I296" t="s">
        <v>21</v>
      </c>
      <c r="J296">
        <v>1</v>
      </c>
      <c r="K296">
        <v>664</v>
      </c>
      <c r="L296">
        <v>4</v>
      </c>
      <c r="M296" t="s">
        <v>24</v>
      </c>
      <c r="N296">
        <v>40</v>
      </c>
      <c r="O296">
        <v>2</v>
      </c>
      <c r="P296">
        <v>4</v>
      </c>
      <c r="Q296" t="s">
        <v>35</v>
      </c>
      <c r="R296">
        <v>1</v>
      </c>
      <c r="S296" t="s">
        <v>28</v>
      </c>
      <c r="T296">
        <v>15402</v>
      </c>
      <c r="U296">
        <v>17997</v>
      </c>
      <c r="V296">
        <v>7</v>
      </c>
      <c r="W296" t="s">
        <v>29</v>
      </c>
      <c r="X296" t="s">
        <v>9</v>
      </c>
      <c r="Y296">
        <v>11</v>
      </c>
      <c r="Z296">
        <v>3</v>
      </c>
      <c r="AA296">
        <v>1</v>
      </c>
      <c r="AB296">
        <v>80</v>
      </c>
      <c r="AC296">
        <v>1</v>
      </c>
      <c r="AD296">
        <v>21</v>
      </c>
      <c r="AE296">
        <v>3</v>
      </c>
      <c r="AF296">
        <v>1</v>
      </c>
      <c r="AG296">
        <v>3</v>
      </c>
      <c r="AH296">
        <v>2</v>
      </c>
      <c r="AI296">
        <v>0</v>
      </c>
      <c r="AJ296">
        <v>2</v>
      </c>
    </row>
    <row r="297" spans="1:36" x14ac:dyDescent="0.25">
      <c r="A297">
        <v>814</v>
      </c>
      <c r="B297">
        <v>47</v>
      </c>
      <c r="C297" t="s">
        <v>9</v>
      </c>
      <c r="D297" t="s">
        <v>15</v>
      </c>
      <c r="E297">
        <v>1176</v>
      </c>
      <c r="F297" t="s">
        <v>20</v>
      </c>
      <c r="G297">
        <v>26</v>
      </c>
      <c r="H297">
        <v>4</v>
      </c>
      <c r="I297" t="s">
        <v>21</v>
      </c>
      <c r="J297">
        <v>1</v>
      </c>
      <c r="K297">
        <v>1625</v>
      </c>
      <c r="L297">
        <v>4</v>
      </c>
      <c r="M297" t="s">
        <v>24</v>
      </c>
      <c r="N297">
        <v>98</v>
      </c>
      <c r="O297">
        <v>3</v>
      </c>
      <c r="P297">
        <v>5</v>
      </c>
      <c r="Q297" t="s">
        <v>35</v>
      </c>
      <c r="R297">
        <v>3</v>
      </c>
      <c r="S297" t="s">
        <v>28</v>
      </c>
      <c r="T297">
        <v>19658</v>
      </c>
      <c r="U297">
        <v>5220</v>
      </c>
      <c r="V297">
        <v>3</v>
      </c>
      <c r="W297" t="s">
        <v>29</v>
      </c>
      <c r="X297" t="s">
        <v>9</v>
      </c>
      <c r="Y297">
        <v>11</v>
      </c>
      <c r="Z297">
        <v>3</v>
      </c>
      <c r="AA297">
        <v>3</v>
      </c>
      <c r="AB297">
        <v>80</v>
      </c>
      <c r="AC297">
        <v>1</v>
      </c>
      <c r="AD297">
        <v>27</v>
      </c>
      <c r="AE297">
        <v>2</v>
      </c>
      <c r="AF297">
        <v>3</v>
      </c>
      <c r="AG297">
        <v>5</v>
      </c>
      <c r="AH297">
        <v>2</v>
      </c>
      <c r="AI297">
        <v>1</v>
      </c>
      <c r="AJ297">
        <v>0</v>
      </c>
    </row>
    <row r="298" spans="1:36" x14ac:dyDescent="0.25">
      <c r="A298">
        <v>676</v>
      </c>
      <c r="B298">
        <v>46</v>
      </c>
      <c r="C298" t="s">
        <v>9</v>
      </c>
      <c r="D298" t="s">
        <v>15</v>
      </c>
      <c r="E298">
        <v>168</v>
      </c>
      <c r="F298" t="s">
        <v>118</v>
      </c>
      <c r="G298">
        <v>4</v>
      </c>
      <c r="H298">
        <v>2</v>
      </c>
      <c r="I298" t="s">
        <v>18</v>
      </c>
      <c r="J298">
        <v>1</v>
      </c>
      <c r="K298">
        <v>1280</v>
      </c>
      <c r="L298">
        <v>4</v>
      </c>
      <c r="M298" t="s">
        <v>24</v>
      </c>
      <c r="N298">
        <v>33</v>
      </c>
      <c r="O298">
        <v>2</v>
      </c>
      <c r="P298">
        <v>5</v>
      </c>
      <c r="Q298" t="s">
        <v>35</v>
      </c>
      <c r="R298">
        <v>2</v>
      </c>
      <c r="S298" t="s">
        <v>28</v>
      </c>
      <c r="T298">
        <v>18789</v>
      </c>
      <c r="U298">
        <v>9946</v>
      </c>
      <c r="V298">
        <v>2</v>
      </c>
      <c r="W298" t="s">
        <v>29</v>
      </c>
      <c r="X298" t="s">
        <v>9</v>
      </c>
      <c r="Y298">
        <v>14</v>
      </c>
      <c r="Z298">
        <v>3</v>
      </c>
      <c r="AA298">
        <v>3</v>
      </c>
      <c r="AB298">
        <v>80</v>
      </c>
      <c r="AC298">
        <v>1</v>
      </c>
      <c r="AD298">
        <v>26</v>
      </c>
      <c r="AE298">
        <v>2</v>
      </c>
      <c r="AF298">
        <v>3</v>
      </c>
      <c r="AG298">
        <v>11</v>
      </c>
      <c r="AH298">
        <v>4</v>
      </c>
      <c r="AI298">
        <v>0</v>
      </c>
      <c r="AJ298">
        <v>8</v>
      </c>
    </row>
    <row r="299" spans="1:36" x14ac:dyDescent="0.25">
      <c r="A299">
        <v>365</v>
      </c>
      <c r="B299">
        <v>55</v>
      </c>
      <c r="C299" t="s">
        <v>9</v>
      </c>
      <c r="D299" t="s">
        <v>15</v>
      </c>
      <c r="E299">
        <v>282</v>
      </c>
      <c r="F299" t="s">
        <v>119</v>
      </c>
      <c r="G299">
        <v>2</v>
      </c>
      <c r="H299">
        <v>2</v>
      </c>
      <c r="I299" t="s">
        <v>17</v>
      </c>
      <c r="J299">
        <v>1</v>
      </c>
      <c r="K299">
        <v>1336</v>
      </c>
      <c r="L299">
        <v>4</v>
      </c>
      <c r="M299" t="s">
        <v>24</v>
      </c>
      <c r="N299">
        <v>58</v>
      </c>
      <c r="O299">
        <v>1</v>
      </c>
      <c r="P299">
        <v>5</v>
      </c>
      <c r="Q299" t="s">
        <v>35</v>
      </c>
      <c r="R299">
        <v>3</v>
      </c>
      <c r="S299" t="s">
        <v>28</v>
      </c>
      <c r="T299">
        <v>19187</v>
      </c>
      <c r="U299">
        <v>6992</v>
      </c>
      <c r="V299">
        <v>4</v>
      </c>
      <c r="W299" t="s">
        <v>29</v>
      </c>
      <c r="X299" t="s">
        <v>9</v>
      </c>
      <c r="Y299">
        <v>14</v>
      </c>
      <c r="Z299">
        <v>3</v>
      </c>
      <c r="AA299">
        <v>4</v>
      </c>
      <c r="AB299">
        <v>80</v>
      </c>
      <c r="AC299">
        <v>1</v>
      </c>
      <c r="AD299">
        <v>23</v>
      </c>
      <c r="AE299">
        <v>5</v>
      </c>
      <c r="AF299">
        <v>3</v>
      </c>
      <c r="AG299">
        <v>19</v>
      </c>
      <c r="AH299">
        <v>9</v>
      </c>
      <c r="AI299">
        <v>9</v>
      </c>
      <c r="AJ299">
        <v>11</v>
      </c>
    </row>
    <row r="300" spans="1:36" x14ac:dyDescent="0.25">
      <c r="A300">
        <v>214</v>
      </c>
      <c r="B300">
        <v>42</v>
      </c>
      <c r="C300" t="s">
        <v>9</v>
      </c>
      <c r="D300" t="s">
        <v>15</v>
      </c>
      <c r="E300">
        <v>932</v>
      </c>
      <c r="F300" t="s">
        <v>119</v>
      </c>
      <c r="G300">
        <v>1</v>
      </c>
      <c r="H300">
        <v>2</v>
      </c>
      <c r="I300" t="s">
        <v>21</v>
      </c>
      <c r="J300">
        <v>1</v>
      </c>
      <c r="K300">
        <v>827</v>
      </c>
      <c r="L300">
        <v>4</v>
      </c>
      <c r="M300" t="s">
        <v>24</v>
      </c>
      <c r="N300">
        <v>43</v>
      </c>
      <c r="O300">
        <v>2</v>
      </c>
      <c r="P300">
        <v>2</v>
      </c>
      <c r="Q300" t="s">
        <v>31</v>
      </c>
      <c r="R300">
        <v>4</v>
      </c>
      <c r="S300" t="s">
        <v>28</v>
      </c>
      <c r="T300">
        <v>6062</v>
      </c>
      <c r="U300">
        <v>4051</v>
      </c>
      <c r="V300">
        <v>9</v>
      </c>
      <c r="W300" t="s">
        <v>29</v>
      </c>
      <c r="X300" t="s">
        <v>10</v>
      </c>
      <c r="Y300">
        <v>13</v>
      </c>
      <c r="Z300">
        <v>3</v>
      </c>
      <c r="AA300">
        <v>4</v>
      </c>
      <c r="AB300">
        <v>80</v>
      </c>
      <c r="AC300">
        <v>1</v>
      </c>
      <c r="AD300">
        <v>8</v>
      </c>
      <c r="AE300">
        <v>4</v>
      </c>
      <c r="AF300">
        <v>3</v>
      </c>
      <c r="AG300">
        <v>4</v>
      </c>
      <c r="AH300">
        <v>3</v>
      </c>
      <c r="AI300">
        <v>0</v>
      </c>
      <c r="AJ300">
        <v>2</v>
      </c>
    </row>
    <row r="301" spans="1:36" x14ac:dyDescent="0.25">
      <c r="A301">
        <v>325</v>
      </c>
      <c r="B301">
        <v>39</v>
      </c>
      <c r="C301" t="s">
        <v>9</v>
      </c>
      <c r="D301" t="s">
        <v>15</v>
      </c>
      <c r="E301">
        <v>466</v>
      </c>
      <c r="F301" t="s">
        <v>119</v>
      </c>
      <c r="G301">
        <v>1</v>
      </c>
      <c r="H301">
        <v>1</v>
      </c>
      <c r="I301" t="s">
        <v>21</v>
      </c>
      <c r="J301">
        <v>1</v>
      </c>
      <c r="K301">
        <v>1026</v>
      </c>
      <c r="L301">
        <v>4</v>
      </c>
      <c r="M301" t="s">
        <v>24</v>
      </c>
      <c r="N301">
        <v>65</v>
      </c>
      <c r="O301">
        <v>2</v>
      </c>
      <c r="P301">
        <v>4</v>
      </c>
      <c r="Q301" t="s">
        <v>31</v>
      </c>
      <c r="R301">
        <v>4</v>
      </c>
      <c r="S301" t="s">
        <v>28</v>
      </c>
      <c r="T301">
        <v>12742</v>
      </c>
      <c r="U301">
        <v>7060</v>
      </c>
      <c r="V301">
        <v>1</v>
      </c>
      <c r="W301" t="s">
        <v>29</v>
      </c>
      <c r="X301" t="s">
        <v>9</v>
      </c>
      <c r="Y301">
        <v>16</v>
      </c>
      <c r="Z301">
        <v>3</v>
      </c>
      <c r="AA301">
        <v>3</v>
      </c>
      <c r="AB301">
        <v>80</v>
      </c>
      <c r="AC301">
        <v>1</v>
      </c>
      <c r="AD301">
        <v>21</v>
      </c>
      <c r="AE301">
        <v>3</v>
      </c>
      <c r="AF301">
        <v>3</v>
      </c>
      <c r="AG301">
        <v>21</v>
      </c>
      <c r="AH301">
        <v>6</v>
      </c>
      <c r="AI301">
        <v>11</v>
      </c>
      <c r="AJ301">
        <v>8</v>
      </c>
    </row>
    <row r="302" spans="1:36" x14ac:dyDescent="0.25">
      <c r="A302">
        <v>419</v>
      </c>
      <c r="B302">
        <v>37</v>
      </c>
      <c r="C302" t="s">
        <v>9</v>
      </c>
      <c r="D302" t="s">
        <v>15</v>
      </c>
      <c r="E302">
        <v>977</v>
      </c>
      <c r="F302" t="s">
        <v>119</v>
      </c>
      <c r="G302">
        <v>1</v>
      </c>
      <c r="H302">
        <v>3</v>
      </c>
      <c r="I302" t="s">
        <v>21</v>
      </c>
      <c r="J302">
        <v>1</v>
      </c>
      <c r="K302">
        <v>1196</v>
      </c>
      <c r="L302">
        <v>4</v>
      </c>
      <c r="M302" t="s">
        <v>24</v>
      </c>
      <c r="N302">
        <v>56</v>
      </c>
      <c r="O302">
        <v>2</v>
      </c>
      <c r="P302">
        <v>2</v>
      </c>
      <c r="Q302" t="s">
        <v>31</v>
      </c>
      <c r="R302">
        <v>4</v>
      </c>
      <c r="S302" t="s">
        <v>28</v>
      </c>
      <c r="T302">
        <v>6474</v>
      </c>
      <c r="U302">
        <v>9961</v>
      </c>
      <c r="V302">
        <v>1</v>
      </c>
      <c r="W302" t="s">
        <v>29</v>
      </c>
      <c r="X302" t="s">
        <v>9</v>
      </c>
      <c r="Y302">
        <v>13</v>
      </c>
      <c r="Z302">
        <v>3</v>
      </c>
      <c r="AA302">
        <v>2</v>
      </c>
      <c r="AB302">
        <v>80</v>
      </c>
      <c r="AC302">
        <v>1</v>
      </c>
      <c r="AD302">
        <v>14</v>
      </c>
      <c r="AE302">
        <v>2</v>
      </c>
      <c r="AF302">
        <v>2</v>
      </c>
      <c r="AG302">
        <v>14</v>
      </c>
      <c r="AH302">
        <v>8</v>
      </c>
      <c r="AI302">
        <v>3</v>
      </c>
      <c r="AJ302">
        <v>11</v>
      </c>
    </row>
    <row r="303" spans="1:36" x14ac:dyDescent="0.25">
      <c r="A303">
        <v>793</v>
      </c>
      <c r="B303">
        <v>38</v>
      </c>
      <c r="C303" t="s">
        <v>9</v>
      </c>
      <c r="D303" t="s">
        <v>15</v>
      </c>
      <c r="E303">
        <v>397</v>
      </c>
      <c r="F303" t="s">
        <v>119</v>
      </c>
      <c r="G303">
        <v>2</v>
      </c>
      <c r="H303">
        <v>2</v>
      </c>
      <c r="I303" t="s">
        <v>17</v>
      </c>
      <c r="J303">
        <v>1</v>
      </c>
      <c r="K303">
        <v>1638</v>
      </c>
      <c r="L303">
        <v>4</v>
      </c>
      <c r="M303" t="s">
        <v>24</v>
      </c>
      <c r="N303">
        <v>54</v>
      </c>
      <c r="O303">
        <v>2</v>
      </c>
      <c r="P303">
        <v>3</v>
      </c>
      <c r="Q303" t="s">
        <v>31</v>
      </c>
      <c r="R303">
        <v>3</v>
      </c>
      <c r="S303" t="s">
        <v>28</v>
      </c>
      <c r="T303">
        <v>7756</v>
      </c>
      <c r="U303">
        <v>14199</v>
      </c>
      <c r="V303">
        <v>3</v>
      </c>
      <c r="W303" t="s">
        <v>29</v>
      </c>
      <c r="X303" t="s">
        <v>10</v>
      </c>
      <c r="Y303">
        <v>19</v>
      </c>
      <c r="Z303">
        <v>3</v>
      </c>
      <c r="AA303">
        <v>4</v>
      </c>
      <c r="AB303">
        <v>80</v>
      </c>
      <c r="AC303">
        <v>1</v>
      </c>
      <c r="AD303">
        <v>10</v>
      </c>
      <c r="AE303">
        <v>6</v>
      </c>
      <c r="AF303">
        <v>4</v>
      </c>
      <c r="AG303">
        <v>5</v>
      </c>
      <c r="AH303">
        <v>4</v>
      </c>
      <c r="AI303">
        <v>0</v>
      </c>
      <c r="AJ303">
        <v>2</v>
      </c>
    </row>
    <row r="304" spans="1:36" x14ac:dyDescent="0.25">
      <c r="A304">
        <v>855</v>
      </c>
      <c r="B304">
        <v>35</v>
      </c>
      <c r="C304" t="s">
        <v>9</v>
      </c>
      <c r="D304" t="s">
        <v>15</v>
      </c>
      <c r="E304">
        <v>219</v>
      </c>
      <c r="F304" t="s">
        <v>119</v>
      </c>
      <c r="G304">
        <v>16</v>
      </c>
      <c r="H304">
        <v>2</v>
      </c>
      <c r="I304" t="s">
        <v>19</v>
      </c>
      <c r="J304">
        <v>1</v>
      </c>
      <c r="K304">
        <v>1886</v>
      </c>
      <c r="L304">
        <v>4</v>
      </c>
      <c r="M304" t="s">
        <v>24</v>
      </c>
      <c r="N304">
        <v>44</v>
      </c>
      <c r="O304">
        <v>2</v>
      </c>
      <c r="P304">
        <v>2</v>
      </c>
      <c r="Q304" t="s">
        <v>31</v>
      </c>
      <c r="R304">
        <v>2</v>
      </c>
      <c r="S304" t="s">
        <v>28</v>
      </c>
      <c r="T304">
        <v>4788</v>
      </c>
      <c r="U304">
        <v>25388</v>
      </c>
      <c r="V304">
        <v>0</v>
      </c>
      <c r="W304" t="s">
        <v>29</v>
      </c>
      <c r="X304" t="s">
        <v>10</v>
      </c>
      <c r="Y304">
        <v>11</v>
      </c>
      <c r="Z304">
        <v>3</v>
      </c>
      <c r="AA304">
        <v>4</v>
      </c>
      <c r="AB304">
        <v>80</v>
      </c>
      <c r="AC304">
        <v>0</v>
      </c>
      <c r="AD304">
        <v>4</v>
      </c>
      <c r="AE304">
        <v>2</v>
      </c>
      <c r="AF304">
        <v>3</v>
      </c>
      <c r="AG304">
        <v>3</v>
      </c>
      <c r="AH304">
        <v>2</v>
      </c>
      <c r="AI304">
        <v>0</v>
      </c>
      <c r="AJ304">
        <v>2</v>
      </c>
    </row>
    <row r="305" spans="1:36" x14ac:dyDescent="0.25">
      <c r="A305">
        <v>492</v>
      </c>
      <c r="B305">
        <v>50</v>
      </c>
      <c r="C305" t="s">
        <v>9</v>
      </c>
      <c r="D305" t="s">
        <v>15</v>
      </c>
      <c r="E305">
        <v>1322</v>
      </c>
      <c r="F305" t="s">
        <v>119</v>
      </c>
      <c r="G305">
        <v>28</v>
      </c>
      <c r="H305">
        <v>3</v>
      </c>
      <c r="I305" t="s">
        <v>21</v>
      </c>
      <c r="J305">
        <v>1</v>
      </c>
      <c r="K305">
        <v>1317</v>
      </c>
      <c r="L305">
        <v>4</v>
      </c>
      <c r="M305" t="s">
        <v>24</v>
      </c>
      <c r="N305">
        <v>43</v>
      </c>
      <c r="O305">
        <v>3</v>
      </c>
      <c r="P305">
        <v>4</v>
      </c>
      <c r="Q305" t="s">
        <v>30</v>
      </c>
      <c r="R305">
        <v>1</v>
      </c>
      <c r="S305" t="s">
        <v>28</v>
      </c>
      <c r="T305">
        <v>16880</v>
      </c>
      <c r="U305">
        <v>22422</v>
      </c>
      <c r="V305">
        <v>4</v>
      </c>
      <c r="W305" t="s">
        <v>29</v>
      </c>
      <c r="X305" t="s">
        <v>10</v>
      </c>
      <c r="Y305">
        <v>11</v>
      </c>
      <c r="Z305">
        <v>3</v>
      </c>
      <c r="AA305">
        <v>2</v>
      </c>
      <c r="AB305">
        <v>80</v>
      </c>
      <c r="AC305">
        <v>0</v>
      </c>
      <c r="AD305">
        <v>25</v>
      </c>
      <c r="AE305">
        <v>2</v>
      </c>
      <c r="AF305">
        <v>3</v>
      </c>
      <c r="AG305">
        <v>3</v>
      </c>
      <c r="AH305">
        <v>2</v>
      </c>
      <c r="AI305">
        <v>1</v>
      </c>
      <c r="AJ305">
        <v>2</v>
      </c>
    </row>
    <row r="306" spans="1:36" x14ac:dyDescent="0.25">
      <c r="A306">
        <v>52</v>
      </c>
      <c r="B306">
        <v>58</v>
      </c>
      <c r="C306" t="s">
        <v>9</v>
      </c>
      <c r="D306" t="s">
        <v>15</v>
      </c>
      <c r="E306">
        <v>1055</v>
      </c>
      <c r="F306" t="s">
        <v>119</v>
      </c>
      <c r="G306">
        <v>1</v>
      </c>
      <c r="H306">
        <v>3</v>
      </c>
      <c r="I306" t="s">
        <v>17</v>
      </c>
      <c r="J306">
        <v>1</v>
      </c>
      <c r="K306">
        <v>1423</v>
      </c>
      <c r="L306">
        <v>4</v>
      </c>
      <c r="M306" t="s">
        <v>24</v>
      </c>
      <c r="N306">
        <v>76</v>
      </c>
      <c r="O306">
        <v>3</v>
      </c>
      <c r="P306">
        <v>5</v>
      </c>
      <c r="Q306" t="s">
        <v>30</v>
      </c>
      <c r="R306">
        <v>1</v>
      </c>
      <c r="S306" t="s">
        <v>28</v>
      </c>
      <c r="T306">
        <v>19701</v>
      </c>
      <c r="U306">
        <v>22456</v>
      </c>
      <c r="V306">
        <v>3</v>
      </c>
      <c r="W306" t="s">
        <v>29</v>
      </c>
      <c r="X306" t="s">
        <v>10</v>
      </c>
      <c r="Y306">
        <v>21</v>
      </c>
      <c r="Z306">
        <v>4</v>
      </c>
      <c r="AA306">
        <v>3</v>
      </c>
      <c r="AB306">
        <v>80</v>
      </c>
      <c r="AC306">
        <v>1</v>
      </c>
      <c r="AD306">
        <v>32</v>
      </c>
      <c r="AE306">
        <v>3</v>
      </c>
      <c r="AF306">
        <v>3</v>
      </c>
      <c r="AG306">
        <v>9</v>
      </c>
      <c r="AH306">
        <v>8</v>
      </c>
      <c r="AI306">
        <v>1</v>
      </c>
      <c r="AJ306">
        <v>5</v>
      </c>
    </row>
    <row r="307" spans="1:36" x14ac:dyDescent="0.25">
      <c r="A307">
        <v>386</v>
      </c>
      <c r="B307">
        <v>38</v>
      </c>
      <c r="C307" t="s">
        <v>9</v>
      </c>
      <c r="D307" t="s">
        <v>15</v>
      </c>
      <c r="E307">
        <v>1333</v>
      </c>
      <c r="F307" t="s">
        <v>119</v>
      </c>
      <c r="G307">
        <v>1</v>
      </c>
      <c r="H307">
        <v>3</v>
      </c>
      <c r="I307" t="s">
        <v>22</v>
      </c>
      <c r="J307">
        <v>1</v>
      </c>
      <c r="K307">
        <v>950</v>
      </c>
      <c r="L307">
        <v>4</v>
      </c>
      <c r="M307" t="s">
        <v>24</v>
      </c>
      <c r="N307">
        <v>80</v>
      </c>
      <c r="O307">
        <v>3</v>
      </c>
      <c r="P307">
        <v>3</v>
      </c>
      <c r="Q307" t="s">
        <v>30</v>
      </c>
      <c r="R307">
        <v>1</v>
      </c>
      <c r="S307" t="s">
        <v>28</v>
      </c>
      <c r="T307">
        <v>13582</v>
      </c>
      <c r="U307">
        <v>16292</v>
      </c>
      <c r="V307">
        <v>1</v>
      </c>
      <c r="W307" t="s">
        <v>29</v>
      </c>
      <c r="X307" t="s">
        <v>9</v>
      </c>
      <c r="Y307">
        <v>13</v>
      </c>
      <c r="Z307">
        <v>3</v>
      </c>
      <c r="AA307">
        <v>2</v>
      </c>
      <c r="AB307">
        <v>80</v>
      </c>
      <c r="AC307">
        <v>1</v>
      </c>
      <c r="AD307">
        <v>15</v>
      </c>
      <c r="AE307">
        <v>3</v>
      </c>
      <c r="AF307">
        <v>3</v>
      </c>
      <c r="AG307">
        <v>15</v>
      </c>
      <c r="AH307">
        <v>12</v>
      </c>
      <c r="AI307">
        <v>5</v>
      </c>
      <c r="AJ307">
        <v>11</v>
      </c>
    </row>
    <row r="308" spans="1:36" x14ac:dyDescent="0.25">
      <c r="A308" s="15">
        <v>704</v>
      </c>
      <c r="B308" s="15">
        <v>26</v>
      </c>
      <c r="C308" s="15" t="s">
        <v>10</v>
      </c>
      <c r="D308" s="15" t="s">
        <v>15</v>
      </c>
      <c r="E308" s="15">
        <v>920</v>
      </c>
      <c r="F308" s="15" t="s">
        <v>20</v>
      </c>
      <c r="G308" s="15">
        <v>20</v>
      </c>
      <c r="H308" s="15">
        <v>2</v>
      </c>
      <c r="I308" s="15" t="s">
        <v>17</v>
      </c>
      <c r="J308" s="15">
        <v>1</v>
      </c>
      <c r="K308" s="15">
        <v>1818</v>
      </c>
      <c r="L308" s="15">
        <v>4</v>
      </c>
      <c r="M308" s="15" t="s">
        <v>24</v>
      </c>
      <c r="N308" s="15">
        <v>69</v>
      </c>
      <c r="O308" s="15">
        <v>3</v>
      </c>
      <c r="P308" s="15">
        <v>1</v>
      </c>
      <c r="Q308" s="15" t="s">
        <v>20</v>
      </c>
      <c r="R308" s="15">
        <v>2</v>
      </c>
      <c r="S308" s="15" t="s">
        <v>28</v>
      </c>
      <c r="T308" s="15">
        <v>2148</v>
      </c>
      <c r="U308" s="15">
        <v>6889</v>
      </c>
      <c r="V308" s="15">
        <v>0</v>
      </c>
      <c r="W308" s="15" t="s">
        <v>29</v>
      </c>
      <c r="X308" s="15" t="s">
        <v>10</v>
      </c>
      <c r="Y308" s="15">
        <v>11</v>
      </c>
      <c r="Z308" s="15">
        <v>3</v>
      </c>
      <c r="AA308" s="15">
        <v>3</v>
      </c>
      <c r="AB308" s="15">
        <v>80</v>
      </c>
      <c r="AC308" s="15">
        <v>0</v>
      </c>
      <c r="AD308" s="15">
        <v>6</v>
      </c>
      <c r="AE308" s="15">
        <v>3</v>
      </c>
      <c r="AF308" s="15">
        <v>3</v>
      </c>
      <c r="AG308" s="15">
        <v>5</v>
      </c>
      <c r="AH308" s="15">
        <v>1</v>
      </c>
      <c r="AI308" s="15">
        <v>1</v>
      </c>
      <c r="AJ308" s="15">
        <v>4</v>
      </c>
    </row>
    <row r="309" spans="1:36" x14ac:dyDescent="0.25">
      <c r="A309">
        <v>506</v>
      </c>
      <c r="B309">
        <v>32</v>
      </c>
      <c r="C309" t="s">
        <v>9</v>
      </c>
      <c r="D309" t="s">
        <v>15</v>
      </c>
      <c r="E309">
        <v>824</v>
      </c>
      <c r="F309" t="s">
        <v>119</v>
      </c>
      <c r="G309">
        <v>5</v>
      </c>
      <c r="H309">
        <v>2</v>
      </c>
      <c r="I309" t="s">
        <v>21</v>
      </c>
      <c r="J309">
        <v>1</v>
      </c>
      <c r="K309">
        <v>1555</v>
      </c>
      <c r="L309">
        <v>4</v>
      </c>
      <c r="M309" t="s">
        <v>24</v>
      </c>
      <c r="N309">
        <v>67</v>
      </c>
      <c r="O309">
        <v>2</v>
      </c>
      <c r="P309">
        <v>2</v>
      </c>
      <c r="Q309" t="s">
        <v>32</v>
      </c>
      <c r="R309">
        <v>2</v>
      </c>
      <c r="S309" t="s">
        <v>28</v>
      </c>
      <c r="T309">
        <v>5878</v>
      </c>
      <c r="U309">
        <v>15624</v>
      </c>
      <c r="V309">
        <v>3</v>
      </c>
      <c r="W309" t="s">
        <v>29</v>
      </c>
      <c r="X309" t="s">
        <v>9</v>
      </c>
      <c r="Y309">
        <v>12</v>
      </c>
      <c r="Z309">
        <v>3</v>
      </c>
      <c r="AA309">
        <v>1</v>
      </c>
      <c r="AB309">
        <v>80</v>
      </c>
      <c r="AC309">
        <v>1</v>
      </c>
      <c r="AD309">
        <v>12</v>
      </c>
      <c r="AE309">
        <v>2</v>
      </c>
      <c r="AF309">
        <v>3</v>
      </c>
      <c r="AG309">
        <v>7</v>
      </c>
      <c r="AH309">
        <v>1</v>
      </c>
      <c r="AI309">
        <v>2</v>
      </c>
      <c r="AJ309">
        <v>5</v>
      </c>
    </row>
    <row r="310" spans="1:36" x14ac:dyDescent="0.25">
      <c r="A310">
        <v>147</v>
      </c>
      <c r="B310">
        <v>33</v>
      </c>
      <c r="C310" t="s">
        <v>9</v>
      </c>
      <c r="D310" t="s">
        <v>15</v>
      </c>
      <c r="E310">
        <v>931</v>
      </c>
      <c r="F310" t="s">
        <v>119</v>
      </c>
      <c r="G310">
        <v>14</v>
      </c>
      <c r="H310">
        <v>3</v>
      </c>
      <c r="I310" t="s">
        <v>17</v>
      </c>
      <c r="J310">
        <v>1</v>
      </c>
      <c r="K310">
        <v>252</v>
      </c>
      <c r="L310">
        <v>4</v>
      </c>
      <c r="M310" t="s">
        <v>24</v>
      </c>
      <c r="N310">
        <v>72</v>
      </c>
      <c r="O310">
        <v>3</v>
      </c>
      <c r="P310">
        <v>1</v>
      </c>
      <c r="Q310" t="s">
        <v>32</v>
      </c>
      <c r="R310">
        <v>2</v>
      </c>
      <c r="S310" t="s">
        <v>28</v>
      </c>
      <c r="T310">
        <v>2756</v>
      </c>
      <c r="U310">
        <v>4673</v>
      </c>
      <c r="V310">
        <v>1</v>
      </c>
      <c r="W310" t="s">
        <v>29</v>
      </c>
      <c r="X310" t="s">
        <v>9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8</v>
      </c>
      <c r="AE310">
        <v>5</v>
      </c>
      <c r="AF310">
        <v>3</v>
      </c>
      <c r="AG310">
        <v>8</v>
      </c>
      <c r="AH310">
        <v>7</v>
      </c>
      <c r="AI310">
        <v>1</v>
      </c>
      <c r="AJ310">
        <v>6</v>
      </c>
    </row>
    <row r="311" spans="1:36" x14ac:dyDescent="0.25">
      <c r="A311">
        <v>191</v>
      </c>
      <c r="B311">
        <v>30</v>
      </c>
      <c r="C311" t="s">
        <v>9</v>
      </c>
      <c r="D311" t="s">
        <v>15</v>
      </c>
      <c r="E311">
        <v>1275</v>
      </c>
      <c r="F311" t="s">
        <v>119</v>
      </c>
      <c r="G311">
        <v>28</v>
      </c>
      <c r="H311">
        <v>2</v>
      </c>
      <c r="I311" t="s">
        <v>17</v>
      </c>
      <c r="J311">
        <v>1</v>
      </c>
      <c r="K311">
        <v>441</v>
      </c>
      <c r="L311">
        <v>4</v>
      </c>
      <c r="M311" t="s">
        <v>24</v>
      </c>
      <c r="N311">
        <v>64</v>
      </c>
      <c r="O311">
        <v>3</v>
      </c>
      <c r="P311">
        <v>2</v>
      </c>
      <c r="Q311" t="s">
        <v>32</v>
      </c>
      <c r="R311">
        <v>4</v>
      </c>
      <c r="S311" t="s">
        <v>28</v>
      </c>
      <c r="T311">
        <v>5775</v>
      </c>
      <c r="U311">
        <v>11934</v>
      </c>
      <c r="V311">
        <v>1</v>
      </c>
      <c r="W311" t="s">
        <v>29</v>
      </c>
      <c r="X311" t="s">
        <v>9</v>
      </c>
      <c r="Y311">
        <v>13</v>
      </c>
      <c r="Z311">
        <v>3</v>
      </c>
      <c r="AA311">
        <v>4</v>
      </c>
      <c r="AB311">
        <v>80</v>
      </c>
      <c r="AC311">
        <v>2</v>
      </c>
      <c r="AD311">
        <v>11</v>
      </c>
      <c r="AE311">
        <v>2</v>
      </c>
      <c r="AF311">
        <v>3</v>
      </c>
      <c r="AG311">
        <v>10</v>
      </c>
      <c r="AH311">
        <v>8</v>
      </c>
      <c r="AI311">
        <v>1</v>
      </c>
      <c r="AJ311">
        <v>9</v>
      </c>
    </row>
    <row r="312" spans="1:36" x14ac:dyDescent="0.25">
      <c r="A312">
        <v>707</v>
      </c>
      <c r="B312">
        <v>54</v>
      </c>
      <c r="C312" t="s">
        <v>9</v>
      </c>
      <c r="D312" t="s">
        <v>15</v>
      </c>
      <c r="E312">
        <v>431</v>
      </c>
      <c r="F312" t="s">
        <v>119</v>
      </c>
      <c r="G312">
        <v>7</v>
      </c>
      <c r="H312">
        <v>4</v>
      </c>
      <c r="I312" t="s">
        <v>17</v>
      </c>
      <c r="J312">
        <v>1</v>
      </c>
      <c r="K312">
        <v>1830</v>
      </c>
      <c r="L312">
        <v>4</v>
      </c>
      <c r="M312" t="s">
        <v>24</v>
      </c>
      <c r="N312">
        <v>68</v>
      </c>
      <c r="O312">
        <v>3</v>
      </c>
      <c r="P312">
        <v>2</v>
      </c>
      <c r="Q312" t="s">
        <v>32</v>
      </c>
      <c r="R312">
        <v>4</v>
      </c>
      <c r="S312" t="s">
        <v>28</v>
      </c>
      <c r="T312">
        <v>6854</v>
      </c>
      <c r="U312">
        <v>15696</v>
      </c>
      <c r="V312">
        <v>4</v>
      </c>
      <c r="W312" t="s">
        <v>29</v>
      </c>
      <c r="X312" t="s">
        <v>9</v>
      </c>
      <c r="Y312">
        <v>15</v>
      </c>
      <c r="Z312">
        <v>3</v>
      </c>
      <c r="AA312">
        <v>2</v>
      </c>
      <c r="AB312">
        <v>80</v>
      </c>
      <c r="AC312">
        <v>1</v>
      </c>
      <c r="AD312">
        <v>14</v>
      </c>
      <c r="AE312">
        <v>2</v>
      </c>
      <c r="AF312">
        <v>2</v>
      </c>
      <c r="AG312">
        <v>7</v>
      </c>
      <c r="AH312">
        <v>1</v>
      </c>
      <c r="AI312">
        <v>1</v>
      </c>
      <c r="AJ312">
        <v>7</v>
      </c>
    </row>
    <row r="313" spans="1:36" x14ac:dyDescent="0.25">
      <c r="A313">
        <v>764</v>
      </c>
      <c r="B313">
        <v>50</v>
      </c>
      <c r="C313" t="s">
        <v>9</v>
      </c>
      <c r="D313" t="s">
        <v>16</v>
      </c>
      <c r="E313">
        <v>145</v>
      </c>
      <c r="F313" t="s">
        <v>118</v>
      </c>
      <c r="G313">
        <v>1</v>
      </c>
      <c r="H313">
        <v>3</v>
      </c>
      <c r="I313" t="s">
        <v>21</v>
      </c>
      <c r="J313">
        <v>1</v>
      </c>
      <c r="K313">
        <v>1040</v>
      </c>
      <c r="L313">
        <v>4</v>
      </c>
      <c r="M313" t="s">
        <v>24</v>
      </c>
      <c r="N313">
        <v>95</v>
      </c>
      <c r="O313">
        <v>3</v>
      </c>
      <c r="P313">
        <v>2</v>
      </c>
      <c r="Q313" t="s">
        <v>25</v>
      </c>
      <c r="R313">
        <v>3</v>
      </c>
      <c r="S313" t="s">
        <v>28</v>
      </c>
      <c r="T313">
        <v>6347</v>
      </c>
      <c r="U313">
        <v>24920</v>
      </c>
      <c r="V313">
        <v>0</v>
      </c>
      <c r="W313" t="s">
        <v>29</v>
      </c>
      <c r="X313" t="s">
        <v>9</v>
      </c>
      <c r="Y313">
        <v>12</v>
      </c>
      <c r="Z313">
        <v>3</v>
      </c>
      <c r="AA313">
        <v>1</v>
      </c>
      <c r="AB313">
        <v>80</v>
      </c>
      <c r="AC313">
        <v>1</v>
      </c>
      <c r="AD313">
        <v>19</v>
      </c>
      <c r="AE313">
        <v>3</v>
      </c>
      <c r="AF313">
        <v>3</v>
      </c>
      <c r="AG313">
        <v>18</v>
      </c>
      <c r="AH313">
        <v>7</v>
      </c>
      <c r="AI313">
        <v>0</v>
      </c>
      <c r="AJ313">
        <v>13</v>
      </c>
    </row>
    <row r="314" spans="1:36" x14ac:dyDescent="0.25">
      <c r="A314">
        <v>16</v>
      </c>
      <c r="B314">
        <v>31</v>
      </c>
      <c r="C314" t="s">
        <v>9</v>
      </c>
      <c r="D314" t="s">
        <v>16</v>
      </c>
      <c r="E314">
        <v>1188</v>
      </c>
      <c r="F314" t="s">
        <v>118</v>
      </c>
      <c r="G314">
        <v>20</v>
      </c>
      <c r="H314">
        <v>2</v>
      </c>
      <c r="I314" t="s">
        <v>18</v>
      </c>
      <c r="J314">
        <v>1</v>
      </c>
      <c r="K314">
        <v>947</v>
      </c>
      <c r="L314">
        <v>4</v>
      </c>
      <c r="M314" t="s">
        <v>24</v>
      </c>
      <c r="N314">
        <v>45</v>
      </c>
      <c r="O314">
        <v>3</v>
      </c>
      <c r="P314">
        <v>2</v>
      </c>
      <c r="Q314" t="s">
        <v>25</v>
      </c>
      <c r="R314">
        <v>3</v>
      </c>
      <c r="S314" t="s">
        <v>28</v>
      </c>
      <c r="T314">
        <v>6932</v>
      </c>
      <c r="U314">
        <v>24406</v>
      </c>
      <c r="V314">
        <v>1</v>
      </c>
      <c r="W314" t="s">
        <v>29</v>
      </c>
      <c r="X314" t="s">
        <v>9</v>
      </c>
      <c r="Y314">
        <v>13</v>
      </c>
      <c r="Z314">
        <v>3</v>
      </c>
      <c r="AA314">
        <v>4</v>
      </c>
      <c r="AB314">
        <v>80</v>
      </c>
      <c r="AC314">
        <v>1</v>
      </c>
      <c r="AD314">
        <v>9</v>
      </c>
      <c r="AE314">
        <v>2</v>
      </c>
      <c r="AF314">
        <v>2</v>
      </c>
      <c r="AG314">
        <v>9</v>
      </c>
      <c r="AH314">
        <v>8</v>
      </c>
      <c r="AI314">
        <v>0</v>
      </c>
      <c r="AJ314">
        <v>0</v>
      </c>
    </row>
    <row r="315" spans="1:36" x14ac:dyDescent="0.25">
      <c r="A315">
        <v>234</v>
      </c>
      <c r="B315">
        <v>54</v>
      </c>
      <c r="C315" t="s">
        <v>9</v>
      </c>
      <c r="D315" t="s">
        <v>15</v>
      </c>
      <c r="E315">
        <v>1147</v>
      </c>
      <c r="F315" t="s">
        <v>118</v>
      </c>
      <c r="G315">
        <v>3</v>
      </c>
      <c r="H315">
        <v>3</v>
      </c>
      <c r="I315" t="s">
        <v>18</v>
      </c>
      <c r="J315">
        <v>1</v>
      </c>
      <c r="K315">
        <v>303</v>
      </c>
      <c r="L315">
        <v>4</v>
      </c>
      <c r="M315" t="s">
        <v>24</v>
      </c>
      <c r="N315">
        <v>52</v>
      </c>
      <c r="O315">
        <v>3</v>
      </c>
      <c r="P315">
        <v>2</v>
      </c>
      <c r="Q315" t="s">
        <v>25</v>
      </c>
      <c r="R315">
        <v>1</v>
      </c>
      <c r="S315" t="s">
        <v>28</v>
      </c>
      <c r="T315">
        <v>5940</v>
      </c>
      <c r="U315">
        <v>17011</v>
      </c>
      <c r="V315">
        <v>2</v>
      </c>
      <c r="W315" t="s">
        <v>29</v>
      </c>
      <c r="X315" t="s">
        <v>9</v>
      </c>
      <c r="Y315">
        <v>14</v>
      </c>
      <c r="Z315">
        <v>3</v>
      </c>
      <c r="AA315">
        <v>4</v>
      </c>
      <c r="AB315">
        <v>80</v>
      </c>
      <c r="AC315">
        <v>1</v>
      </c>
      <c r="AD315">
        <v>16</v>
      </c>
      <c r="AE315">
        <v>4</v>
      </c>
      <c r="AF315">
        <v>3</v>
      </c>
      <c r="AG315">
        <v>6</v>
      </c>
      <c r="AH315">
        <v>2</v>
      </c>
      <c r="AI315">
        <v>0</v>
      </c>
      <c r="AJ315">
        <v>5</v>
      </c>
    </row>
    <row r="316" spans="1:36" x14ac:dyDescent="0.25">
      <c r="A316">
        <v>823</v>
      </c>
      <c r="B316">
        <v>34</v>
      </c>
      <c r="C316" t="s">
        <v>9</v>
      </c>
      <c r="D316" t="s">
        <v>15</v>
      </c>
      <c r="E316">
        <v>704</v>
      </c>
      <c r="F316" t="s">
        <v>118</v>
      </c>
      <c r="G316">
        <v>28</v>
      </c>
      <c r="H316">
        <v>3</v>
      </c>
      <c r="I316" t="s">
        <v>18</v>
      </c>
      <c r="J316">
        <v>1</v>
      </c>
      <c r="K316">
        <v>2035</v>
      </c>
      <c r="L316">
        <v>4</v>
      </c>
      <c r="M316" t="s">
        <v>24</v>
      </c>
      <c r="N316">
        <v>95</v>
      </c>
      <c r="O316">
        <v>2</v>
      </c>
      <c r="P316">
        <v>2</v>
      </c>
      <c r="Q316" t="s">
        <v>25</v>
      </c>
      <c r="R316">
        <v>3</v>
      </c>
      <c r="S316" t="s">
        <v>28</v>
      </c>
      <c r="T316">
        <v>6712</v>
      </c>
      <c r="U316">
        <v>8978</v>
      </c>
      <c r="V316">
        <v>1</v>
      </c>
      <c r="W316" t="s">
        <v>29</v>
      </c>
      <c r="X316" t="s">
        <v>9</v>
      </c>
      <c r="Y316">
        <v>21</v>
      </c>
      <c r="Z316">
        <v>4</v>
      </c>
      <c r="AA316">
        <v>4</v>
      </c>
      <c r="AB316">
        <v>80</v>
      </c>
      <c r="AC316">
        <v>2</v>
      </c>
      <c r="AD316">
        <v>8</v>
      </c>
      <c r="AE316">
        <v>2</v>
      </c>
      <c r="AF316">
        <v>3</v>
      </c>
      <c r="AG316">
        <v>8</v>
      </c>
      <c r="AH316">
        <v>7</v>
      </c>
      <c r="AI316">
        <v>1</v>
      </c>
      <c r="AJ316">
        <v>7</v>
      </c>
    </row>
    <row r="317" spans="1:36" x14ac:dyDescent="0.25">
      <c r="A317">
        <v>627</v>
      </c>
      <c r="B317">
        <v>24</v>
      </c>
      <c r="C317" t="s">
        <v>9</v>
      </c>
      <c r="D317" t="s">
        <v>15</v>
      </c>
      <c r="E317">
        <v>1476</v>
      </c>
      <c r="F317" t="s">
        <v>118</v>
      </c>
      <c r="G317">
        <v>4</v>
      </c>
      <c r="H317">
        <v>1</v>
      </c>
      <c r="I317" t="s">
        <v>17</v>
      </c>
      <c r="J317">
        <v>1</v>
      </c>
      <c r="K317">
        <v>1445</v>
      </c>
      <c r="L317">
        <v>4</v>
      </c>
      <c r="M317" t="s">
        <v>24</v>
      </c>
      <c r="N317">
        <v>42</v>
      </c>
      <c r="O317">
        <v>3</v>
      </c>
      <c r="P317">
        <v>2</v>
      </c>
      <c r="Q317" t="s">
        <v>25</v>
      </c>
      <c r="R317">
        <v>3</v>
      </c>
      <c r="S317" t="s">
        <v>28</v>
      </c>
      <c r="T317">
        <v>4162</v>
      </c>
      <c r="U317">
        <v>15211</v>
      </c>
      <c r="V317">
        <v>1</v>
      </c>
      <c r="W317" t="s">
        <v>29</v>
      </c>
      <c r="X317" t="s">
        <v>10</v>
      </c>
      <c r="Y317">
        <v>12</v>
      </c>
      <c r="Z317">
        <v>3</v>
      </c>
      <c r="AA317">
        <v>3</v>
      </c>
      <c r="AB317">
        <v>80</v>
      </c>
      <c r="AC317">
        <v>2</v>
      </c>
      <c r="AD317">
        <v>5</v>
      </c>
      <c r="AE317">
        <v>3</v>
      </c>
      <c r="AF317">
        <v>3</v>
      </c>
      <c r="AG317">
        <v>5</v>
      </c>
      <c r="AH317">
        <v>4</v>
      </c>
      <c r="AI317">
        <v>0</v>
      </c>
      <c r="AJ317">
        <v>3</v>
      </c>
    </row>
    <row r="318" spans="1:36" x14ac:dyDescent="0.25">
      <c r="A318">
        <v>156</v>
      </c>
      <c r="B318">
        <v>30</v>
      </c>
      <c r="C318" t="s">
        <v>9</v>
      </c>
      <c r="D318" t="s">
        <v>16</v>
      </c>
      <c r="E318">
        <v>641</v>
      </c>
      <c r="F318" t="s">
        <v>118</v>
      </c>
      <c r="G318">
        <v>25</v>
      </c>
      <c r="H318">
        <v>2</v>
      </c>
      <c r="I318" t="s">
        <v>22</v>
      </c>
      <c r="J318">
        <v>1</v>
      </c>
      <c r="K318">
        <v>475</v>
      </c>
      <c r="L318">
        <v>4</v>
      </c>
      <c r="M318" t="s">
        <v>24</v>
      </c>
      <c r="N318">
        <v>85</v>
      </c>
      <c r="O318">
        <v>3</v>
      </c>
      <c r="P318">
        <v>2</v>
      </c>
      <c r="Q318" t="s">
        <v>25</v>
      </c>
      <c r="R318">
        <v>3</v>
      </c>
      <c r="S318" t="s">
        <v>28</v>
      </c>
      <c r="T318">
        <v>4736</v>
      </c>
      <c r="U318">
        <v>6069</v>
      </c>
      <c r="V318">
        <v>7</v>
      </c>
      <c r="W318" t="s">
        <v>29</v>
      </c>
      <c r="X318" t="s">
        <v>10</v>
      </c>
      <c r="Y318">
        <v>12</v>
      </c>
      <c r="Z318">
        <v>3</v>
      </c>
      <c r="AA318">
        <v>2</v>
      </c>
      <c r="AB318">
        <v>80</v>
      </c>
      <c r="AC318">
        <v>1</v>
      </c>
      <c r="AD318">
        <v>4</v>
      </c>
      <c r="AE318">
        <v>2</v>
      </c>
      <c r="AF318">
        <v>4</v>
      </c>
      <c r="AG318">
        <v>2</v>
      </c>
      <c r="AH318">
        <v>2</v>
      </c>
      <c r="AI318">
        <v>2</v>
      </c>
      <c r="AJ318">
        <v>2</v>
      </c>
    </row>
    <row r="319" spans="1:36" x14ac:dyDescent="0.25">
      <c r="A319">
        <v>601</v>
      </c>
      <c r="B319">
        <v>24</v>
      </c>
      <c r="C319" t="s">
        <v>9</v>
      </c>
      <c r="D319" t="s">
        <v>16</v>
      </c>
      <c r="E319">
        <v>830</v>
      </c>
      <c r="F319" t="s">
        <v>118</v>
      </c>
      <c r="G319">
        <v>13</v>
      </c>
      <c r="H319">
        <v>2</v>
      </c>
      <c r="I319" t="s">
        <v>21</v>
      </c>
      <c r="J319">
        <v>1</v>
      </c>
      <c r="K319">
        <v>1495</v>
      </c>
      <c r="L319">
        <v>4</v>
      </c>
      <c r="M319" t="s">
        <v>24</v>
      </c>
      <c r="N319">
        <v>78</v>
      </c>
      <c r="O319">
        <v>3</v>
      </c>
      <c r="P319">
        <v>1</v>
      </c>
      <c r="Q319" t="s">
        <v>33</v>
      </c>
      <c r="R319">
        <v>2</v>
      </c>
      <c r="S319" t="s">
        <v>28</v>
      </c>
      <c r="T319">
        <v>2033</v>
      </c>
      <c r="U319">
        <v>7103</v>
      </c>
      <c r="V319">
        <v>1</v>
      </c>
      <c r="W319" t="s">
        <v>29</v>
      </c>
      <c r="X319" t="s">
        <v>9</v>
      </c>
      <c r="Y319">
        <v>13</v>
      </c>
      <c r="Z319">
        <v>3</v>
      </c>
      <c r="AA319">
        <v>3</v>
      </c>
      <c r="AB319">
        <v>80</v>
      </c>
      <c r="AC319">
        <v>1</v>
      </c>
      <c r="AD319">
        <v>1</v>
      </c>
      <c r="AE319">
        <v>2</v>
      </c>
      <c r="AF319">
        <v>3</v>
      </c>
      <c r="AG319">
        <v>1</v>
      </c>
      <c r="AH319">
        <v>0</v>
      </c>
      <c r="AI319">
        <v>0</v>
      </c>
      <c r="AJ319">
        <v>0</v>
      </c>
    </row>
    <row r="320" spans="1:36" x14ac:dyDescent="0.25">
      <c r="A320" s="15">
        <v>503</v>
      </c>
      <c r="B320" s="15">
        <v>48</v>
      </c>
      <c r="C320" s="15" t="s">
        <v>10</v>
      </c>
      <c r="D320" s="15" t="s">
        <v>11</v>
      </c>
      <c r="E320" s="15">
        <v>708</v>
      </c>
      <c r="F320" s="15" t="s">
        <v>118</v>
      </c>
      <c r="G320" s="15">
        <v>7</v>
      </c>
      <c r="H320" s="15">
        <v>2</v>
      </c>
      <c r="I320" s="15" t="s">
        <v>17</v>
      </c>
      <c r="J320" s="15">
        <v>1</v>
      </c>
      <c r="K320" s="15">
        <v>1691</v>
      </c>
      <c r="L320" s="15">
        <v>4</v>
      </c>
      <c r="M320" s="15" t="s">
        <v>24</v>
      </c>
      <c r="N320" s="15">
        <v>95</v>
      </c>
      <c r="O320" s="15">
        <v>3</v>
      </c>
      <c r="P320" s="15">
        <v>1</v>
      </c>
      <c r="Q320" s="15" t="s">
        <v>33</v>
      </c>
      <c r="R320" s="15">
        <v>3</v>
      </c>
      <c r="S320" s="15" t="s">
        <v>28</v>
      </c>
      <c r="T320" s="15">
        <v>2655</v>
      </c>
      <c r="U320" s="15">
        <v>11740</v>
      </c>
      <c r="V320" s="15">
        <v>2</v>
      </c>
      <c r="W320" s="15" t="s">
        <v>29</v>
      </c>
      <c r="X320" s="15" t="s">
        <v>10</v>
      </c>
      <c r="Y320" s="15">
        <v>11</v>
      </c>
      <c r="Z320" s="15">
        <v>3</v>
      </c>
      <c r="AA320" s="15">
        <v>3</v>
      </c>
      <c r="AB320" s="15">
        <v>80</v>
      </c>
      <c r="AC320" s="15">
        <v>2</v>
      </c>
      <c r="AD320" s="15">
        <v>19</v>
      </c>
      <c r="AE320" s="15">
        <v>3</v>
      </c>
      <c r="AF320" s="15">
        <v>3</v>
      </c>
      <c r="AG320" s="15">
        <v>9</v>
      </c>
      <c r="AH320" s="15">
        <v>7</v>
      </c>
      <c r="AI320" s="15">
        <v>7</v>
      </c>
      <c r="AJ320" s="15">
        <v>7</v>
      </c>
    </row>
    <row r="321" spans="1:36" x14ac:dyDescent="0.25">
      <c r="A321" s="15">
        <v>109</v>
      </c>
      <c r="B321" s="15">
        <v>46</v>
      </c>
      <c r="C321" s="15" t="s">
        <v>10</v>
      </c>
      <c r="D321" s="15" t="s">
        <v>15</v>
      </c>
      <c r="E321" s="15">
        <v>261</v>
      </c>
      <c r="F321" s="15" t="s">
        <v>119</v>
      </c>
      <c r="G321" s="15">
        <v>21</v>
      </c>
      <c r="H321" s="15">
        <v>2</v>
      </c>
      <c r="I321" s="15" t="s">
        <v>17</v>
      </c>
      <c r="J321" s="15">
        <v>1</v>
      </c>
      <c r="K321" s="15">
        <v>1821</v>
      </c>
      <c r="L321" s="15">
        <v>4</v>
      </c>
      <c r="M321" s="15" t="s">
        <v>24</v>
      </c>
      <c r="N321" s="15">
        <v>66</v>
      </c>
      <c r="O321" s="15">
        <v>3</v>
      </c>
      <c r="P321" s="15">
        <v>2</v>
      </c>
      <c r="Q321" s="15" t="s">
        <v>34</v>
      </c>
      <c r="R321" s="15">
        <v>2</v>
      </c>
      <c r="S321" s="15" t="s">
        <v>28</v>
      </c>
      <c r="T321" s="15">
        <v>8926</v>
      </c>
      <c r="U321" s="15">
        <v>10842</v>
      </c>
      <c r="V321" s="15">
        <v>4</v>
      </c>
      <c r="W321" s="15" t="s">
        <v>29</v>
      </c>
      <c r="X321" s="15" t="s">
        <v>9</v>
      </c>
      <c r="Y321" s="15">
        <v>22</v>
      </c>
      <c r="Z321" s="15">
        <v>4</v>
      </c>
      <c r="AA321" s="15">
        <v>4</v>
      </c>
      <c r="AB321" s="15">
        <v>80</v>
      </c>
      <c r="AC321" s="15">
        <v>1</v>
      </c>
      <c r="AD321" s="15">
        <v>13</v>
      </c>
      <c r="AE321" s="15">
        <v>2</v>
      </c>
      <c r="AF321" s="15">
        <v>4</v>
      </c>
      <c r="AG321" s="15">
        <v>9</v>
      </c>
      <c r="AH321" s="15">
        <v>7</v>
      </c>
      <c r="AI321" s="15">
        <v>3</v>
      </c>
      <c r="AJ321" s="15">
        <v>7</v>
      </c>
    </row>
    <row r="322" spans="1:36" x14ac:dyDescent="0.25">
      <c r="A322">
        <v>232</v>
      </c>
      <c r="B322">
        <v>35</v>
      </c>
      <c r="C322" t="s">
        <v>9</v>
      </c>
      <c r="D322" t="s">
        <v>15</v>
      </c>
      <c r="E322">
        <v>890</v>
      </c>
      <c r="F322" t="s">
        <v>118</v>
      </c>
      <c r="G322">
        <v>2</v>
      </c>
      <c r="H322">
        <v>3</v>
      </c>
      <c r="I322" t="s">
        <v>18</v>
      </c>
      <c r="J322">
        <v>1</v>
      </c>
      <c r="K322">
        <v>49</v>
      </c>
      <c r="L322">
        <v>4</v>
      </c>
      <c r="M322" t="s">
        <v>24</v>
      </c>
      <c r="N322">
        <v>97</v>
      </c>
      <c r="O322">
        <v>3</v>
      </c>
      <c r="P322">
        <v>1</v>
      </c>
      <c r="Q322" t="s">
        <v>33</v>
      </c>
      <c r="R322">
        <v>4</v>
      </c>
      <c r="S322" t="s">
        <v>28</v>
      </c>
      <c r="T322">
        <v>2014</v>
      </c>
      <c r="U322">
        <v>9687</v>
      </c>
      <c r="V322">
        <v>1</v>
      </c>
      <c r="W322" t="s">
        <v>29</v>
      </c>
      <c r="X322" t="s">
        <v>9</v>
      </c>
      <c r="Y322">
        <v>13</v>
      </c>
      <c r="Z322">
        <v>3</v>
      </c>
      <c r="AA322">
        <v>1</v>
      </c>
      <c r="AB322">
        <v>80</v>
      </c>
      <c r="AC322">
        <v>0</v>
      </c>
      <c r="AD322">
        <v>2</v>
      </c>
      <c r="AE322">
        <v>3</v>
      </c>
      <c r="AF322">
        <v>3</v>
      </c>
      <c r="AG322">
        <v>2</v>
      </c>
      <c r="AH322">
        <v>2</v>
      </c>
      <c r="AI322">
        <v>2</v>
      </c>
      <c r="AJ322">
        <v>2</v>
      </c>
    </row>
    <row r="323" spans="1:36" x14ac:dyDescent="0.25">
      <c r="A323">
        <v>494</v>
      </c>
      <c r="B323">
        <v>35</v>
      </c>
      <c r="C323" t="s">
        <v>9</v>
      </c>
      <c r="D323" t="s">
        <v>15</v>
      </c>
      <c r="E323">
        <v>1029</v>
      </c>
      <c r="F323" t="s">
        <v>119</v>
      </c>
      <c r="G323">
        <v>16</v>
      </c>
      <c r="H323">
        <v>3</v>
      </c>
      <c r="I323" t="s">
        <v>21</v>
      </c>
      <c r="J323">
        <v>1</v>
      </c>
      <c r="K323">
        <v>1529</v>
      </c>
      <c r="L323">
        <v>4</v>
      </c>
      <c r="M323" t="s">
        <v>24</v>
      </c>
      <c r="N323">
        <v>91</v>
      </c>
      <c r="O323">
        <v>2</v>
      </c>
      <c r="P323">
        <v>3</v>
      </c>
      <c r="Q323" t="s">
        <v>34</v>
      </c>
      <c r="R323">
        <v>2</v>
      </c>
      <c r="S323" t="s">
        <v>27</v>
      </c>
      <c r="T323">
        <v>8606</v>
      </c>
      <c r="U323">
        <v>21195</v>
      </c>
      <c r="V323">
        <v>1</v>
      </c>
      <c r="W323" t="s">
        <v>29</v>
      </c>
      <c r="X323" t="s">
        <v>9</v>
      </c>
      <c r="Y323">
        <v>19</v>
      </c>
      <c r="Z323">
        <v>3</v>
      </c>
      <c r="AA323">
        <v>4</v>
      </c>
      <c r="AB323">
        <v>80</v>
      </c>
      <c r="AC323">
        <v>0</v>
      </c>
      <c r="AD323">
        <v>11</v>
      </c>
      <c r="AE323">
        <v>3</v>
      </c>
      <c r="AF323">
        <v>1</v>
      </c>
      <c r="AG323">
        <v>11</v>
      </c>
      <c r="AH323">
        <v>8</v>
      </c>
      <c r="AI323">
        <v>3</v>
      </c>
      <c r="AJ323">
        <v>3</v>
      </c>
    </row>
    <row r="324" spans="1:36" x14ac:dyDescent="0.25">
      <c r="A324">
        <v>630</v>
      </c>
      <c r="B324">
        <v>34</v>
      </c>
      <c r="C324" t="s">
        <v>9</v>
      </c>
      <c r="D324" t="s">
        <v>15</v>
      </c>
      <c r="E324">
        <v>1442</v>
      </c>
      <c r="F324" t="s">
        <v>119</v>
      </c>
      <c r="G324">
        <v>9</v>
      </c>
      <c r="H324">
        <v>3</v>
      </c>
      <c r="I324" t="s">
        <v>17</v>
      </c>
      <c r="J324">
        <v>1</v>
      </c>
      <c r="K324">
        <v>717</v>
      </c>
      <c r="L324">
        <v>4</v>
      </c>
      <c r="M324" t="s">
        <v>24</v>
      </c>
      <c r="N324">
        <v>46</v>
      </c>
      <c r="O324">
        <v>2</v>
      </c>
      <c r="P324">
        <v>3</v>
      </c>
      <c r="Q324" t="s">
        <v>34</v>
      </c>
      <c r="R324">
        <v>2</v>
      </c>
      <c r="S324" t="s">
        <v>27</v>
      </c>
      <c r="T324">
        <v>8621</v>
      </c>
      <c r="U324">
        <v>17654</v>
      </c>
      <c r="V324">
        <v>1</v>
      </c>
      <c r="W324" t="s">
        <v>29</v>
      </c>
      <c r="X324" t="s">
        <v>9</v>
      </c>
      <c r="Y324">
        <v>14</v>
      </c>
      <c r="Z324">
        <v>3</v>
      </c>
      <c r="AA324">
        <v>2</v>
      </c>
      <c r="AB324">
        <v>80</v>
      </c>
      <c r="AC324">
        <v>0</v>
      </c>
      <c r="AD324">
        <v>9</v>
      </c>
      <c r="AE324">
        <v>3</v>
      </c>
      <c r="AF324">
        <v>4</v>
      </c>
      <c r="AG324">
        <v>8</v>
      </c>
      <c r="AH324">
        <v>7</v>
      </c>
      <c r="AI324">
        <v>7</v>
      </c>
      <c r="AJ324">
        <v>7</v>
      </c>
    </row>
    <row r="325" spans="1:36" x14ac:dyDescent="0.25">
      <c r="A325">
        <v>782</v>
      </c>
      <c r="B325">
        <v>39</v>
      </c>
      <c r="C325" t="s">
        <v>9</v>
      </c>
      <c r="D325" t="s">
        <v>15</v>
      </c>
      <c r="E325">
        <v>408</v>
      </c>
      <c r="F325" t="s">
        <v>119</v>
      </c>
      <c r="G325">
        <v>2</v>
      </c>
      <c r="H325">
        <v>4</v>
      </c>
      <c r="I325" t="s">
        <v>22</v>
      </c>
      <c r="J325">
        <v>1</v>
      </c>
      <c r="K325">
        <v>721</v>
      </c>
      <c r="L325">
        <v>4</v>
      </c>
      <c r="M325" t="s">
        <v>24</v>
      </c>
      <c r="N325">
        <v>80</v>
      </c>
      <c r="O325">
        <v>2</v>
      </c>
      <c r="P325">
        <v>2</v>
      </c>
      <c r="Q325" t="s">
        <v>34</v>
      </c>
      <c r="R325">
        <v>3</v>
      </c>
      <c r="S325" t="s">
        <v>27</v>
      </c>
      <c r="T325">
        <v>4553</v>
      </c>
      <c r="U325">
        <v>20978</v>
      </c>
      <c r="V325">
        <v>1</v>
      </c>
      <c r="W325" t="s">
        <v>29</v>
      </c>
      <c r="X325" t="s">
        <v>9</v>
      </c>
      <c r="Y325">
        <v>11</v>
      </c>
      <c r="Z325">
        <v>3</v>
      </c>
      <c r="AA325">
        <v>1</v>
      </c>
      <c r="AB325">
        <v>80</v>
      </c>
      <c r="AC325">
        <v>0</v>
      </c>
      <c r="AD325">
        <v>20</v>
      </c>
      <c r="AE325">
        <v>4</v>
      </c>
      <c r="AF325">
        <v>3</v>
      </c>
      <c r="AG325">
        <v>20</v>
      </c>
      <c r="AH325">
        <v>7</v>
      </c>
      <c r="AI325">
        <v>11</v>
      </c>
      <c r="AJ325">
        <v>10</v>
      </c>
    </row>
    <row r="326" spans="1:36" x14ac:dyDescent="0.25">
      <c r="A326" s="15">
        <v>313</v>
      </c>
      <c r="B326" s="15">
        <v>31</v>
      </c>
      <c r="C326" s="15" t="s">
        <v>10</v>
      </c>
      <c r="D326" s="15" t="s">
        <v>11</v>
      </c>
      <c r="E326" s="15">
        <v>561</v>
      </c>
      <c r="F326" s="15" t="s">
        <v>119</v>
      </c>
      <c r="G326" s="15">
        <v>3</v>
      </c>
      <c r="H326" s="15">
        <v>3</v>
      </c>
      <c r="I326" s="15" t="s">
        <v>21</v>
      </c>
      <c r="J326" s="15">
        <v>1</v>
      </c>
      <c r="K326" s="15">
        <v>1537</v>
      </c>
      <c r="L326" s="15">
        <v>4</v>
      </c>
      <c r="M326" s="15" t="s">
        <v>24</v>
      </c>
      <c r="N326" s="15">
        <v>33</v>
      </c>
      <c r="O326" s="15">
        <v>3</v>
      </c>
      <c r="P326" s="15">
        <v>1</v>
      </c>
      <c r="Q326" s="15" t="s">
        <v>32</v>
      </c>
      <c r="R326" s="15">
        <v>3</v>
      </c>
      <c r="S326" s="15" t="s">
        <v>27</v>
      </c>
      <c r="T326" s="15">
        <v>4084</v>
      </c>
      <c r="U326" s="15">
        <v>4156</v>
      </c>
      <c r="V326" s="15">
        <v>1</v>
      </c>
      <c r="W326" s="15" t="s">
        <v>29</v>
      </c>
      <c r="X326" s="15" t="s">
        <v>9</v>
      </c>
      <c r="Y326" s="15">
        <v>12</v>
      </c>
      <c r="Z326" s="15">
        <v>3</v>
      </c>
      <c r="AA326" s="15">
        <v>1</v>
      </c>
      <c r="AB326" s="15">
        <v>80</v>
      </c>
      <c r="AC326" s="15">
        <v>0</v>
      </c>
      <c r="AD326" s="15">
        <v>7</v>
      </c>
      <c r="AE326" s="15">
        <v>2</v>
      </c>
      <c r="AF326" s="15">
        <v>1</v>
      </c>
      <c r="AG326" s="15">
        <v>7</v>
      </c>
      <c r="AH326" s="15">
        <v>2</v>
      </c>
      <c r="AI326" s="15">
        <v>7</v>
      </c>
      <c r="AJ326" s="15">
        <v>7</v>
      </c>
    </row>
    <row r="327" spans="1:36" x14ac:dyDescent="0.25">
      <c r="A327">
        <v>15</v>
      </c>
      <c r="B327">
        <v>46</v>
      </c>
      <c r="C327" t="s">
        <v>9</v>
      </c>
      <c r="D327" t="s">
        <v>15</v>
      </c>
      <c r="E327">
        <v>991</v>
      </c>
      <c r="F327" t="s">
        <v>20</v>
      </c>
      <c r="G327">
        <v>1</v>
      </c>
      <c r="H327">
        <v>2</v>
      </c>
      <c r="I327" t="s">
        <v>21</v>
      </c>
      <c r="J327">
        <v>1</v>
      </c>
      <c r="K327">
        <v>1314</v>
      </c>
      <c r="L327">
        <v>4</v>
      </c>
      <c r="M327" t="s">
        <v>24</v>
      </c>
      <c r="N327">
        <v>44</v>
      </c>
      <c r="O327">
        <v>3</v>
      </c>
      <c r="P327">
        <v>1</v>
      </c>
      <c r="Q327" t="s">
        <v>20</v>
      </c>
      <c r="R327">
        <v>1</v>
      </c>
      <c r="S327" t="s">
        <v>27</v>
      </c>
      <c r="T327">
        <v>3423</v>
      </c>
      <c r="U327">
        <v>22957</v>
      </c>
      <c r="V327">
        <v>6</v>
      </c>
      <c r="W327" t="s">
        <v>29</v>
      </c>
      <c r="X327" t="s">
        <v>9</v>
      </c>
      <c r="Y327">
        <v>12</v>
      </c>
      <c r="Z327">
        <v>3</v>
      </c>
      <c r="AA327">
        <v>3</v>
      </c>
      <c r="AB327">
        <v>80</v>
      </c>
      <c r="AC327">
        <v>0</v>
      </c>
      <c r="AD327">
        <v>10</v>
      </c>
      <c r="AE327">
        <v>3</v>
      </c>
      <c r="AF327">
        <v>4</v>
      </c>
      <c r="AG327">
        <v>7</v>
      </c>
      <c r="AH327">
        <v>6</v>
      </c>
      <c r="AI327">
        <v>5</v>
      </c>
      <c r="AJ327">
        <v>7</v>
      </c>
    </row>
    <row r="328" spans="1:36" x14ac:dyDescent="0.25">
      <c r="A328">
        <v>708</v>
      </c>
      <c r="B328">
        <v>31</v>
      </c>
      <c r="C328" t="s">
        <v>9</v>
      </c>
      <c r="D328" t="s">
        <v>15</v>
      </c>
      <c r="E328">
        <v>1398</v>
      </c>
      <c r="F328" t="s">
        <v>20</v>
      </c>
      <c r="G328">
        <v>8</v>
      </c>
      <c r="H328">
        <v>2</v>
      </c>
      <c r="I328" t="s">
        <v>17</v>
      </c>
      <c r="J328">
        <v>1</v>
      </c>
      <c r="K328">
        <v>1461</v>
      </c>
      <c r="L328">
        <v>4</v>
      </c>
      <c r="M328" t="s">
        <v>24</v>
      </c>
      <c r="N328">
        <v>96</v>
      </c>
      <c r="O328">
        <v>4</v>
      </c>
      <c r="P328">
        <v>1</v>
      </c>
      <c r="Q328" t="s">
        <v>20</v>
      </c>
      <c r="R328">
        <v>2</v>
      </c>
      <c r="S328" t="s">
        <v>27</v>
      </c>
      <c r="T328">
        <v>2109</v>
      </c>
      <c r="U328">
        <v>24609</v>
      </c>
      <c r="V328">
        <v>9</v>
      </c>
      <c r="W328" t="s">
        <v>29</v>
      </c>
      <c r="X328" t="s">
        <v>9</v>
      </c>
      <c r="Y328">
        <v>18</v>
      </c>
      <c r="Z328">
        <v>3</v>
      </c>
      <c r="AA328">
        <v>4</v>
      </c>
      <c r="AB328">
        <v>80</v>
      </c>
      <c r="AC328">
        <v>0</v>
      </c>
      <c r="AD328">
        <v>8</v>
      </c>
      <c r="AE328">
        <v>3</v>
      </c>
      <c r="AF328">
        <v>3</v>
      </c>
      <c r="AG328">
        <v>3</v>
      </c>
      <c r="AH328">
        <v>2</v>
      </c>
      <c r="AI328">
        <v>0</v>
      </c>
      <c r="AJ328">
        <v>2</v>
      </c>
    </row>
    <row r="329" spans="1:36" x14ac:dyDescent="0.25">
      <c r="A329">
        <v>424</v>
      </c>
      <c r="B329">
        <v>18</v>
      </c>
      <c r="C329" t="s">
        <v>9</v>
      </c>
      <c r="D329" t="s">
        <v>16</v>
      </c>
      <c r="E329">
        <v>1124</v>
      </c>
      <c r="F329" t="s">
        <v>119</v>
      </c>
      <c r="G329">
        <v>1</v>
      </c>
      <c r="H329">
        <v>3</v>
      </c>
      <c r="I329" t="s">
        <v>21</v>
      </c>
      <c r="J329">
        <v>1</v>
      </c>
      <c r="K329">
        <v>1368</v>
      </c>
      <c r="L329">
        <v>4</v>
      </c>
      <c r="M329" t="s">
        <v>24</v>
      </c>
      <c r="N329">
        <v>97</v>
      </c>
      <c r="O329">
        <v>3</v>
      </c>
      <c r="P329">
        <v>1</v>
      </c>
      <c r="Q329" t="s">
        <v>36</v>
      </c>
      <c r="R329">
        <v>4</v>
      </c>
      <c r="S329" t="s">
        <v>27</v>
      </c>
      <c r="T329">
        <v>1611</v>
      </c>
      <c r="U329">
        <v>19305</v>
      </c>
      <c r="V329">
        <v>1</v>
      </c>
      <c r="W329" t="s">
        <v>29</v>
      </c>
      <c r="X329" t="s">
        <v>9</v>
      </c>
      <c r="Y329">
        <v>15</v>
      </c>
      <c r="Z329">
        <v>3</v>
      </c>
      <c r="AA329">
        <v>3</v>
      </c>
      <c r="AB329">
        <v>80</v>
      </c>
      <c r="AC329">
        <v>0</v>
      </c>
      <c r="AD329">
        <v>0</v>
      </c>
      <c r="AE329">
        <v>5</v>
      </c>
      <c r="AF329">
        <v>4</v>
      </c>
      <c r="AG329">
        <v>0</v>
      </c>
      <c r="AH329">
        <v>0</v>
      </c>
      <c r="AI329">
        <v>0</v>
      </c>
      <c r="AJ329">
        <v>0</v>
      </c>
    </row>
    <row r="330" spans="1:36" x14ac:dyDescent="0.25">
      <c r="A330">
        <v>449</v>
      </c>
      <c r="B330">
        <v>38</v>
      </c>
      <c r="C330" t="s">
        <v>9</v>
      </c>
      <c r="D330" t="s">
        <v>11</v>
      </c>
      <c r="E330">
        <v>653</v>
      </c>
      <c r="F330" t="s">
        <v>119</v>
      </c>
      <c r="G330">
        <v>29</v>
      </c>
      <c r="H330">
        <v>5</v>
      </c>
      <c r="I330" t="s">
        <v>21</v>
      </c>
      <c r="J330">
        <v>1</v>
      </c>
      <c r="K330">
        <v>79</v>
      </c>
      <c r="L330">
        <v>4</v>
      </c>
      <c r="M330" t="s">
        <v>24</v>
      </c>
      <c r="N330">
        <v>50</v>
      </c>
      <c r="O330">
        <v>3</v>
      </c>
      <c r="P330">
        <v>2</v>
      </c>
      <c r="Q330" t="s">
        <v>36</v>
      </c>
      <c r="R330">
        <v>4</v>
      </c>
      <c r="S330" t="s">
        <v>27</v>
      </c>
      <c r="T330">
        <v>2406</v>
      </c>
      <c r="U330">
        <v>5456</v>
      </c>
      <c r="V330">
        <v>1</v>
      </c>
      <c r="W330" t="s">
        <v>29</v>
      </c>
      <c r="X330" t="s">
        <v>9</v>
      </c>
      <c r="Y330">
        <v>11</v>
      </c>
      <c r="Z330">
        <v>3</v>
      </c>
      <c r="AA330">
        <v>4</v>
      </c>
      <c r="AB330">
        <v>80</v>
      </c>
      <c r="AC330">
        <v>0</v>
      </c>
      <c r="AD330">
        <v>10</v>
      </c>
      <c r="AE330">
        <v>2</v>
      </c>
      <c r="AF330">
        <v>3</v>
      </c>
      <c r="AG330">
        <v>10</v>
      </c>
      <c r="AH330">
        <v>3</v>
      </c>
      <c r="AI330">
        <v>9</v>
      </c>
      <c r="AJ330">
        <v>9</v>
      </c>
    </row>
    <row r="331" spans="1:36" x14ac:dyDescent="0.25">
      <c r="A331">
        <v>853</v>
      </c>
      <c r="B331">
        <v>29</v>
      </c>
      <c r="C331" t="s">
        <v>9</v>
      </c>
      <c r="D331" t="s">
        <v>15</v>
      </c>
      <c r="E331">
        <v>153</v>
      </c>
      <c r="F331" t="s">
        <v>119</v>
      </c>
      <c r="G331">
        <v>15</v>
      </c>
      <c r="H331">
        <v>2</v>
      </c>
      <c r="I331" t="s">
        <v>21</v>
      </c>
      <c r="J331">
        <v>1</v>
      </c>
      <c r="K331">
        <v>15</v>
      </c>
      <c r="L331">
        <v>4</v>
      </c>
      <c r="M331" t="s">
        <v>24</v>
      </c>
      <c r="N331">
        <v>49</v>
      </c>
      <c r="O331">
        <v>2</v>
      </c>
      <c r="P331">
        <v>2</v>
      </c>
      <c r="Q331" t="s">
        <v>36</v>
      </c>
      <c r="R331">
        <v>3</v>
      </c>
      <c r="S331" t="s">
        <v>27</v>
      </c>
      <c r="T331">
        <v>4193</v>
      </c>
      <c r="U331">
        <v>12682</v>
      </c>
      <c r="V331">
        <v>0</v>
      </c>
      <c r="W331" t="s">
        <v>29</v>
      </c>
      <c r="X331" t="s">
        <v>10</v>
      </c>
      <c r="Y331">
        <v>12</v>
      </c>
      <c r="Z331">
        <v>3</v>
      </c>
      <c r="AA331">
        <v>4</v>
      </c>
      <c r="AB331">
        <v>80</v>
      </c>
      <c r="AC331">
        <v>0</v>
      </c>
      <c r="AD331">
        <v>10</v>
      </c>
      <c r="AE331">
        <v>3</v>
      </c>
      <c r="AF331">
        <v>3</v>
      </c>
      <c r="AG331">
        <v>9</v>
      </c>
      <c r="AH331">
        <v>5</v>
      </c>
      <c r="AI331">
        <v>0</v>
      </c>
      <c r="AJ331">
        <v>8</v>
      </c>
    </row>
    <row r="332" spans="1:36" x14ac:dyDescent="0.25">
      <c r="A332" s="15">
        <v>572</v>
      </c>
      <c r="B332" s="15">
        <v>21</v>
      </c>
      <c r="C332" s="15" t="s">
        <v>10</v>
      </c>
      <c r="D332" s="15" t="s">
        <v>15</v>
      </c>
      <c r="E332" s="15">
        <v>1427</v>
      </c>
      <c r="F332" s="15" t="s">
        <v>119</v>
      </c>
      <c r="G332" s="15">
        <v>18</v>
      </c>
      <c r="H332" s="15">
        <v>1</v>
      </c>
      <c r="I332" s="15" t="s">
        <v>19</v>
      </c>
      <c r="J332" s="15">
        <v>1</v>
      </c>
      <c r="K332" s="15">
        <v>923</v>
      </c>
      <c r="L332" s="15">
        <v>4</v>
      </c>
      <c r="M332" s="15" t="s">
        <v>24</v>
      </c>
      <c r="N332" s="15">
        <v>65</v>
      </c>
      <c r="O332" s="15">
        <v>3</v>
      </c>
      <c r="P332" s="15">
        <v>1</v>
      </c>
      <c r="Q332" s="15" t="s">
        <v>32</v>
      </c>
      <c r="R332" s="15">
        <v>4</v>
      </c>
      <c r="S332" s="15" t="s">
        <v>27</v>
      </c>
      <c r="T332" s="15">
        <v>2693</v>
      </c>
      <c r="U332" s="15">
        <v>8870</v>
      </c>
      <c r="V332" s="15">
        <v>1</v>
      </c>
      <c r="W332" s="15" t="s">
        <v>29</v>
      </c>
      <c r="X332" s="15" t="s">
        <v>9</v>
      </c>
      <c r="Y332" s="15">
        <v>19</v>
      </c>
      <c r="Z332" s="15">
        <v>3</v>
      </c>
      <c r="AA332" s="15">
        <v>1</v>
      </c>
      <c r="AB332" s="15">
        <v>80</v>
      </c>
      <c r="AC332" s="15">
        <v>0</v>
      </c>
      <c r="AD332" s="15">
        <v>1</v>
      </c>
      <c r="AE332" s="15">
        <v>3</v>
      </c>
      <c r="AF332" s="15">
        <v>2</v>
      </c>
      <c r="AG332" s="15">
        <v>1</v>
      </c>
      <c r="AH332" s="15">
        <v>0</v>
      </c>
      <c r="AI332" s="15">
        <v>0</v>
      </c>
      <c r="AJ332" s="15">
        <v>0</v>
      </c>
    </row>
    <row r="333" spans="1:36" x14ac:dyDescent="0.25">
      <c r="A333">
        <v>724</v>
      </c>
      <c r="B333">
        <v>36</v>
      </c>
      <c r="C333" t="s">
        <v>9</v>
      </c>
      <c r="D333" t="s">
        <v>15</v>
      </c>
      <c r="E333">
        <v>796</v>
      </c>
      <c r="F333" t="s">
        <v>119</v>
      </c>
      <c r="G333">
        <v>12</v>
      </c>
      <c r="H333">
        <v>5</v>
      </c>
      <c r="I333" t="s">
        <v>17</v>
      </c>
      <c r="J333">
        <v>1</v>
      </c>
      <c r="K333">
        <v>1073</v>
      </c>
      <c r="L333">
        <v>4</v>
      </c>
      <c r="M333" t="s">
        <v>24</v>
      </c>
      <c r="N333">
        <v>51</v>
      </c>
      <c r="O333">
        <v>2</v>
      </c>
      <c r="P333">
        <v>3</v>
      </c>
      <c r="Q333" t="s">
        <v>31</v>
      </c>
      <c r="R333">
        <v>4</v>
      </c>
      <c r="S333" t="s">
        <v>27</v>
      </c>
      <c r="T333">
        <v>8858</v>
      </c>
      <c r="U333">
        <v>15669</v>
      </c>
      <c r="V333">
        <v>0</v>
      </c>
      <c r="W333" t="s">
        <v>29</v>
      </c>
      <c r="X333" t="s">
        <v>9</v>
      </c>
      <c r="Y333">
        <v>11</v>
      </c>
      <c r="Z333">
        <v>3</v>
      </c>
      <c r="AA333">
        <v>2</v>
      </c>
      <c r="AB333">
        <v>80</v>
      </c>
      <c r="AC333">
        <v>0</v>
      </c>
      <c r="AD333">
        <v>15</v>
      </c>
      <c r="AE333">
        <v>2</v>
      </c>
      <c r="AF333">
        <v>2</v>
      </c>
      <c r="AG333">
        <v>14</v>
      </c>
      <c r="AH333">
        <v>8</v>
      </c>
      <c r="AI333">
        <v>7</v>
      </c>
      <c r="AJ333">
        <v>8</v>
      </c>
    </row>
    <row r="334" spans="1:36" x14ac:dyDescent="0.25">
      <c r="A334">
        <v>464</v>
      </c>
      <c r="B334">
        <v>31</v>
      </c>
      <c r="C334" t="s">
        <v>9</v>
      </c>
      <c r="D334" t="s">
        <v>11</v>
      </c>
      <c r="E334">
        <v>163</v>
      </c>
      <c r="F334" t="s">
        <v>119</v>
      </c>
      <c r="G334">
        <v>24</v>
      </c>
      <c r="H334">
        <v>1</v>
      </c>
      <c r="I334" t="s">
        <v>22</v>
      </c>
      <c r="J334">
        <v>1</v>
      </c>
      <c r="K334">
        <v>1736</v>
      </c>
      <c r="L334">
        <v>4</v>
      </c>
      <c r="M334" t="s">
        <v>24</v>
      </c>
      <c r="N334">
        <v>30</v>
      </c>
      <c r="O334">
        <v>3</v>
      </c>
      <c r="P334">
        <v>2</v>
      </c>
      <c r="Q334" t="s">
        <v>31</v>
      </c>
      <c r="R334">
        <v>4</v>
      </c>
      <c r="S334" t="s">
        <v>27</v>
      </c>
      <c r="T334">
        <v>5238</v>
      </c>
      <c r="U334">
        <v>6670</v>
      </c>
      <c r="V334">
        <v>2</v>
      </c>
      <c r="W334" t="s">
        <v>29</v>
      </c>
      <c r="X334" t="s">
        <v>9</v>
      </c>
      <c r="Y334">
        <v>20</v>
      </c>
      <c r="Z334">
        <v>4</v>
      </c>
      <c r="AA334">
        <v>4</v>
      </c>
      <c r="AB334">
        <v>80</v>
      </c>
      <c r="AC334">
        <v>0</v>
      </c>
      <c r="AD334">
        <v>9</v>
      </c>
      <c r="AE334">
        <v>3</v>
      </c>
      <c r="AF334">
        <v>2</v>
      </c>
      <c r="AG334">
        <v>5</v>
      </c>
      <c r="AH334">
        <v>4</v>
      </c>
      <c r="AI334">
        <v>1</v>
      </c>
      <c r="AJ334">
        <v>4</v>
      </c>
    </row>
    <row r="335" spans="1:36" x14ac:dyDescent="0.25">
      <c r="A335">
        <v>70</v>
      </c>
      <c r="B335">
        <v>37</v>
      </c>
      <c r="C335" t="s">
        <v>9</v>
      </c>
      <c r="D335" t="s">
        <v>15</v>
      </c>
      <c r="E335">
        <v>1372</v>
      </c>
      <c r="F335" t="s">
        <v>119</v>
      </c>
      <c r="G335">
        <v>1</v>
      </c>
      <c r="H335">
        <v>3</v>
      </c>
      <c r="I335" t="s">
        <v>21</v>
      </c>
      <c r="J335">
        <v>1</v>
      </c>
      <c r="K335">
        <v>391</v>
      </c>
      <c r="L335">
        <v>4</v>
      </c>
      <c r="M335" t="s">
        <v>24</v>
      </c>
      <c r="N335">
        <v>42</v>
      </c>
      <c r="O335">
        <v>3</v>
      </c>
      <c r="P335">
        <v>1</v>
      </c>
      <c r="Q335" t="s">
        <v>32</v>
      </c>
      <c r="R335">
        <v>4</v>
      </c>
      <c r="S335" t="s">
        <v>27</v>
      </c>
      <c r="T335">
        <v>2115</v>
      </c>
      <c r="U335">
        <v>15881</v>
      </c>
      <c r="V335">
        <v>1</v>
      </c>
      <c r="W335" t="s">
        <v>29</v>
      </c>
      <c r="X335" t="s">
        <v>9</v>
      </c>
      <c r="Y335">
        <v>12</v>
      </c>
      <c r="Z335">
        <v>3</v>
      </c>
      <c r="AA335">
        <v>2</v>
      </c>
      <c r="AB335">
        <v>80</v>
      </c>
      <c r="AC335">
        <v>0</v>
      </c>
      <c r="AD335">
        <v>17</v>
      </c>
      <c r="AE335">
        <v>3</v>
      </c>
      <c r="AF335">
        <v>3</v>
      </c>
      <c r="AG335">
        <v>17</v>
      </c>
      <c r="AH335">
        <v>12</v>
      </c>
      <c r="AI335">
        <v>5</v>
      </c>
      <c r="AJ335">
        <v>7</v>
      </c>
    </row>
    <row r="336" spans="1:36" x14ac:dyDescent="0.25">
      <c r="A336">
        <v>164</v>
      </c>
      <c r="B336">
        <v>42</v>
      </c>
      <c r="C336" t="s">
        <v>9</v>
      </c>
      <c r="D336" t="s">
        <v>15</v>
      </c>
      <c r="E336">
        <v>916</v>
      </c>
      <c r="F336" t="s">
        <v>119</v>
      </c>
      <c r="G336">
        <v>17</v>
      </c>
      <c r="H336">
        <v>2</v>
      </c>
      <c r="I336" t="s">
        <v>21</v>
      </c>
      <c r="J336">
        <v>1</v>
      </c>
      <c r="K336">
        <v>347</v>
      </c>
      <c r="L336">
        <v>4</v>
      </c>
      <c r="M336" t="s">
        <v>24</v>
      </c>
      <c r="N336">
        <v>82</v>
      </c>
      <c r="O336">
        <v>4</v>
      </c>
      <c r="P336">
        <v>2</v>
      </c>
      <c r="Q336" t="s">
        <v>32</v>
      </c>
      <c r="R336">
        <v>1</v>
      </c>
      <c r="S336" t="s">
        <v>27</v>
      </c>
      <c r="T336">
        <v>6545</v>
      </c>
      <c r="U336">
        <v>23016</v>
      </c>
      <c r="V336">
        <v>3</v>
      </c>
      <c r="W336" t="s">
        <v>29</v>
      </c>
      <c r="X336" t="s">
        <v>10</v>
      </c>
      <c r="Y336">
        <v>13</v>
      </c>
      <c r="Z336">
        <v>3</v>
      </c>
      <c r="AA336">
        <v>3</v>
      </c>
      <c r="AB336">
        <v>80</v>
      </c>
      <c r="AC336">
        <v>0</v>
      </c>
      <c r="AD336">
        <v>10</v>
      </c>
      <c r="AE336">
        <v>1</v>
      </c>
      <c r="AF336">
        <v>3</v>
      </c>
      <c r="AG336">
        <v>3</v>
      </c>
      <c r="AH336">
        <v>2</v>
      </c>
      <c r="AI336">
        <v>0</v>
      </c>
      <c r="AJ336">
        <v>2</v>
      </c>
    </row>
    <row r="337" spans="1:36" x14ac:dyDescent="0.25">
      <c r="A337">
        <v>441</v>
      </c>
      <c r="B337">
        <v>32</v>
      </c>
      <c r="C337" t="s">
        <v>9</v>
      </c>
      <c r="D337" t="s">
        <v>11</v>
      </c>
      <c r="E337">
        <v>1316</v>
      </c>
      <c r="F337" t="s">
        <v>119</v>
      </c>
      <c r="G337">
        <v>2</v>
      </c>
      <c r="H337">
        <v>2</v>
      </c>
      <c r="I337" t="s">
        <v>21</v>
      </c>
      <c r="J337">
        <v>1</v>
      </c>
      <c r="K337">
        <v>1235</v>
      </c>
      <c r="L337">
        <v>4</v>
      </c>
      <c r="M337" t="s">
        <v>24</v>
      </c>
      <c r="N337">
        <v>38</v>
      </c>
      <c r="O337">
        <v>3</v>
      </c>
      <c r="P337">
        <v>2</v>
      </c>
      <c r="Q337" t="s">
        <v>32</v>
      </c>
      <c r="R337">
        <v>3</v>
      </c>
      <c r="S337" t="s">
        <v>27</v>
      </c>
      <c r="T337">
        <v>4998</v>
      </c>
      <c r="U337">
        <v>2338</v>
      </c>
      <c r="V337">
        <v>4</v>
      </c>
      <c r="W337" t="s">
        <v>29</v>
      </c>
      <c r="X337" t="s">
        <v>10</v>
      </c>
      <c r="Y337">
        <v>14</v>
      </c>
      <c r="Z337">
        <v>3</v>
      </c>
      <c r="AA337">
        <v>4</v>
      </c>
      <c r="AB337">
        <v>80</v>
      </c>
      <c r="AC337">
        <v>0</v>
      </c>
      <c r="AD337">
        <v>10</v>
      </c>
      <c r="AE337">
        <v>2</v>
      </c>
      <c r="AF337">
        <v>3</v>
      </c>
      <c r="AG337">
        <v>8</v>
      </c>
      <c r="AH337">
        <v>7</v>
      </c>
      <c r="AI337">
        <v>0</v>
      </c>
      <c r="AJ337">
        <v>7</v>
      </c>
    </row>
    <row r="338" spans="1:36" x14ac:dyDescent="0.25">
      <c r="A338" s="15">
        <v>621</v>
      </c>
      <c r="B338" s="15">
        <v>20</v>
      </c>
      <c r="C338" s="15" t="s">
        <v>10</v>
      </c>
      <c r="D338" s="15" t="s">
        <v>11</v>
      </c>
      <c r="E338" s="15">
        <v>871</v>
      </c>
      <c r="F338" s="15" t="s">
        <v>119</v>
      </c>
      <c r="G338" s="15">
        <v>6</v>
      </c>
      <c r="H338" s="15">
        <v>3</v>
      </c>
      <c r="I338" s="15" t="s">
        <v>21</v>
      </c>
      <c r="J338" s="15">
        <v>1</v>
      </c>
      <c r="K338" s="15">
        <v>137</v>
      </c>
      <c r="L338" s="15">
        <v>4</v>
      </c>
      <c r="M338" s="15" t="s">
        <v>24</v>
      </c>
      <c r="N338" s="15">
        <v>66</v>
      </c>
      <c r="O338" s="15">
        <v>2</v>
      </c>
      <c r="P338" s="15">
        <v>1</v>
      </c>
      <c r="Q338" s="15" t="s">
        <v>36</v>
      </c>
      <c r="R338" s="15">
        <v>4</v>
      </c>
      <c r="S338" s="15" t="s">
        <v>27</v>
      </c>
      <c r="T338" s="15">
        <v>2926</v>
      </c>
      <c r="U338" s="15">
        <v>19783</v>
      </c>
      <c r="V338" s="15">
        <v>1</v>
      </c>
      <c r="W338" s="15" t="s">
        <v>29</v>
      </c>
      <c r="X338" s="15" t="s">
        <v>10</v>
      </c>
      <c r="Y338" s="15">
        <v>18</v>
      </c>
      <c r="Z338" s="15">
        <v>3</v>
      </c>
      <c r="AA338" s="15">
        <v>2</v>
      </c>
      <c r="AB338" s="15">
        <v>80</v>
      </c>
      <c r="AC338" s="15">
        <v>0</v>
      </c>
      <c r="AD338" s="15">
        <v>1</v>
      </c>
      <c r="AE338" s="15">
        <v>5</v>
      </c>
      <c r="AF338" s="15">
        <v>3</v>
      </c>
      <c r="AG338" s="15">
        <v>1</v>
      </c>
      <c r="AH338" s="15">
        <v>0</v>
      </c>
      <c r="AI338" s="15">
        <v>1</v>
      </c>
      <c r="AJ338" s="15">
        <v>0</v>
      </c>
    </row>
    <row r="339" spans="1:36" x14ac:dyDescent="0.25">
      <c r="A339">
        <v>293</v>
      </c>
      <c r="B339">
        <v>27</v>
      </c>
      <c r="C339" t="s">
        <v>9</v>
      </c>
      <c r="D339" t="s">
        <v>15</v>
      </c>
      <c r="E339">
        <v>894</v>
      </c>
      <c r="F339" t="s">
        <v>119</v>
      </c>
      <c r="G339">
        <v>9</v>
      </c>
      <c r="H339">
        <v>3</v>
      </c>
      <c r="I339" t="s">
        <v>17</v>
      </c>
      <c r="J339">
        <v>1</v>
      </c>
      <c r="K339">
        <v>260</v>
      </c>
      <c r="L339">
        <v>4</v>
      </c>
      <c r="M339" t="s">
        <v>24</v>
      </c>
      <c r="N339">
        <v>99</v>
      </c>
      <c r="O339">
        <v>3</v>
      </c>
      <c r="P339">
        <v>1</v>
      </c>
      <c r="Q339" t="s">
        <v>32</v>
      </c>
      <c r="R339">
        <v>2</v>
      </c>
      <c r="S339" t="s">
        <v>27</v>
      </c>
      <c r="T339">
        <v>2279</v>
      </c>
      <c r="U339">
        <v>11781</v>
      </c>
      <c r="V339">
        <v>1</v>
      </c>
      <c r="W339" t="s">
        <v>29</v>
      </c>
      <c r="X339" t="s">
        <v>9</v>
      </c>
      <c r="Y339">
        <v>16</v>
      </c>
      <c r="Z339">
        <v>3</v>
      </c>
      <c r="AA339">
        <v>4</v>
      </c>
      <c r="AB339">
        <v>80</v>
      </c>
      <c r="AC339">
        <v>0</v>
      </c>
      <c r="AD339">
        <v>7</v>
      </c>
      <c r="AE339">
        <v>2</v>
      </c>
      <c r="AF339">
        <v>2</v>
      </c>
      <c r="AG339">
        <v>7</v>
      </c>
      <c r="AH339">
        <v>7</v>
      </c>
      <c r="AI339">
        <v>0</v>
      </c>
      <c r="AJ339">
        <v>3</v>
      </c>
    </row>
    <row r="340" spans="1:36" x14ac:dyDescent="0.25">
      <c r="A340">
        <v>790</v>
      </c>
      <c r="B340">
        <v>25</v>
      </c>
      <c r="C340" t="s">
        <v>9</v>
      </c>
      <c r="D340" t="s">
        <v>15</v>
      </c>
      <c r="E340">
        <v>266</v>
      </c>
      <c r="F340" t="s">
        <v>119</v>
      </c>
      <c r="G340">
        <v>1</v>
      </c>
      <c r="H340">
        <v>3</v>
      </c>
      <c r="I340" t="s">
        <v>17</v>
      </c>
      <c r="J340">
        <v>1</v>
      </c>
      <c r="K340">
        <v>1303</v>
      </c>
      <c r="L340">
        <v>4</v>
      </c>
      <c r="M340" t="s">
        <v>24</v>
      </c>
      <c r="N340">
        <v>40</v>
      </c>
      <c r="O340">
        <v>3</v>
      </c>
      <c r="P340">
        <v>1</v>
      </c>
      <c r="Q340" t="s">
        <v>32</v>
      </c>
      <c r="R340">
        <v>2</v>
      </c>
      <c r="S340" t="s">
        <v>27</v>
      </c>
      <c r="T340">
        <v>2096</v>
      </c>
      <c r="U340">
        <v>18830</v>
      </c>
      <c r="V340">
        <v>1</v>
      </c>
      <c r="W340" t="s">
        <v>29</v>
      </c>
      <c r="X340" t="s">
        <v>9</v>
      </c>
      <c r="Y340">
        <v>18</v>
      </c>
      <c r="Z340">
        <v>3</v>
      </c>
      <c r="AA340">
        <v>4</v>
      </c>
      <c r="AB340">
        <v>80</v>
      </c>
      <c r="AC340">
        <v>0</v>
      </c>
      <c r="AD340">
        <v>2</v>
      </c>
      <c r="AE340">
        <v>3</v>
      </c>
      <c r="AF340">
        <v>2</v>
      </c>
      <c r="AG340">
        <v>2</v>
      </c>
      <c r="AH340">
        <v>2</v>
      </c>
      <c r="AI340">
        <v>2</v>
      </c>
      <c r="AJ340">
        <v>1</v>
      </c>
    </row>
    <row r="341" spans="1:36" x14ac:dyDescent="0.25">
      <c r="A341">
        <v>792</v>
      </c>
      <c r="B341">
        <v>34</v>
      </c>
      <c r="C341" t="s">
        <v>9</v>
      </c>
      <c r="D341" t="s">
        <v>15</v>
      </c>
      <c r="E341">
        <v>629</v>
      </c>
      <c r="F341" t="s">
        <v>119</v>
      </c>
      <c r="G341">
        <v>27</v>
      </c>
      <c r="H341">
        <v>2</v>
      </c>
      <c r="I341" t="s">
        <v>17</v>
      </c>
      <c r="J341">
        <v>1</v>
      </c>
      <c r="K341">
        <v>247</v>
      </c>
      <c r="L341">
        <v>4</v>
      </c>
      <c r="M341" t="s">
        <v>24</v>
      </c>
      <c r="N341">
        <v>95</v>
      </c>
      <c r="O341">
        <v>3</v>
      </c>
      <c r="P341">
        <v>1</v>
      </c>
      <c r="Q341" t="s">
        <v>32</v>
      </c>
      <c r="R341">
        <v>2</v>
      </c>
      <c r="S341" t="s">
        <v>27</v>
      </c>
      <c r="T341">
        <v>2311</v>
      </c>
      <c r="U341">
        <v>5711</v>
      </c>
      <c r="V341">
        <v>2</v>
      </c>
      <c r="W341" t="s">
        <v>29</v>
      </c>
      <c r="X341" t="s">
        <v>9</v>
      </c>
      <c r="Y341">
        <v>15</v>
      </c>
      <c r="Z341">
        <v>3</v>
      </c>
      <c r="AA341">
        <v>4</v>
      </c>
      <c r="AB341">
        <v>80</v>
      </c>
      <c r="AC341">
        <v>0</v>
      </c>
      <c r="AD341">
        <v>9</v>
      </c>
      <c r="AE341">
        <v>3</v>
      </c>
      <c r="AF341">
        <v>3</v>
      </c>
      <c r="AG341">
        <v>3</v>
      </c>
      <c r="AH341">
        <v>2</v>
      </c>
      <c r="AI341">
        <v>1</v>
      </c>
      <c r="AJ341">
        <v>2</v>
      </c>
    </row>
    <row r="342" spans="1:36" x14ac:dyDescent="0.25">
      <c r="A342">
        <v>176</v>
      </c>
      <c r="B342">
        <v>21</v>
      </c>
      <c r="C342" t="s">
        <v>9</v>
      </c>
      <c r="D342" t="s">
        <v>15</v>
      </c>
      <c r="E342">
        <v>984</v>
      </c>
      <c r="F342" t="s">
        <v>119</v>
      </c>
      <c r="G342">
        <v>1</v>
      </c>
      <c r="H342">
        <v>1</v>
      </c>
      <c r="I342" t="s">
        <v>22</v>
      </c>
      <c r="J342">
        <v>1</v>
      </c>
      <c r="K342">
        <v>1131</v>
      </c>
      <c r="L342">
        <v>4</v>
      </c>
      <c r="M342" t="s">
        <v>24</v>
      </c>
      <c r="N342">
        <v>70</v>
      </c>
      <c r="O342">
        <v>2</v>
      </c>
      <c r="P342">
        <v>1</v>
      </c>
      <c r="Q342" t="s">
        <v>32</v>
      </c>
      <c r="R342">
        <v>2</v>
      </c>
      <c r="S342" t="s">
        <v>27</v>
      </c>
      <c r="T342">
        <v>2070</v>
      </c>
      <c r="U342">
        <v>25326</v>
      </c>
      <c r="V342">
        <v>1</v>
      </c>
      <c r="W342" t="s">
        <v>29</v>
      </c>
      <c r="X342" t="s">
        <v>10</v>
      </c>
      <c r="Y342">
        <v>11</v>
      </c>
      <c r="Z342">
        <v>3</v>
      </c>
      <c r="AA342">
        <v>3</v>
      </c>
      <c r="AB342">
        <v>80</v>
      </c>
      <c r="AC342">
        <v>0</v>
      </c>
      <c r="AD342">
        <v>2</v>
      </c>
      <c r="AE342">
        <v>6</v>
      </c>
      <c r="AF342">
        <v>4</v>
      </c>
      <c r="AG342">
        <v>2</v>
      </c>
      <c r="AH342">
        <v>2</v>
      </c>
      <c r="AI342">
        <v>2</v>
      </c>
      <c r="AJ342">
        <v>2</v>
      </c>
    </row>
    <row r="343" spans="1:36" x14ac:dyDescent="0.25">
      <c r="A343" s="15">
        <v>761</v>
      </c>
      <c r="B343" s="15">
        <v>29</v>
      </c>
      <c r="C343" s="15" t="s">
        <v>10</v>
      </c>
      <c r="D343" s="15" t="s">
        <v>15</v>
      </c>
      <c r="E343" s="15">
        <v>906</v>
      </c>
      <c r="F343" s="15" t="s">
        <v>119</v>
      </c>
      <c r="G343" s="15">
        <v>10</v>
      </c>
      <c r="H343" s="15">
        <v>3</v>
      </c>
      <c r="I343" s="15" t="s">
        <v>21</v>
      </c>
      <c r="J343" s="15">
        <v>1</v>
      </c>
      <c r="K343" s="15">
        <v>994</v>
      </c>
      <c r="L343" s="15">
        <v>4</v>
      </c>
      <c r="M343" s="15" t="s">
        <v>24</v>
      </c>
      <c r="N343" s="15">
        <v>92</v>
      </c>
      <c r="O343" s="15">
        <v>2</v>
      </c>
      <c r="P343" s="15">
        <v>1</v>
      </c>
      <c r="Q343" s="15" t="s">
        <v>32</v>
      </c>
      <c r="R343" s="15">
        <v>1</v>
      </c>
      <c r="S343" s="15" t="s">
        <v>27</v>
      </c>
      <c r="T343" s="15">
        <v>2404</v>
      </c>
      <c r="U343" s="15">
        <v>11479</v>
      </c>
      <c r="V343" s="15">
        <v>6</v>
      </c>
      <c r="W343" s="15" t="s">
        <v>29</v>
      </c>
      <c r="X343" s="15" t="s">
        <v>10</v>
      </c>
      <c r="Y343" s="15">
        <v>20</v>
      </c>
      <c r="Z343" s="15">
        <v>4</v>
      </c>
      <c r="AA343" s="15">
        <v>3</v>
      </c>
      <c r="AB343" s="15">
        <v>80</v>
      </c>
      <c r="AC343" s="15">
        <v>0</v>
      </c>
      <c r="AD343" s="15">
        <v>3</v>
      </c>
      <c r="AE343" s="15">
        <v>5</v>
      </c>
      <c r="AF343" s="15">
        <v>3</v>
      </c>
      <c r="AG343" s="15">
        <v>0</v>
      </c>
      <c r="AH343" s="15">
        <v>0</v>
      </c>
      <c r="AI343" s="15">
        <v>0</v>
      </c>
      <c r="AJ343" s="15">
        <v>0</v>
      </c>
    </row>
    <row r="344" spans="1:36" x14ac:dyDescent="0.25">
      <c r="A344" s="15">
        <v>857</v>
      </c>
      <c r="B344" s="15">
        <v>30</v>
      </c>
      <c r="C344" s="15" t="s">
        <v>10</v>
      </c>
      <c r="D344" s="15" t="s">
        <v>15</v>
      </c>
      <c r="E344" s="15">
        <v>1005</v>
      </c>
      <c r="F344" s="15" t="s">
        <v>119</v>
      </c>
      <c r="G344" s="15">
        <v>3</v>
      </c>
      <c r="H344" s="15">
        <v>3</v>
      </c>
      <c r="I344" s="15" t="s">
        <v>22</v>
      </c>
      <c r="J344" s="15">
        <v>1</v>
      </c>
      <c r="K344" s="15">
        <v>297</v>
      </c>
      <c r="L344" s="15">
        <v>4</v>
      </c>
      <c r="M344" s="15" t="s">
        <v>24</v>
      </c>
      <c r="N344" s="15">
        <v>88</v>
      </c>
      <c r="O344" s="15">
        <v>3</v>
      </c>
      <c r="P344" s="15">
        <v>1</v>
      </c>
      <c r="Q344" s="15" t="s">
        <v>32</v>
      </c>
      <c r="R344" s="15">
        <v>1</v>
      </c>
      <c r="S344" s="15" t="s">
        <v>27</v>
      </c>
      <c r="T344" s="15">
        <v>2657</v>
      </c>
      <c r="U344" s="15">
        <v>8556</v>
      </c>
      <c r="V344" s="15">
        <v>5</v>
      </c>
      <c r="W344" s="15" t="s">
        <v>29</v>
      </c>
      <c r="X344" s="15" t="s">
        <v>10</v>
      </c>
      <c r="Y344" s="15">
        <v>11</v>
      </c>
      <c r="Z344" s="15">
        <v>3</v>
      </c>
      <c r="AA344" s="15">
        <v>3</v>
      </c>
      <c r="AB344" s="15">
        <v>80</v>
      </c>
      <c r="AC344" s="15">
        <v>0</v>
      </c>
      <c r="AD344" s="15">
        <v>8</v>
      </c>
      <c r="AE344" s="15">
        <v>5</v>
      </c>
      <c r="AF344" s="15">
        <v>3</v>
      </c>
      <c r="AG344" s="15">
        <v>5</v>
      </c>
      <c r="AH344" s="15">
        <v>2</v>
      </c>
      <c r="AI344" s="15">
        <v>0</v>
      </c>
      <c r="AJ344" s="15">
        <v>4</v>
      </c>
    </row>
    <row r="345" spans="1:36" x14ac:dyDescent="0.25">
      <c r="A345">
        <v>316</v>
      </c>
      <c r="B345">
        <v>47</v>
      </c>
      <c r="C345" t="s">
        <v>9</v>
      </c>
      <c r="D345" t="s">
        <v>15</v>
      </c>
      <c r="E345">
        <v>955</v>
      </c>
      <c r="F345" t="s">
        <v>118</v>
      </c>
      <c r="G345">
        <v>4</v>
      </c>
      <c r="H345">
        <v>2</v>
      </c>
      <c r="I345" t="s">
        <v>21</v>
      </c>
      <c r="J345">
        <v>1</v>
      </c>
      <c r="K345">
        <v>1003</v>
      </c>
      <c r="L345">
        <v>4</v>
      </c>
      <c r="M345" t="s">
        <v>24</v>
      </c>
      <c r="N345">
        <v>83</v>
      </c>
      <c r="O345">
        <v>3</v>
      </c>
      <c r="P345">
        <v>2</v>
      </c>
      <c r="Q345" t="s">
        <v>25</v>
      </c>
      <c r="R345">
        <v>4</v>
      </c>
      <c r="S345" t="s">
        <v>27</v>
      </c>
      <c r="T345">
        <v>4163</v>
      </c>
      <c r="U345">
        <v>8571</v>
      </c>
      <c r="V345">
        <v>1</v>
      </c>
      <c r="W345" t="s">
        <v>29</v>
      </c>
      <c r="X345" t="s">
        <v>10</v>
      </c>
      <c r="Y345">
        <v>17</v>
      </c>
      <c r="Z345">
        <v>3</v>
      </c>
      <c r="AA345">
        <v>3</v>
      </c>
      <c r="AB345">
        <v>80</v>
      </c>
      <c r="AC345">
        <v>0</v>
      </c>
      <c r="AD345">
        <v>9</v>
      </c>
      <c r="AE345">
        <v>0</v>
      </c>
      <c r="AF345">
        <v>3</v>
      </c>
      <c r="AG345">
        <v>9</v>
      </c>
      <c r="AH345">
        <v>0</v>
      </c>
      <c r="AI345">
        <v>0</v>
      </c>
      <c r="AJ345">
        <v>7</v>
      </c>
    </row>
    <row r="346" spans="1:36" x14ac:dyDescent="0.25">
      <c r="A346">
        <v>845</v>
      </c>
      <c r="B346">
        <v>34</v>
      </c>
      <c r="C346" t="s">
        <v>9</v>
      </c>
      <c r="D346" t="s">
        <v>15</v>
      </c>
      <c r="E346">
        <v>511</v>
      </c>
      <c r="F346" t="s">
        <v>118</v>
      </c>
      <c r="G346">
        <v>3</v>
      </c>
      <c r="H346">
        <v>2</v>
      </c>
      <c r="I346" t="s">
        <v>21</v>
      </c>
      <c r="J346">
        <v>1</v>
      </c>
      <c r="K346">
        <v>1779</v>
      </c>
      <c r="L346">
        <v>4</v>
      </c>
      <c r="M346" t="s">
        <v>24</v>
      </c>
      <c r="N346">
        <v>32</v>
      </c>
      <c r="O346">
        <v>1</v>
      </c>
      <c r="P346">
        <v>2</v>
      </c>
      <c r="Q346" t="s">
        <v>25</v>
      </c>
      <c r="R346">
        <v>4</v>
      </c>
      <c r="S346" t="s">
        <v>27</v>
      </c>
      <c r="T346">
        <v>6029</v>
      </c>
      <c r="U346">
        <v>25353</v>
      </c>
      <c r="V346">
        <v>5</v>
      </c>
      <c r="W346" t="s">
        <v>29</v>
      </c>
      <c r="X346" t="s">
        <v>9</v>
      </c>
      <c r="Y346">
        <v>12</v>
      </c>
      <c r="Z346">
        <v>3</v>
      </c>
      <c r="AA346">
        <v>1</v>
      </c>
      <c r="AB346">
        <v>80</v>
      </c>
      <c r="AC346">
        <v>0</v>
      </c>
      <c r="AD346">
        <v>6</v>
      </c>
      <c r="AE346">
        <v>3</v>
      </c>
      <c r="AF346">
        <v>3</v>
      </c>
      <c r="AG346">
        <v>2</v>
      </c>
      <c r="AH346">
        <v>2</v>
      </c>
      <c r="AI346">
        <v>2</v>
      </c>
      <c r="AJ346">
        <v>2</v>
      </c>
    </row>
    <row r="347" spans="1:36" x14ac:dyDescent="0.25">
      <c r="A347" s="15">
        <v>820</v>
      </c>
      <c r="B347" s="15">
        <v>28</v>
      </c>
      <c r="C347" s="15" t="s">
        <v>10</v>
      </c>
      <c r="D347" s="15" t="s">
        <v>15</v>
      </c>
      <c r="E347" s="15">
        <v>1475</v>
      </c>
      <c r="F347" s="15" t="s">
        <v>118</v>
      </c>
      <c r="G347" s="15">
        <v>13</v>
      </c>
      <c r="H347" s="15">
        <v>2</v>
      </c>
      <c r="I347" s="15" t="s">
        <v>18</v>
      </c>
      <c r="J347" s="15">
        <v>1</v>
      </c>
      <c r="K347" s="15">
        <v>1933</v>
      </c>
      <c r="L347" s="15">
        <v>4</v>
      </c>
      <c r="M347" s="15" t="s">
        <v>24</v>
      </c>
      <c r="N347" s="15">
        <v>84</v>
      </c>
      <c r="O347" s="15">
        <v>3</v>
      </c>
      <c r="P347" s="15">
        <v>2</v>
      </c>
      <c r="Q347" s="15" t="s">
        <v>25</v>
      </c>
      <c r="R347" s="15">
        <v>3</v>
      </c>
      <c r="S347" s="15" t="s">
        <v>27</v>
      </c>
      <c r="T347" s="15">
        <v>9854</v>
      </c>
      <c r="U347" s="15">
        <v>23352</v>
      </c>
      <c r="V347" s="15">
        <v>3</v>
      </c>
      <c r="W347" s="15" t="s">
        <v>29</v>
      </c>
      <c r="X347" s="15" t="s">
        <v>10</v>
      </c>
      <c r="Y347" s="15">
        <v>11</v>
      </c>
      <c r="Z347" s="15">
        <v>3</v>
      </c>
      <c r="AA347" s="15">
        <v>4</v>
      </c>
      <c r="AB347" s="15">
        <v>80</v>
      </c>
      <c r="AC347" s="15">
        <v>0</v>
      </c>
      <c r="AD347" s="15">
        <v>6</v>
      </c>
      <c r="AE347" s="15">
        <v>0</v>
      </c>
      <c r="AF347" s="15">
        <v>3</v>
      </c>
      <c r="AG347" s="15">
        <v>2</v>
      </c>
      <c r="AH347" s="15">
        <v>0</v>
      </c>
      <c r="AI347" s="15">
        <v>2</v>
      </c>
      <c r="AJ347" s="15">
        <v>2</v>
      </c>
    </row>
    <row r="348" spans="1:36" x14ac:dyDescent="0.25">
      <c r="A348">
        <v>124</v>
      </c>
      <c r="B348">
        <v>38</v>
      </c>
      <c r="C348" t="s">
        <v>9</v>
      </c>
      <c r="D348" t="s">
        <v>15</v>
      </c>
      <c r="E348">
        <v>243</v>
      </c>
      <c r="F348" t="s">
        <v>118</v>
      </c>
      <c r="G348">
        <v>7</v>
      </c>
      <c r="H348">
        <v>4</v>
      </c>
      <c r="I348" t="s">
        <v>18</v>
      </c>
      <c r="J348">
        <v>1</v>
      </c>
      <c r="K348">
        <v>709</v>
      </c>
      <c r="L348">
        <v>4</v>
      </c>
      <c r="M348" t="s">
        <v>24</v>
      </c>
      <c r="N348">
        <v>46</v>
      </c>
      <c r="O348">
        <v>2</v>
      </c>
      <c r="P348">
        <v>2</v>
      </c>
      <c r="Q348" t="s">
        <v>25</v>
      </c>
      <c r="R348">
        <v>4</v>
      </c>
      <c r="S348" t="s">
        <v>27</v>
      </c>
      <c r="T348">
        <v>4028</v>
      </c>
      <c r="U348">
        <v>7791</v>
      </c>
      <c r="V348">
        <v>0</v>
      </c>
      <c r="W348" t="s">
        <v>29</v>
      </c>
      <c r="X348" t="s">
        <v>9</v>
      </c>
      <c r="Y348">
        <v>20</v>
      </c>
      <c r="Z348">
        <v>4</v>
      </c>
      <c r="AA348">
        <v>1</v>
      </c>
      <c r="AB348">
        <v>80</v>
      </c>
      <c r="AC348">
        <v>0</v>
      </c>
      <c r="AD348">
        <v>8</v>
      </c>
      <c r="AE348">
        <v>2</v>
      </c>
      <c r="AF348">
        <v>3</v>
      </c>
      <c r="AG348">
        <v>7</v>
      </c>
      <c r="AH348">
        <v>7</v>
      </c>
      <c r="AI348">
        <v>0</v>
      </c>
      <c r="AJ348">
        <v>5</v>
      </c>
    </row>
    <row r="349" spans="1:36" x14ac:dyDescent="0.25">
      <c r="A349">
        <v>132</v>
      </c>
      <c r="B349">
        <v>49</v>
      </c>
      <c r="C349" t="s">
        <v>9</v>
      </c>
      <c r="D349" t="s">
        <v>15</v>
      </c>
      <c r="E349">
        <v>1313</v>
      </c>
      <c r="F349" t="s">
        <v>118</v>
      </c>
      <c r="G349">
        <v>11</v>
      </c>
      <c r="H349">
        <v>4</v>
      </c>
      <c r="I349" t="s">
        <v>18</v>
      </c>
      <c r="J349">
        <v>1</v>
      </c>
      <c r="K349">
        <v>1757</v>
      </c>
      <c r="L349">
        <v>4</v>
      </c>
      <c r="M349" t="s">
        <v>24</v>
      </c>
      <c r="N349">
        <v>80</v>
      </c>
      <c r="O349">
        <v>3</v>
      </c>
      <c r="P349">
        <v>2</v>
      </c>
      <c r="Q349" t="s">
        <v>25</v>
      </c>
      <c r="R349">
        <v>4</v>
      </c>
      <c r="S349" t="s">
        <v>27</v>
      </c>
      <c r="T349">
        <v>4507</v>
      </c>
      <c r="U349">
        <v>8191</v>
      </c>
      <c r="V349">
        <v>3</v>
      </c>
      <c r="W349" t="s">
        <v>29</v>
      </c>
      <c r="X349" t="s">
        <v>9</v>
      </c>
      <c r="Y349">
        <v>12</v>
      </c>
      <c r="Z349">
        <v>3</v>
      </c>
      <c r="AA349">
        <v>3</v>
      </c>
      <c r="AB349">
        <v>80</v>
      </c>
      <c r="AC349">
        <v>0</v>
      </c>
      <c r="AD349">
        <v>8</v>
      </c>
      <c r="AE349">
        <v>1</v>
      </c>
      <c r="AF349">
        <v>4</v>
      </c>
      <c r="AG349">
        <v>5</v>
      </c>
      <c r="AH349">
        <v>1</v>
      </c>
      <c r="AI349">
        <v>0</v>
      </c>
      <c r="AJ349">
        <v>4</v>
      </c>
    </row>
    <row r="350" spans="1:36" x14ac:dyDescent="0.25">
      <c r="A350">
        <v>862</v>
      </c>
      <c r="B350">
        <v>43</v>
      </c>
      <c r="C350" t="s">
        <v>9</v>
      </c>
      <c r="D350" t="s">
        <v>15</v>
      </c>
      <c r="E350">
        <v>531</v>
      </c>
      <c r="F350" t="s">
        <v>118</v>
      </c>
      <c r="G350">
        <v>4</v>
      </c>
      <c r="H350">
        <v>4</v>
      </c>
      <c r="I350" t="s">
        <v>18</v>
      </c>
      <c r="J350">
        <v>1</v>
      </c>
      <c r="K350">
        <v>1293</v>
      </c>
      <c r="L350">
        <v>4</v>
      </c>
      <c r="M350" t="s">
        <v>24</v>
      </c>
      <c r="N350">
        <v>56</v>
      </c>
      <c r="O350">
        <v>2</v>
      </c>
      <c r="P350">
        <v>3</v>
      </c>
      <c r="Q350" t="s">
        <v>25</v>
      </c>
      <c r="R350">
        <v>4</v>
      </c>
      <c r="S350" t="s">
        <v>27</v>
      </c>
      <c r="T350">
        <v>10231</v>
      </c>
      <c r="U350">
        <v>20364</v>
      </c>
      <c r="V350">
        <v>3</v>
      </c>
      <c r="W350" t="s">
        <v>29</v>
      </c>
      <c r="X350" t="s">
        <v>9</v>
      </c>
      <c r="Y350">
        <v>14</v>
      </c>
      <c r="Z350">
        <v>3</v>
      </c>
      <c r="AA350">
        <v>4</v>
      </c>
      <c r="AB350">
        <v>80</v>
      </c>
      <c r="AC350">
        <v>0</v>
      </c>
      <c r="AD350">
        <v>23</v>
      </c>
      <c r="AE350">
        <v>3</v>
      </c>
      <c r="AF350">
        <v>4</v>
      </c>
      <c r="AG350">
        <v>21</v>
      </c>
      <c r="AH350">
        <v>7</v>
      </c>
      <c r="AI350">
        <v>15</v>
      </c>
      <c r="AJ350">
        <v>17</v>
      </c>
    </row>
    <row r="351" spans="1:36" x14ac:dyDescent="0.25">
      <c r="A351">
        <v>79</v>
      </c>
      <c r="B351">
        <v>45</v>
      </c>
      <c r="C351" t="s">
        <v>9</v>
      </c>
      <c r="D351" t="s">
        <v>16</v>
      </c>
      <c r="E351">
        <v>1052</v>
      </c>
      <c r="F351" t="s">
        <v>118</v>
      </c>
      <c r="G351">
        <v>6</v>
      </c>
      <c r="H351">
        <v>3</v>
      </c>
      <c r="I351" t="s">
        <v>17</v>
      </c>
      <c r="J351">
        <v>1</v>
      </c>
      <c r="K351">
        <v>302</v>
      </c>
      <c r="L351">
        <v>4</v>
      </c>
      <c r="M351" t="s">
        <v>24</v>
      </c>
      <c r="N351">
        <v>57</v>
      </c>
      <c r="O351">
        <v>2</v>
      </c>
      <c r="P351">
        <v>3</v>
      </c>
      <c r="Q351" t="s">
        <v>25</v>
      </c>
      <c r="R351">
        <v>4</v>
      </c>
      <c r="S351" t="s">
        <v>27</v>
      </c>
      <c r="T351">
        <v>8865</v>
      </c>
      <c r="U351">
        <v>16840</v>
      </c>
      <c r="V351">
        <v>6</v>
      </c>
      <c r="W351" t="s">
        <v>29</v>
      </c>
      <c r="X351" t="s">
        <v>9</v>
      </c>
      <c r="Y351">
        <v>12</v>
      </c>
      <c r="Z351">
        <v>3</v>
      </c>
      <c r="AA351">
        <v>4</v>
      </c>
      <c r="AB351">
        <v>80</v>
      </c>
      <c r="AC351">
        <v>0</v>
      </c>
      <c r="AD351">
        <v>23</v>
      </c>
      <c r="AE351">
        <v>2</v>
      </c>
      <c r="AF351">
        <v>3</v>
      </c>
      <c r="AG351">
        <v>19</v>
      </c>
      <c r="AH351">
        <v>7</v>
      </c>
      <c r="AI351">
        <v>12</v>
      </c>
      <c r="AJ351">
        <v>8</v>
      </c>
    </row>
    <row r="352" spans="1:36" x14ac:dyDescent="0.25">
      <c r="A352" s="15">
        <v>507</v>
      </c>
      <c r="B352" s="15">
        <v>33</v>
      </c>
      <c r="C352" s="15" t="s">
        <v>10</v>
      </c>
      <c r="D352" s="15" t="s">
        <v>15</v>
      </c>
      <c r="E352" s="15">
        <v>350</v>
      </c>
      <c r="F352" s="15" t="s">
        <v>118</v>
      </c>
      <c r="G352" s="15">
        <v>5</v>
      </c>
      <c r="H352" s="15">
        <v>3</v>
      </c>
      <c r="I352" s="15" t="s">
        <v>18</v>
      </c>
      <c r="J352" s="15">
        <v>1</v>
      </c>
      <c r="K352" s="15">
        <v>485</v>
      </c>
      <c r="L352" s="15">
        <v>4</v>
      </c>
      <c r="M352" s="15" t="s">
        <v>24</v>
      </c>
      <c r="N352" s="15">
        <v>34</v>
      </c>
      <c r="O352" s="15">
        <v>3</v>
      </c>
      <c r="P352" s="15">
        <v>1</v>
      </c>
      <c r="Q352" s="15" t="s">
        <v>33</v>
      </c>
      <c r="R352" s="15">
        <v>3</v>
      </c>
      <c r="S352" s="15" t="s">
        <v>27</v>
      </c>
      <c r="T352" s="15">
        <v>2851</v>
      </c>
      <c r="U352" s="15">
        <v>9150</v>
      </c>
      <c r="V352" s="15">
        <v>1</v>
      </c>
      <c r="W352" s="15" t="s">
        <v>29</v>
      </c>
      <c r="X352" s="15" t="s">
        <v>10</v>
      </c>
      <c r="Y352" s="15">
        <v>13</v>
      </c>
      <c r="Z352" s="15">
        <v>3</v>
      </c>
      <c r="AA352" s="15">
        <v>2</v>
      </c>
      <c r="AB352" s="15">
        <v>80</v>
      </c>
      <c r="AC352" s="15">
        <v>0</v>
      </c>
      <c r="AD352" s="15">
        <v>1</v>
      </c>
      <c r="AE352" s="15">
        <v>2</v>
      </c>
      <c r="AF352" s="15">
        <v>3</v>
      </c>
      <c r="AG352" s="15">
        <v>1</v>
      </c>
      <c r="AH352" s="15">
        <v>0</v>
      </c>
      <c r="AI352" s="15">
        <v>0</v>
      </c>
      <c r="AJ352" s="15">
        <v>0</v>
      </c>
    </row>
    <row r="353" spans="1:36" x14ac:dyDescent="0.25">
      <c r="A353">
        <v>696</v>
      </c>
      <c r="B353">
        <v>47</v>
      </c>
      <c r="C353" t="s">
        <v>9</v>
      </c>
      <c r="D353" t="s">
        <v>15</v>
      </c>
      <c r="E353">
        <v>1454</v>
      </c>
      <c r="F353" t="s">
        <v>118</v>
      </c>
      <c r="G353">
        <v>2</v>
      </c>
      <c r="H353">
        <v>4</v>
      </c>
      <c r="I353" t="s">
        <v>21</v>
      </c>
      <c r="J353">
        <v>1</v>
      </c>
      <c r="K353">
        <v>925</v>
      </c>
      <c r="L353">
        <v>4</v>
      </c>
      <c r="M353" t="s">
        <v>24</v>
      </c>
      <c r="N353">
        <v>65</v>
      </c>
      <c r="O353">
        <v>2</v>
      </c>
      <c r="P353">
        <v>1</v>
      </c>
      <c r="Q353" t="s">
        <v>33</v>
      </c>
      <c r="R353">
        <v>4</v>
      </c>
      <c r="S353" t="s">
        <v>27</v>
      </c>
      <c r="T353">
        <v>3294</v>
      </c>
      <c r="U353">
        <v>13137</v>
      </c>
      <c r="V353">
        <v>1</v>
      </c>
      <c r="W353" t="s">
        <v>29</v>
      </c>
      <c r="X353" t="s">
        <v>10</v>
      </c>
      <c r="Y353">
        <v>18</v>
      </c>
      <c r="Z353">
        <v>3</v>
      </c>
      <c r="AA353">
        <v>1</v>
      </c>
      <c r="AB353">
        <v>80</v>
      </c>
      <c r="AC353">
        <v>0</v>
      </c>
      <c r="AD353">
        <v>3</v>
      </c>
      <c r="AE353">
        <v>3</v>
      </c>
      <c r="AF353">
        <v>2</v>
      </c>
      <c r="AG353">
        <v>3</v>
      </c>
      <c r="AH353">
        <v>2</v>
      </c>
      <c r="AI353">
        <v>1</v>
      </c>
      <c r="AJ353">
        <v>2</v>
      </c>
    </row>
    <row r="354" spans="1:36" x14ac:dyDescent="0.25">
      <c r="A354" s="15">
        <v>751</v>
      </c>
      <c r="B354" s="15">
        <v>20</v>
      </c>
      <c r="C354" s="15" t="s">
        <v>10</v>
      </c>
      <c r="D354" s="15" t="s">
        <v>11</v>
      </c>
      <c r="E354" s="15">
        <v>769</v>
      </c>
      <c r="F354" s="15" t="s">
        <v>118</v>
      </c>
      <c r="G354" s="15">
        <v>9</v>
      </c>
      <c r="H354" s="15">
        <v>3</v>
      </c>
      <c r="I354" s="15" t="s">
        <v>18</v>
      </c>
      <c r="J354" s="15">
        <v>1</v>
      </c>
      <c r="K354" s="15">
        <v>1077</v>
      </c>
      <c r="L354" s="15">
        <v>4</v>
      </c>
      <c r="M354" s="15" t="s">
        <v>24</v>
      </c>
      <c r="N354" s="15">
        <v>54</v>
      </c>
      <c r="O354" s="15">
        <v>3</v>
      </c>
      <c r="P354" s="15">
        <v>1</v>
      </c>
      <c r="Q354" s="15" t="s">
        <v>33</v>
      </c>
      <c r="R354" s="15">
        <v>4</v>
      </c>
      <c r="S354" s="15" t="s">
        <v>27</v>
      </c>
      <c r="T354" s="15">
        <v>2323</v>
      </c>
      <c r="U354" s="15">
        <v>17205</v>
      </c>
      <c r="V354" s="15">
        <v>1</v>
      </c>
      <c r="W354" s="15" t="s">
        <v>29</v>
      </c>
      <c r="X354" s="15" t="s">
        <v>10</v>
      </c>
      <c r="Y354" s="15">
        <v>14</v>
      </c>
      <c r="Z354" s="15">
        <v>3</v>
      </c>
      <c r="AA354" s="15">
        <v>2</v>
      </c>
      <c r="AB354" s="15">
        <v>80</v>
      </c>
      <c r="AC354" s="15">
        <v>0</v>
      </c>
      <c r="AD354" s="15">
        <v>2</v>
      </c>
      <c r="AE354" s="15">
        <v>3</v>
      </c>
      <c r="AF354" s="15">
        <v>3</v>
      </c>
      <c r="AG354" s="15">
        <v>2</v>
      </c>
      <c r="AH354" s="15">
        <v>2</v>
      </c>
      <c r="AI354" s="15">
        <v>0</v>
      </c>
      <c r="AJ354" s="15">
        <v>2</v>
      </c>
    </row>
    <row r="355" spans="1:36" x14ac:dyDescent="0.25">
      <c r="A355" s="15">
        <v>752</v>
      </c>
      <c r="B355" s="15">
        <v>31</v>
      </c>
      <c r="C355" s="15" t="s">
        <v>10</v>
      </c>
      <c r="D355" s="15" t="s">
        <v>11</v>
      </c>
      <c r="E355" s="15">
        <v>1060</v>
      </c>
      <c r="F355" s="15" t="s">
        <v>118</v>
      </c>
      <c r="G355" s="15">
        <v>1</v>
      </c>
      <c r="H355" s="15">
        <v>3</v>
      </c>
      <c r="I355" s="15" t="s">
        <v>21</v>
      </c>
      <c r="J355" s="15">
        <v>1</v>
      </c>
      <c r="K355" s="15">
        <v>1331</v>
      </c>
      <c r="L355" s="15">
        <v>4</v>
      </c>
      <c r="M355" s="15" t="s">
        <v>24</v>
      </c>
      <c r="N355" s="15">
        <v>54</v>
      </c>
      <c r="O355" s="15">
        <v>3</v>
      </c>
      <c r="P355" s="15">
        <v>1</v>
      </c>
      <c r="Q355" s="15" t="s">
        <v>33</v>
      </c>
      <c r="R355" s="15">
        <v>2</v>
      </c>
      <c r="S355" s="15" t="s">
        <v>27</v>
      </c>
      <c r="T355" s="15">
        <v>2302</v>
      </c>
      <c r="U355" s="15">
        <v>8319</v>
      </c>
      <c r="V355" s="15">
        <v>1</v>
      </c>
      <c r="W355" s="15" t="s">
        <v>29</v>
      </c>
      <c r="X355" s="15" t="s">
        <v>10</v>
      </c>
      <c r="Y355" s="15">
        <v>11</v>
      </c>
      <c r="Z355" s="15">
        <v>3</v>
      </c>
      <c r="AA355" s="15">
        <v>1</v>
      </c>
      <c r="AB355" s="15">
        <v>80</v>
      </c>
      <c r="AC355" s="15">
        <v>0</v>
      </c>
      <c r="AD355" s="15">
        <v>3</v>
      </c>
      <c r="AE355" s="15">
        <v>2</v>
      </c>
      <c r="AF355" s="15">
        <v>4</v>
      </c>
      <c r="AG355" s="15">
        <v>3</v>
      </c>
      <c r="AH355" s="15">
        <v>2</v>
      </c>
      <c r="AI355" s="15">
        <v>2</v>
      </c>
      <c r="AJ355" s="15">
        <v>2</v>
      </c>
    </row>
    <row r="356" spans="1:36" x14ac:dyDescent="0.25">
      <c r="A356" s="15">
        <v>645</v>
      </c>
      <c r="B356" s="15">
        <v>41</v>
      </c>
      <c r="C356" s="15" t="s">
        <v>10</v>
      </c>
      <c r="D356" s="15" t="s">
        <v>16</v>
      </c>
      <c r="E356" s="15">
        <v>906</v>
      </c>
      <c r="F356" s="15" t="s">
        <v>119</v>
      </c>
      <c r="G356" s="15">
        <v>5</v>
      </c>
      <c r="H356" s="15">
        <v>2</v>
      </c>
      <c r="I356" s="15" t="s">
        <v>21</v>
      </c>
      <c r="J356" s="15">
        <v>1</v>
      </c>
      <c r="K356" s="15">
        <v>1210</v>
      </c>
      <c r="L356" s="15">
        <v>1</v>
      </c>
      <c r="M356" s="15" t="s">
        <v>23</v>
      </c>
      <c r="N356" s="15">
        <v>95</v>
      </c>
      <c r="O356" s="15">
        <v>2</v>
      </c>
      <c r="P356" s="15">
        <v>1</v>
      </c>
      <c r="Q356" s="15" t="s">
        <v>32</v>
      </c>
      <c r="R356" s="15">
        <v>1</v>
      </c>
      <c r="S356" s="15" t="s">
        <v>26</v>
      </c>
      <c r="T356" s="15">
        <v>2107</v>
      </c>
      <c r="U356" s="15">
        <v>20293</v>
      </c>
      <c r="V356" s="15">
        <v>6</v>
      </c>
      <c r="W356" s="15" t="s">
        <v>29</v>
      </c>
      <c r="X356" s="15" t="s">
        <v>9</v>
      </c>
      <c r="Y356" s="15">
        <v>17</v>
      </c>
      <c r="Z356" s="15">
        <v>3</v>
      </c>
      <c r="AA356" s="15">
        <v>1</v>
      </c>
      <c r="AB356" s="15">
        <v>80</v>
      </c>
      <c r="AC356" s="15">
        <v>1</v>
      </c>
      <c r="AD356" s="15">
        <v>5</v>
      </c>
      <c r="AE356" s="15">
        <v>2</v>
      </c>
      <c r="AF356" s="15">
        <v>1</v>
      </c>
      <c r="AG356" s="15">
        <v>1</v>
      </c>
      <c r="AH356" s="15">
        <v>0</v>
      </c>
      <c r="AI356" s="15">
        <v>0</v>
      </c>
      <c r="AJ356" s="15">
        <v>0</v>
      </c>
    </row>
    <row r="357" spans="1:36" x14ac:dyDescent="0.25">
      <c r="A357">
        <v>690</v>
      </c>
      <c r="B357">
        <v>38</v>
      </c>
      <c r="C357" t="s">
        <v>9</v>
      </c>
      <c r="D357" t="s">
        <v>16</v>
      </c>
      <c r="E357">
        <v>1336</v>
      </c>
      <c r="F357" t="s">
        <v>20</v>
      </c>
      <c r="G357">
        <v>2</v>
      </c>
      <c r="H357">
        <v>3</v>
      </c>
      <c r="I357" t="s">
        <v>20</v>
      </c>
      <c r="J357">
        <v>1</v>
      </c>
      <c r="K357">
        <v>1805</v>
      </c>
      <c r="L357">
        <v>1</v>
      </c>
      <c r="M357" t="s">
        <v>23</v>
      </c>
      <c r="N357">
        <v>100</v>
      </c>
      <c r="O357">
        <v>3</v>
      </c>
      <c r="P357">
        <v>1</v>
      </c>
      <c r="Q357" t="s">
        <v>20</v>
      </c>
      <c r="R357">
        <v>2</v>
      </c>
      <c r="S357" t="s">
        <v>26</v>
      </c>
      <c r="T357">
        <v>2592</v>
      </c>
      <c r="U357">
        <v>7129</v>
      </c>
      <c r="V357">
        <v>5</v>
      </c>
      <c r="W357" t="s">
        <v>29</v>
      </c>
      <c r="X357" t="s">
        <v>9</v>
      </c>
      <c r="Y357">
        <v>13</v>
      </c>
      <c r="Z357">
        <v>3</v>
      </c>
      <c r="AA357">
        <v>4</v>
      </c>
      <c r="AB357">
        <v>80</v>
      </c>
      <c r="AC357">
        <v>3</v>
      </c>
      <c r="AD357">
        <v>13</v>
      </c>
      <c r="AE357">
        <v>3</v>
      </c>
      <c r="AF357">
        <v>3</v>
      </c>
      <c r="AG357">
        <v>11</v>
      </c>
      <c r="AH357">
        <v>10</v>
      </c>
      <c r="AI357">
        <v>3</v>
      </c>
      <c r="AJ357">
        <v>8</v>
      </c>
    </row>
    <row r="358" spans="1:36" x14ac:dyDescent="0.25">
      <c r="A358">
        <v>373</v>
      </c>
      <c r="B358">
        <v>45</v>
      </c>
      <c r="C358" t="s">
        <v>9</v>
      </c>
      <c r="D358" t="s">
        <v>11</v>
      </c>
      <c r="E358">
        <v>1249</v>
      </c>
      <c r="F358" t="s">
        <v>119</v>
      </c>
      <c r="G358">
        <v>7</v>
      </c>
      <c r="H358">
        <v>3</v>
      </c>
      <c r="I358" t="s">
        <v>21</v>
      </c>
      <c r="J358">
        <v>1</v>
      </c>
      <c r="K358">
        <v>425</v>
      </c>
      <c r="L358">
        <v>1</v>
      </c>
      <c r="M358" t="s">
        <v>23</v>
      </c>
      <c r="N358">
        <v>97</v>
      </c>
      <c r="O358">
        <v>3</v>
      </c>
      <c r="P358">
        <v>3</v>
      </c>
      <c r="Q358" t="s">
        <v>36</v>
      </c>
      <c r="R358">
        <v>1</v>
      </c>
      <c r="S358" t="s">
        <v>26</v>
      </c>
      <c r="T358">
        <v>5210</v>
      </c>
      <c r="U358">
        <v>20308</v>
      </c>
      <c r="V358">
        <v>1</v>
      </c>
      <c r="W358" t="s">
        <v>29</v>
      </c>
      <c r="X358" t="s">
        <v>9</v>
      </c>
      <c r="Y358">
        <v>18</v>
      </c>
      <c r="Z358">
        <v>3</v>
      </c>
      <c r="AA358">
        <v>1</v>
      </c>
      <c r="AB358">
        <v>80</v>
      </c>
      <c r="AC358">
        <v>1</v>
      </c>
      <c r="AD358">
        <v>24</v>
      </c>
      <c r="AE358">
        <v>2</v>
      </c>
      <c r="AF358">
        <v>3</v>
      </c>
      <c r="AG358">
        <v>24</v>
      </c>
      <c r="AH358">
        <v>9</v>
      </c>
      <c r="AI358">
        <v>9</v>
      </c>
      <c r="AJ358">
        <v>11</v>
      </c>
    </row>
    <row r="359" spans="1:36" x14ac:dyDescent="0.25">
      <c r="A359">
        <v>475</v>
      </c>
      <c r="B359">
        <v>28</v>
      </c>
      <c r="C359" t="s">
        <v>9</v>
      </c>
      <c r="D359" t="s">
        <v>15</v>
      </c>
      <c r="E359">
        <v>895</v>
      </c>
      <c r="F359" t="s">
        <v>119</v>
      </c>
      <c r="G359">
        <v>15</v>
      </c>
      <c r="H359">
        <v>2</v>
      </c>
      <c r="I359" t="s">
        <v>21</v>
      </c>
      <c r="J359">
        <v>1</v>
      </c>
      <c r="K359">
        <v>1102</v>
      </c>
      <c r="L359">
        <v>1</v>
      </c>
      <c r="M359" t="s">
        <v>23</v>
      </c>
      <c r="N359">
        <v>50</v>
      </c>
      <c r="O359">
        <v>3</v>
      </c>
      <c r="P359">
        <v>1</v>
      </c>
      <c r="Q359" t="s">
        <v>36</v>
      </c>
      <c r="R359">
        <v>3</v>
      </c>
      <c r="S359" t="s">
        <v>26</v>
      </c>
      <c r="T359">
        <v>2207</v>
      </c>
      <c r="U359">
        <v>22482</v>
      </c>
      <c r="V359">
        <v>1</v>
      </c>
      <c r="W359" t="s">
        <v>29</v>
      </c>
      <c r="X359" t="s">
        <v>9</v>
      </c>
      <c r="Y359">
        <v>16</v>
      </c>
      <c r="Z359">
        <v>3</v>
      </c>
      <c r="AA359">
        <v>4</v>
      </c>
      <c r="AB359">
        <v>80</v>
      </c>
      <c r="AC359">
        <v>1</v>
      </c>
      <c r="AD359">
        <v>4</v>
      </c>
      <c r="AE359">
        <v>5</v>
      </c>
      <c r="AF359">
        <v>2</v>
      </c>
      <c r="AG359">
        <v>4</v>
      </c>
      <c r="AH359">
        <v>2</v>
      </c>
      <c r="AI359">
        <v>2</v>
      </c>
      <c r="AJ359">
        <v>2</v>
      </c>
    </row>
    <row r="360" spans="1:36" x14ac:dyDescent="0.25">
      <c r="A360">
        <v>710</v>
      </c>
      <c r="B360">
        <v>50</v>
      </c>
      <c r="C360" t="s">
        <v>9</v>
      </c>
      <c r="D360" t="s">
        <v>16</v>
      </c>
      <c r="E360">
        <v>881</v>
      </c>
      <c r="F360" t="s">
        <v>119</v>
      </c>
      <c r="G360">
        <v>2</v>
      </c>
      <c r="H360">
        <v>4</v>
      </c>
      <c r="I360" t="s">
        <v>21</v>
      </c>
      <c r="J360">
        <v>1</v>
      </c>
      <c r="K360">
        <v>905</v>
      </c>
      <c r="L360">
        <v>1</v>
      </c>
      <c r="M360" t="s">
        <v>23</v>
      </c>
      <c r="N360">
        <v>98</v>
      </c>
      <c r="O360">
        <v>3</v>
      </c>
      <c r="P360">
        <v>4</v>
      </c>
      <c r="Q360" t="s">
        <v>35</v>
      </c>
      <c r="R360">
        <v>1</v>
      </c>
      <c r="S360" t="s">
        <v>26</v>
      </c>
      <c r="T360">
        <v>17924</v>
      </c>
      <c r="U360">
        <v>4544</v>
      </c>
      <c r="V360">
        <v>1</v>
      </c>
      <c r="W360" t="s">
        <v>29</v>
      </c>
      <c r="X360" t="s">
        <v>9</v>
      </c>
      <c r="Y360">
        <v>11</v>
      </c>
      <c r="Z360">
        <v>3</v>
      </c>
      <c r="AA360">
        <v>4</v>
      </c>
      <c r="AB360">
        <v>80</v>
      </c>
      <c r="AC360">
        <v>1</v>
      </c>
      <c r="AD360">
        <v>31</v>
      </c>
      <c r="AE360">
        <v>3</v>
      </c>
      <c r="AF360">
        <v>3</v>
      </c>
      <c r="AG360">
        <v>31</v>
      </c>
      <c r="AH360">
        <v>6</v>
      </c>
      <c r="AI360">
        <v>14</v>
      </c>
      <c r="AJ360">
        <v>7</v>
      </c>
    </row>
    <row r="361" spans="1:36" x14ac:dyDescent="0.25">
      <c r="A361">
        <v>712</v>
      </c>
      <c r="B361">
        <v>57</v>
      </c>
      <c r="C361" t="s">
        <v>9</v>
      </c>
      <c r="D361" t="s">
        <v>15</v>
      </c>
      <c r="E361">
        <v>210</v>
      </c>
      <c r="F361" t="s">
        <v>118</v>
      </c>
      <c r="G361">
        <v>29</v>
      </c>
      <c r="H361">
        <v>3</v>
      </c>
      <c r="I361" t="s">
        <v>18</v>
      </c>
      <c r="J361">
        <v>1</v>
      </c>
      <c r="K361">
        <v>568</v>
      </c>
      <c r="L361">
        <v>1</v>
      </c>
      <c r="M361" t="s">
        <v>23</v>
      </c>
      <c r="N361">
        <v>56</v>
      </c>
      <c r="O361">
        <v>2</v>
      </c>
      <c r="P361">
        <v>4</v>
      </c>
      <c r="Q361" t="s">
        <v>35</v>
      </c>
      <c r="R361">
        <v>4</v>
      </c>
      <c r="S361" t="s">
        <v>26</v>
      </c>
      <c r="T361">
        <v>14118</v>
      </c>
      <c r="U361">
        <v>22102</v>
      </c>
      <c r="V361">
        <v>3</v>
      </c>
      <c r="W361" t="s">
        <v>29</v>
      </c>
      <c r="X361" t="s">
        <v>9</v>
      </c>
      <c r="Y361">
        <v>12</v>
      </c>
      <c r="Z361">
        <v>3</v>
      </c>
      <c r="AA361">
        <v>3</v>
      </c>
      <c r="AB361">
        <v>80</v>
      </c>
      <c r="AC361">
        <v>1</v>
      </c>
      <c r="AD361">
        <v>32</v>
      </c>
      <c r="AE361">
        <v>3</v>
      </c>
      <c r="AF361">
        <v>2</v>
      </c>
      <c r="AG361">
        <v>1</v>
      </c>
      <c r="AH361">
        <v>0</v>
      </c>
      <c r="AI361">
        <v>0</v>
      </c>
      <c r="AJ361">
        <v>0</v>
      </c>
    </row>
    <row r="362" spans="1:36" x14ac:dyDescent="0.25">
      <c r="A362" s="15">
        <v>158</v>
      </c>
      <c r="B362" s="15">
        <v>39</v>
      </c>
      <c r="C362" s="15" t="s">
        <v>10</v>
      </c>
      <c r="D362" s="15" t="s">
        <v>11</v>
      </c>
      <c r="E362" s="15">
        <v>203</v>
      </c>
      <c r="F362" s="15" t="s">
        <v>119</v>
      </c>
      <c r="G362" s="15">
        <v>2</v>
      </c>
      <c r="H362" s="15">
        <v>3</v>
      </c>
      <c r="I362" s="15" t="s">
        <v>21</v>
      </c>
      <c r="J362" s="15">
        <v>1</v>
      </c>
      <c r="K362" s="15">
        <v>1127</v>
      </c>
      <c r="L362" s="15">
        <v>1</v>
      </c>
      <c r="M362" s="15" t="s">
        <v>23</v>
      </c>
      <c r="N362" s="15">
        <v>84</v>
      </c>
      <c r="O362" s="15">
        <v>3</v>
      </c>
      <c r="P362" s="15">
        <v>4</v>
      </c>
      <c r="Q362" s="15" t="s">
        <v>34</v>
      </c>
      <c r="R362" s="15">
        <v>4</v>
      </c>
      <c r="S362" s="15" t="s">
        <v>26</v>
      </c>
      <c r="T362" s="15">
        <v>12169</v>
      </c>
      <c r="U362" s="15">
        <v>13547</v>
      </c>
      <c r="V362" s="15">
        <v>7</v>
      </c>
      <c r="W362" s="15" t="s">
        <v>29</v>
      </c>
      <c r="X362" s="15" t="s">
        <v>9</v>
      </c>
      <c r="Y362" s="15">
        <v>11</v>
      </c>
      <c r="Z362" s="15">
        <v>3</v>
      </c>
      <c r="AA362" s="15">
        <v>4</v>
      </c>
      <c r="AB362" s="15">
        <v>80</v>
      </c>
      <c r="AC362" s="15">
        <v>3</v>
      </c>
      <c r="AD362" s="15">
        <v>21</v>
      </c>
      <c r="AE362" s="15">
        <v>4</v>
      </c>
      <c r="AF362" s="15">
        <v>3</v>
      </c>
      <c r="AG362" s="15">
        <v>18</v>
      </c>
      <c r="AH362" s="15">
        <v>7</v>
      </c>
      <c r="AI362" s="15">
        <v>11</v>
      </c>
      <c r="AJ362" s="15">
        <v>5</v>
      </c>
    </row>
    <row r="363" spans="1:36" x14ac:dyDescent="0.25">
      <c r="A363">
        <v>576</v>
      </c>
      <c r="B363">
        <v>37</v>
      </c>
      <c r="C363" t="s">
        <v>9</v>
      </c>
      <c r="D363" t="s">
        <v>15</v>
      </c>
      <c r="E363">
        <v>1115</v>
      </c>
      <c r="F363" t="s">
        <v>119</v>
      </c>
      <c r="G363">
        <v>1</v>
      </c>
      <c r="H363">
        <v>4</v>
      </c>
      <c r="I363" t="s">
        <v>21</v>
      </c>
      <c r="J363">
        <v>1</v>
      </c>
      <c r="K363">
        <v>77</v>
      </c>
      <c r="L363">
        <v>1</v>
      </c>
      <c r="M363" t="s">
        <v>23</v>
      </c>
      <c r="N363">
        <v>51</v>
      </c>
      <c r="O363">
        <v>2</v>
      </c>
      <c r="P363">
        <v>2</v>
      </c>
      <c r="Q363" t="s">
        <v>31</v>
      </c>
      <c r="R363">
        <v>3</v>
      </c>
      <c r="S363" t="s">
        <v>26</v>
      </c>
      <c r="T363">
        <v>5993</v>
      </c>
      <c r="U363">
        <v>2689</v>
      </c>
      <c r="V363">
        <v>1</v>
      </c>
      <c r="W363" t="s">
        <v>29</v>
      </c>
      <c r="X363" t="s">
        <v>9</v>
      </c>
      <c r="Y363">
        <v>18</v>
      </c>
      <c r="Z363">
        <v>3</v>
      </c>
      <c r="AA363">
        <v>3</v>
      </c>
      <c r="AB363">
        <v>80</v>
      </c>
      <c r="AC363">
        <v>1</v>
      </c>
      <c r="AD363">
        <v>7</v>
      </c>
      <c r="AE363">
        <v>2</v>
      </c>
      <c r="AF363">
        <v>4</v>
      </c>
      <c r="AG363">
        <v>7</v>
      </c>
      <c r="AH363">
        <v>5</v>
      </c>
      <c r="AI363">
        <v>0</v>
      </c>
      <c r="AJ363">
        <v>7</v>
      </c>
    </row>
    <row r="364" spans="1:36" x14ac:dyDescent="0.25">
      <c r="A364">
        <v>189</v>
      </c>
      <c r="B364">
        <v>50</v>
      </c>
      <c r="C364" t="s">
        <v>9</v>
      </c>
      <c r="D364" t="s">
        <v>15</v>
      </c>
      <c r="E364">
        <v>797</v>
      </c>
      <c r="F364" t="s">
        <v>119</v>
      </c>
      <c r="G364">
        <v>4</v>
      </c>
      <c r="H364">
        <v>1</v>
      </c>
      <c r="I364" t="s">
        <v>21</v>
      </c>
      <c r="J364">
        <v>1</v>
      </c>
      <c r="K364">
        <v>385</v>
      </c>
      <c r="L364">
        <v>1</v>
      </c>
      <c r="M364" t="s">
        <v>23</v>
      </c>
      <c r="N364">
        <v>96</v>
      </c>
      <c r="O364">
        <v>3</v>
      </c>
      <c r="P364">
        <v>5</v>
      </c>
      <c r="Q364" t="s">
        <v>30</v>
      </c>
      <c r="R364">
        <v>2</v>
      </c>
      <c r="S364" t="s">
        <v>26</v>
      </c>
      <c r="T364">
        <v>19144</v>
      </c>
      <c r="U364">
        <v>15815</v>
      </c>
      <c r="V364">
        <v>3</v>
      </c>
      <c r="W364" t="s">
        <v>29</v>
      </c>
      <c r="X364" t="s">
        <v>9</v>
      </c>
      <c r="Y364">
        <v>14</v>
      </c>
      <c r="Z364">
        <v>3</v>
      </c>
      <c r="AA364">
        <v>1</v>
      </c>
      <c r="AB364">
        <v>80</v>
      </c>
      <c r="AC364">
        <v>2</v>
      </c>
      <c r="AD364">
        <v>28</v>
      </c>
      <c r="AE364">
        <v>4</v>
      </c>
      <c r="AF364">
        <v>2</v>
      </c>
      <c r="AG364">
        <v>10</v>
      </c>
      <c r="AH364">
        <v>4</v>
      </c>
      <c r="AI364">
        <v>1</v>
      </c>
      <c r="AJ364">
        <v>6</v>
      </c>
    </row>
    <row r="365" spans="1:36" x14ac:dyDescent="0.25">
      <c r="A365">
        <v>364</v>
      </c>
      <c r="B365">
        <v>40</v>
      </c>
      <c r="C365" t="s">
        <v>9</v>
      </c>
      <c r="D365" t="s">
        <v>15</v>
      </c>
      <c r="E365">
        <v>1416</v>
      </c>
      <c r="F365" t="s">
        <v>119</v>
      </c>
      <c r="G365">
        <v>2</v>
      </c>
      <c r="H365">
        <v>2</v>
      </c>
      <c r="I365" t="s">
        <v>17</v>
      </c>
      <c r="J365">
        <v>1</v>
      </c>
      <c r="K365">
        <v>352</v>
      </c>
      <c r="L365">
        <v>1</v>
      </c>
      <c r="M365" t="s">
        <v>23</v>
      </c>
      <c r="N365">
        <v>49</v>
      </c>
      <c r="O365">
        <v>3</v>
      </c>
      <c r="P365">
        <v>5</v>
      </c>
      <c r="Q365" t="s">
        <v>30</v>
      </c>
      <c r="R365">
        <v>3</v>
      </c>
      <c r="S365" t="s">
        <v>26</v>
      </c>
      <c r="T365">
        <v>19436</v>
      </c>
      <c r="U365">
        <v>5949</v>
      </c>
      <c r="V365">
        <v>0</v>
      </c>
      <c r="W365" t="s">
        <v>29</v>
      </c>
      <c r="X365" t="s">
        <v>9</v>
      </c>
      <c r="Y365">
        <v>19</v>
      </c>
      <c r="Z365">
        <v>3</v>
      </c>
      <c r="AA365">
        <v>4</v>
      </c>
      <c r="AB365">
        <v>80</v>
      </c>
      <c r="AC365">
        <v>1</v>
      </c>
      <c r="AD365">
        <v>22</v>
      </c>
      <c r="AE365">
        <v>5</v>
      </c>
      <c r="AF365">
        <v>3</v>
      </c>
      <c r="AG365">
        <v>21</v>
      </c>
      <c r="AH365">
        <v>7</v>
      </c>
      <c r="AI365">
        <v>3</v>
      </c>
      <c r="AJ365">
        <v>9</v>
      </c>
    </row>
    <row r="366" spans="1:36" x14ac:dyDescent="0.25">
      <c r="A366" s="15">
        <v>747</v>
      </c>
      <c r="B366" s="15">
        <v>29</v>
      </c>
      <c r="C366" s="15" t="s">
        <v>10</v>
      </c>
      <c r="D366" s="15" t="s">
        <v>15</v>
      </c>
      <c r="E366" s="15">
        <v>350</v>
      </c>
      <c r="F366" s="15" t="s">
        <v>20</v>
      </c>
      <c r="G366" s="15">
        <v>13</v>
      </c>
      <c r="H366" s="15">
        <v>3</v>
      </c>
      <c r="I366" s="15" t="s">
        <v>20</v>
      </c>
      <c r="J366" s="15">
        <v>1</v>
      </c>
      <c r="K366" s="15">
        <v>1844</v>
      </c>
      <c r="L366" s="15">
        <v>1</v>
      </c>
      <c r="M366" s="15" t="s">
        <v>23</v>
      </c>
      <c r="N366" s="15">
        <v>56</v>
      </c>
      <c r="O366" s="15">
        <v>2</v>
      </c>
      <c r="P366" s="15">
        <v>1</v>
      </c>
      <c r="Q366" s="15" t="s">
        <v>20</v>
      </c>
      <c r="R366" s="15">
        <v>1</v>
      </c>
      <c r="S366" s="15" t="s">
        <v>26</v>
      </c>
      <c r="T366" s="15">
        <v>2335</v>
      </c>
      <c r="U366" s="15">
        <v>3157</v>
      </c>
      <c r="V366" s="15">
        <v>4</v>
      </c>
      <c r="W366" s="15" t="s">
        <v>29</v>
      </c>
      <c r="X366" s="15" t="s">
        <v>10</v>
      </c>
      <c r="Y366" s="15">
        <v>15</v>
      </c>
      <c r="Z366" s="15">
        <v>3</v>
      </c>
      <c r="AA366" s="15">
        <v>4</v>
      </c>
      <c r="AB366" s="15">
        <v>80</v>
      </c>
      <c r="AC366" s="15">
        <v>3</v>
      </c>
      <c r="AD366" s="15">
        <v>4</v>
      </c>
      <c r="AE366" s="15">
        <v>3</v>
      </c>
      <c r="AF366" s="15">
        <v>3</v>
      </c>
      <c r="AG366" s="15">
        <v>2</v>
      </c>
      <c r="AH366" s="15">
        <v>2</v>
      </c>
      <c r="AI366" s="15">
        <v>2</v>
      </c>
      <c r="AJ366" s="15">
        <v>0</v>
      </c>
    </row>
    <row r="367" spans="1:36" x14ac:dyDescent="0.25">
      <c r="A367">
        <v>66</v>
      </c>
      <c r="B367">
        <v>32</v>
      </c>
      <c r="C367" t="s">
        <v>9</v>
      </c>
      <c r="D367" t="s">
        <v>15</v>
      </c>
      <c r="E367">
        <v>334</v>
      </c>
      <c r="F367" t="s">
        <v>119</v>
      </c>
      <c r="G367">
        <v>5</v>
      </c>
      <c r="H367">
        <v>2</v>
      </c>
      <c r="I367" t="s">
        <v>21</v>
      </c>
      <c r="J367">
        <v>1</v>
      </c>
      <c r="K367">
        <v>21</v>
      </c>
      <c r="L367">
        <v>1</v>
      </c>
      <c r="M367" t="s">
        <v>23</v>
      </c>
      <c r="N367">
        <v>80</v>
      </c>
      <c r="O367">
        <v>4</v>
      </c>
      <c r="P367">
        <v>1</v>
      </c>
      <c r="Q367" t="s">
        <v>32</v>
      </c>
      <c r="R367">
        <v>2</v>
      </c>
      <c r="S367" t="s">
        <v>26</v>
      </c>
      <c r="T367">
        <v>3298</v>
      </c>
      <c r="U367">
        <v>15053</v>
      </c>
      <c r="V367">
        <v>0</v>
      </c>
      <c r="W367" t="s">
        <v>29</v>
      </c>
      <c r="X367" t="s">
        <v>10</v>
      </c>
      <c r="Y367">
        <v>12</v>
      </c>
      <c r="Z367">
        <v>3</v>
      </c>
      <c r="AA367">
        <v>4</v>
      </c>
      <c r="AB367">
        <v>80</v>
      </c>
      <c r="AC367">
        <v>2</v>
      </c>
      <c r="AD367">
        <v>7</v>
      </c>
      <c r="AE367">
        <v>5</v>
      </c>
      <c r="AF367">
        <v>2</v>
      </c>
      <c r="AG367">
        <v>6</v>
      </c>
      <c r="AH367">
        <v>2</v>
      </c>
      <c r="AI367">
        <v>0</v>
      </c>
      <c r="AJ367">
        <v>5</v>
      </c>
    </row>
    <row r="368" spans="1:36" x14ac:dyDescent="0.25">
      <c r="A368">
        <v>119</v>
      </c>
      <c r="B368">
        <v>41</v>
      </c>
      <c r="C368" t="s">
        <v>9</v>
      </c>
      <c r="D368" t="s">
        <v>15</v>
      </c>
      <c r="E368">
        <v>465</v>
      </c>
      <c r="F368" t="s">
        <v>119</v>
      </c>
      <c r="G368">
        <v>14</v>
      </c>
      <c r="H368">
        <v>3</v>
      </c>
      <c r="I368" t="s">
        <v>21</v>
      </c>
      <c r="J368">
        <v>1</v>
      </c>
      <c r="K368">
        <v>227</v>
      </c>
      <c r="L368">
        <v>1</v>
      </c>
      <c r="M368" t="s">
        <v>23</v>
      </c>
      <c r="N368">
        <v>56</v>
      </c>
      <c r="O368">
        <v>3</v>
      </c>
      <c r="P368">
        <v>1</v>
      </c>
      <c r="Q368" t="s">
        <v>32</v>
      </c>
      <c r="R368">
        <v>3</v>
      </c>
      <c r="S368" t="s">
        <v>26</v>
      </c>
      <c r="T368">
        <v>2451</v>
      </c>
      <c r="U368">
        <v>4609</v>
      </c>
      <c r="V368">
        <v>4</v>
      </c>
      <c r="W368" t="s">
        <v>29</v>
      </c>
      <c r="X368" t="s">
        <v>9</v>
      </c>
      <c r="Y368">
        <v>12</v>
      </c>
      <c r="Z368">
        <v>3</v>
      </c>
      <c r="AA368">
        <v>1</v>
      </c>
      <c r="AB368">
        <v>80</v>
      </c>
      <c r="AC368">
        <v>1</v>
      </c>
      <c r="AD368">
        <v>13</v>
      </c>
      <c r="AE368">
        <v>2</v>
      </c>
      <c r="AF368">
        <v>3</v>
      </c>
      <c r="AG368">
        <v>9</v>
      </c>
      <c r="AH368">
        <v>8</v>
      </c>
      <c r="AI368">
        <v>1</v>
      </c>
      <c r="AJ368">
        <v>8</v>
      </c>
    </row>
    <row r="369" spans="1:36" x14ac:dyDescent="0.25">
      <c r="A369">
        <v>142</v>
      </c>
      <c r="B369">
        <v>58</v>
      </c>
      <c r="C369" t="s">
        <v>9</v>
      </c>
      <c r="D369" t="s">
        <v>15</v>
      </c>
      <c r="E369">
        <v>848</v>
      </c>
      <c r="F369" t="s">
        <v>119</v>
      </c>
      <c r="G369">
        <v>23</v>
      </c>
      <c r="H369">
        <v>4</v>
      </c>
      <c r="I369" t="s">
        <v>21</v>
      </c>
      <c r="J369">
        <v>1</v>
      </c>
      <c r="K369">
        <v>1308</v>
      </c>
      <c r="L369">
        <v>1</v>
      </c>
      <c r="M369" t="s">
        <v>23</v>
      </c>
      <c r="N369">
        <v>88</v>
      </c>
      <c r="O369">
        <v>3</v>
      </c>
      <c r="P369">
        <v>1</v>
      </c>
      <c r="Q369" t="s">
        <v>32</v>
      </c>
      <c r="R369">
        <v>3</v>
      </c>
      <c r="S369" t="s">
        <v>26</v>
      </c>
      <c r="T369">
        <v>2372</v>
      </c>
      <c r="U369">
        <v>26076</v>
      </c>
      <c r="V369">
        <v>1</v>
      </c>
      <c r="W369" t="s">
        <v>29</v>
      </c>
      <c r="X369" t="s">
        <v>9</v>
      </c>
      <c r="Y369">
        <v>12</v>
      </c>
      <c r="Z369">
        <v>3</v>
      </c>
      <c r="AA369">
        <v>4</v>
      </c>
      <c r="AB369">
        <v>80</v>
      </c>
      <c r="AC369">
        <v>2</v>
      </c>
      <c r="AD369">
        <v>2</v>
      </c>
      <c r="AE369">
        <v>3</v>
      </c>
      <c r="AF369">
        <v>3</v>
      </c>
      <c r="AG369">
        <v>2</v>
      </c>
      <c r="AH369">
        <v>2</v>
      </c>
      <c r="AI369">
        <v>2</v>
      </c>
      <c r="AJ369">
        <v>2</v>
      </c>
    </row>
    <row r="370" spans="1:36" x14ac:dyDescent="0.25">
      <c r="A370">
        <v>224</v>
      </c>
      <c r="B370">
        <v>28</v>
      </c>
      <c r="C370" t="s">
        <v>9</v>
      </c>
      <c r="D370" t="s">
        <v>15</v>
      </c>
      <c r="E370">
        <v>1423</v>
      </c>
      <c r="F370" t="s">
        <v>119</v>
      </c>
      <c r="G370">
        <v>1</v>
      </c>
      <c r="H370">
        <v>3</v>
      </c>
      <c r="I370" t="s">
        <v>21</v>
      </c>
      <c r="J370">
        <v>1</v>
      </c>
      <c r="K370">
        <v>1506</v>
      </c>
      <c r="L370">
        <v>1</v>
      </c>
      <c r="M370" t="s">
        <v>23</v>
      </c>
      <c r="N370">
        <v>72</v>
      </c>
      <c r="O370">
        <v>2</v>
      </c>
      <c r="P370">
        <v>1</v>
      </c>
      <c r="Q370" t="s">
        <v>32</v>
      </c>
      <c r="R370">
        <v>3</v>
      </c>
      <c r="S370" t="s">
        <v>26</v>
      </c>
      <c r="T370">
        <v>1563</v>
      </c>
      <c r="U370">
        <v>12530</v>
      </c>
      <c r="V370">
        <v>1</v>
      </c>
      <c r="W370" t="s">
        <v>29</v>
      </c>
      <c r="X370" t="s">
        <v>9</v>
      </c>
      <c r="Y370">
        <v>14</v>
      </c>
      <c r="Z370">
        <v>3</v>
      </c>
      <c r="AA370">
        <v>4</v>
      </c>
      <c r="AB370">
        <v>80</v>
      </c>
      <c r="AC370">
        <v>1</v>
      </c>
      <c r="AD370">
        <v>1</v>
      </c>
      <c r="AE370">
        <v>2</v>
      </c>
      <c r="AF370">
        <v>1</v>
      </c>
      <c r="AG370">
        <v>1</v>
      </c>
      <c r="AH370">
        <v>0</v>
      </c>
      <c r="AI370">
        <v>0</v>
      </c>
      <c r="AJ370">
        <v>0</v>
      </c>
    </row>
    <row r="371" spans="1:36" x14ac:dyDescent="0.25">
      <c r="A371">
        <v>488</v>
      </c>
      <c r="B371">
        <v>31</v>
      </c>
      <c r="C371" t="s">
        <v>9</v>
      </c>
      <c r="D371" t="s">
        <v>15</v>
      </c>
      <c r="E371">
        <v>670</v>
      </c>
      <c r="F371" t="s">
        <v>119</v>
      </c>
      <c r="G371">
        <v>26</v>
      </c>
      <c r="H371">
        <v>1</v>
      </c>
      <c r="I371" t="s">
        <v>21</v>
      </c>
      <c r="J371">
        <v>1</v>
      </c>
      <c r="K371">
        <v>16</v>
      </c>
      <c r="L371">
        <v>1</v>
      </c>
      <c r="M371" t="s">
        <v>23</v>
      </c>
      <c r="N371">
        <v>31</v>
      </c>
      <c r="O371">
        <v>3</v>
      </c>
      <c r="P371">
        <v>1</v>
      </c>
      <c r="Q371" t="s">
        <v>32</v>
      </c>
      <c r="R371">
        <v>3</v>
      </c>
      <c r="S371" t="s">
        <v>26</v>
      </c>
      <c r="T371">
        <v>2911</v>
      </c>
      <c r="U371">
        <v>15170</v>
      </c>
      <c r="V371">
        <v>1</v>
      </c>
      <c r="W371" t="s">
        <v>29</v>
      </c>
      <c r="X371" t="s">
        <v>9</v>
      </c>
      <c r="Y371">
        <v>17</v>
      </c>
      <c r="Z371">
        <v>3</v>
      </c>
      <c r="AA371">
        <v>4</v>
      </c>
      <c r="AB371">
        <v>80</v>
      </c>
      <c r="AC371">
        <v>1</v>
      </c>
      <c r="AD371">
        <v>5</v>
      </c>
      <c r="AE371">
        <v>1</v>
      </c>
      <c r="AF371">
        <v>2</v>
      </c>
      <c r="AG371">
        <v>5</v>
      </c>
      <c r="AH371">
        <v>2</v>
      </c>
      <c r="AI371">
        <v>4</v>
      </c>
      <c r="AJ371">
        <v>3</v>
      </c>
    </row>
    <row r="372" spans="1:36" x14ac:dyDescent="0.25">
      <c r="A372">
        <v>626</v>
      </c>
      <c r="B372">
        <v>27</v>
      </c>
      <c r="C372" t="s">
        <v>9</v>
      </c>
      <c r="D372" t="s">
        <v>15</v>
      </c>
      <c r="E372">
        <v>1167</v>
      </c>
      <c r="F372" t="s">
        <v>119</v>
      </c>
      <c r="G372">
        <v>4</v>
      </c>
      <c r="H372">
        <v>2</v>
      </c>
      <c r="I372" t="s">
        <v>21</v>
      </c>
      <c r="J372">
        <v>1</v>
      </c>
      <c r="K372">
        <v>1259</v>
      </c>
      <c r="L372">
        <v>1</v>
      </c>
      <c r="M372" t="s">
        <v>23</v>
      </c>
      <c r="N372">
        <v>76</v>
      </c>
      <c r="O372">
        <v>3</v>
      </c>
      <c r="P372">
        <v>1</v>
      </c>
      <c r="Q372" t="s">
        <v>32</v>
      </c>
      <c r="R372">
        <v>3</v>
      </c>
      <c r="S372" t="s">
        <v>26</v>
      </c>
      <c r="T372">
        <v>2517</v>
      </c>
      <c r="U372">
        <v>3208</v>
      </c>
      <c r="V372">
        <v>1</v>
      </c>
      <c r="W372" t="s">
        <v>29</v>
      </c>
      <c r="X372" t="s">
        <v>9</v>
      </c>
      <c r="Y372">
        <v>11</v>
      </c>
      <c r="Z372">
        <v>3</v>
      </c>
      <c r="AA372">
        <v>2</v>
      </c>
      <c r="AB372">
        <v>80</v>
      </c>
      <c r="AC372">
        <v>3</v>
      </c>
      <c r="AD372">
        <v>5</v>
      </c>
      <c r="AE372">
        <v>2</v>
      </c>
      <c r="AF372">
        <v>3</v>
      </c>
      <c r="AG372">
        <v>5</v>
      </c>
      <c r="AH372">
        <v>3</v>
      </c>
      <c r="AI372">
        <v>0</v>
      </c>
      <c r="AJ372">
        <v>3</v>
      </c>
    </row>
    <row r="373" spans="1:36" x14ac:dyDescent="0.25">
      <c r="A373" s="15">
        <v>668</v>
      </c>
      <c r="B373" s="15">
        <v>33</v>
      </c>
      <c r="C373" s="15" t="s">
        <v>10</v>
      </c>
      <c r="D373" s="15" t="s">
        <v>15</v>
      </c>
      <c r="E373" s="15">
        <v>587</v>
      </c>
      <c r="F373" s="15" t="s">
        <v>119</v>
      </c>
      <c r="G373" s="15">
        <v>10</v>
      </c>
      <c r="H373" s="15">
        <v>1</v>
      </c>
      <c r="I373" s="15" t="s">
        <v>17</v>
      </c>
      <c r="J373" s="15">
        <v>1</v>
      </c>
      <c r="K373" s="15">
        <v>584</v>
      </c>
      <c r="L373" s="15">
        <v>1</v>
      </c>
      <c r="M373" s="15" t="s">
        <v>23</v>
      </c>
      <c r="N373" s="15">
        <v>38</v>
      </c>
      <c r="O373" s="15">
        <v>1</v>
      </c>
      <c r="P373" s="15">
        <v>1</v>
      </c>
      <c r="Q373" s="15" t="s">
        <v>36</v>
      </c>
      <c r="R373" s="15">
        <v>4</v>
      </c>
      <c r="S373" s="15" t="s">
        <v>26</v>
      </c>
      <c r="T373" s="15">
        <v>3408</v>
      </c>
      <c r="U373" s="15">
        <v>6705</v>
      </c>
      <c r="V373" s="15">
        <v>7</v>
      </c>
      <c r="W373" s="15" t="s">
        <v>29</v>
      </c>
      <c r="X373" s="15" t="s">
        <v>9</v>
      </c>
      <c r="Y373" s="15">
        <v>13</v>
      </c>
      <c r="Z373" s="15">
        <v>3</v>
      </c>
      <c r="AA373" s="15">
        <v>1</v>
      </c>
      <c r="AB373" s="15">
        <v>80</v>
      </c>
      <c r="AC373" s="15">
        <v>3</v>
      </c>
      <c r="AD373" s="15">
        <v>8</v>
      </c>
      <c r="AE373" s="15">
        <v>2</v>
      </c>
      <c r="AF373" s="15">
        <v>3</v>
      </c>
      <c r="AG373" s="15">
        <v>4</v>
      </c>
      <c r="AH373" s="15">
        <v>3</v>
      </c>
      <c r="AI373" s="15">
        <v>1</v>
      </c>
      <c r="AJ373" s="15">
        <v>3</v>
      </c>
    </row>
    <row r="374" spans="1:36" x14ac:dyDescent="0.25">
      <c r="A374">
        <v>303</v>
      </c>
      <c r="B374">
        <v>55</v>
      </c>
      <c r="C374" t="s">
        <v>9</v>
      </c>
      <c r="D374" t="s">
        <v>15</v>
      </c>
      <c r="E374">
        <v>1441</v>
      </c>
      <c r="F374" t="s">
        <v>119</v>
      </c>
      <c r="G374">
        <v>22</v>
      </c>
      <c r="H374">
        <v>3</v>
      </c>
      <c r="I374" t="s">
        <v>22</v>
      </c>
      <c r="J374">
        <v>1</v>
      </c>
      <c r="K374">
        <v>1694</v>
      </c>
      <c r="L374">
        <v>1</v>
      </c>
      <c r="M374" t="s">
        <v>23</v>
      </c>
      <c r="N374">
        <v>94</v>
      </c>
      <c r="O374">
        <v>2</v>
      </c>
      <c r="P374">
        <v>1</v>
      </c>
      <c r="Q374" t="s">
        <v>32</v>
      </c>
      <c r="R374">
        <v>2</v>
      </c>
      <c r="S374" t="s">
        <v>26</v>
      </c>
      <c r="T374">
        <v>3537</v>
      </c>
      <c r="U374">
        <v>23737</v>
      </c>
      <c r="V374">
        <v>5</v>
      </c>
      <c r="W374" t="s">
        <v>29</v>
      </c>
      <c r="X374" t="s">
        <v>9</v>
      </c>
      <c r="Y374">
        <v>12</v>
      </c>
      <c r="Z374">
        <v>3</v>
      </c>
      <c r="AA374">
        <v>4</v>
      </c>
      <c r="AB374">
        <v>80</v>
      </c>
      <c r="AC374">
        <v>1</v>
      </c>
      <c r="AD374">
        <v>8</v>
      </c>
      <c r="AE374">
        <v>1</v>
      </c>
      <c r="AF374">
        <v>3</v>
      </c>
      <c r="AG374">
        <v>4</v>
      </c>
      <c r="AH374">
        <v>2</v>
      </c>
      <c r="AI374">
        <v>1</v>
      </c>
      <c r="AJ374">
        <v>2</v>
      </c>
    </row>
    <row r="375" spans="1:36" x14ac:dyDescent="0.25">
      <c r="A375">
        <v>102</v>
      </c>
      <c r="B375">
        <v>31</v>
      </c>
      <c r="C375" t="s">
        <v>9</v>
      </c>
      <c r="D375" t="s">
        <v>15</v>
      </c>
      <c r="E375">
        <v>326</v>
      </c>
      <c r="F375" t="s">
        <v>118</v>
      </c>
      <c r="G375">
        <v>8</v>
      </c>
      <c r="H375">
        <v>2</v>
      </c>
      <c r="I375" t="s">
        <v>21</v>
      </c>
      <c r="J375">
        <v>1</v>
      </c>
      <c r="K375">
        <v>1453</v>
      </c>
      <c r="L375">
        <v>1</v>
      </c>
      <c r="M375" t="s">
        <v>23</v>
      </c>
      <c r="N375">
        <v>31</v>
      </c>
      <c r="O375">
        <v>3</v>
      </c>
      <c r="P375">
        <v>3</v>
      </c>
      <c r="Q375" t="s">
        <v>25</v>
      </c>
      <c r="R375">
        <v>4</v>
      </c>
      <c r="S375" t="s">
        <v>26</v>
      </c>
      <c r="T375">
        <v>10793</v>
      </c>
      <c r="U375">
        <v>8386</v>
      </c>
      <c r="V375">
        <v>1</v>
      </c>
      <c r="W375" t="s">
        <v>29</v>
      </c>
      <c r="X375" t="s">
        <v>9</v>
      </c>
      <c r="Y375">
        <v>18</v>
      </c>
      <c r="Z375">
        <v>3</v>
      </c>
      <c r="AA375">
        <v>1</v>
      </c>
      <c r="AB375">
        <v>80</v>
      </c>
      <c r="AC375">
        <v>1</v>
      </c>
      <c r="AD375">
        <v>13</v>
      </c>
      <c r="AE375">
        <v>5</v>
      </c>
      <c r="AF375">
        <v>3</v>
      </c>
      <c r="AG375">
        <v>13</v>
      </c>
      <c r="AH375">
        <v>7</v>
      </c>
      <c r="AI375">
        <v>9</v>
      </c>
      <c r="AJ375">
        <v>9</v>
      </c>
    </row>
    <row r="376" spans="1:36" x14ac:dyDescent="0.25">
      <c r="A376">
        <v>435</v>
      </c>
      <c r="B376">
        <v>40</v>
      </c>
      <c r="C376" t="s">
        <v>9</v>
      </c>
      <c r="D376" t="s">
        <v>15</v>
      </c>
      <c r="E376">
        <v>658</v>
      </c>
      <c r="F376" t="s">
        <v>118</v>
      </c>
      <c r="G376">
        <v>10</v>
      </c>
      <c r="H376">
        <v>4</v>
      </c>
      <c r="I376" t="s">
        <v>18</v>
      </c>
      <c r="J376">
        <v>1</v>
      </c>
      <c r="K376">
        <v>954</v>
      </c>
      <c r="L376">
        <v>1</v>
      </c>
      <c r="M376" t="s">
        <v>23</v>
      </c>
      <c r="N376">
        <v>67</v>
      </c>
      <c r="O376">
        <v>2</v>
      </c>
      <c r="P376">
        <v>3</v>
      </c>
      <c r="Q376" t="s">
        <v>25</v>
      </c>
      <c r="R376">
        <v>2</v>
      </c>
      <c r="S376" t="s">
        <v>26</v>
      </c>
      <c r="T376">
        <v>9705</v>
      </c>
      <c r="U376">
        <v>20652</v>
      </c>
      <c r="V376">
        <v>2</v>
      </c>
      <c r="W376" t="s">
        <v>29</v>
      </c>
      <c r="X376" t="s">
        <v>9</v>
      </c>
      <c r="Y376">
        <v>12</v>
      </c>
      <c r="Z376">
        <v>3</v>
      </c>
      <c r="AA376">
        <v>2</v>
      </c>
      <c r="AB376">
        <v>80</v>
      </c>
      <c r="AC376">
        <v>1</v>
      </c>
      <c r="AD376">
        <v>11</v>
      </c>
      <c r="AE376">
        <v>2</v>
      </c>
      <c r="AF376">
        <v>2</v>
      </c>
      <c r="AG376">
        <v>1</v>
      </c>
      <c r="AH376">
        <v>0</v>
      </c>
      <c r="AI376">
        <v>0</v>
      </c>
      <c r="AJ376">
        <v>0</v>
      </c>
    </row>
    <row r="377" spans="1:36" x14ac:dyDescent="0.25">
      <c r="A377">
        <v>131</v>
      </c>
      <c r="B377">
        <v>29</v>
      </c>
      <c r="C377" t="s">
        <v>9</v>
      </c>
      <c r="D377" t="s">
        <v>15</v>
      </c>
      <c r="E377">
        <v>991</v>
      </c>
      <c r="F377" t="s">
        <v>118</v>
      </c>
      <c r="G377">
        <v>5</v>
      </c>
      <c r="H377">
        <v>3</v>
      </c>
      <c r="I377" t="s">
        <v>17</v>
      </c>
      <c r="J377">
        <v>1</v>
      </c>
      <c r="K377">
        <v>1669</v>
      </c>
      <c r="L377">
        <v>1</v>
      </c>
      <c r="M377" t="s">
        <v>23</v>
      </c>
      <c r="N377">
        <v>43</v>
      </c>
      <c r="O377">
        <v>2</v>
      </c>
      <c r="P377">
        <v>2</v>
      </c>
      <c r="Q377" t="s">
        <v>25</v>
      </c>
      <c r="R377">
        <v>2</v>
      </c>
      <c r="S377" t="s">
        <v>26</v>
      </c>
      <c r="T377">
        <v>4187</v>
      </c>
      <c r="U377">
        <v>3356</v>
      </c>
      <c r="V377">
        <v>1</v>
      </c>
      <c r="W377" t="s">
        <v>29</v>
      </c>
      <c r="X377" t="s">
        <v>10</v>
      </c>
      <c r="Y377">
        <v>13</v>
      </c>
      <c r="Z377">
        <v>3</v>
      </c>
      <c r="AA377">
        <v>2</v>
      </c>
      <c r="AB377">
        <v>80</v>
      </c>
      <c r="AC377">
        <v>1</v>
      </c>
      <c r="AD377">
        <v>10</v>
      </c>
      <c r="AE377">
        <v>3</v>
      </c>
      <c r="AF377">
        <v>2</v>
      </c>
      <c r="AG377">
        <v>10</v>
      </c>
      <c r="AH377">
        <v>0</v>
      </c>
      <c r="AI377">
        <v>0</v>
      </c>
      <c r="AJ377">
        <v>9</v>
      </c>
    </row>
    <row r="378" spans="1:36" x14ac:dyDescent="0.25">
      <c r="A378">
        <v>478</v>
      </c>
      <c r="B378">
        <v>26</v>
      </c>
      <c r="C378" t="s">
        <v>9</v>
      </c>
      <c r="D378" t="s">
        <v>15</v>
      </c>
      <c r="E378">
        <v>775</v>
      </c>
      <c r="F378" t="s">
        <v>118</v>
      </c>
      <c r="G378">
        <v>29</v>
      </c>
      <c r="H378">
        <v>2</v>
      </c>
      <c r="I378" t="s">
        <v>17</v>
      </c>
      <c r="J378">
        <v>1</v>
      </c>
      <c r="K378">
        <v>618</v>
      </c>
      <c r="L378">
        <v>1</v>
      </c>
      <c r="M378" t="s">
        <v>23</v>
      </c>
      <c r="N378">
        <v>45</v>
      </c>
      <c r="O378">
        <v>3</v>
      </c>
      <c r="P378">
        <v>2</v>
      </c>
      <c r="Q378" t="s">
        <v>25</v>
      </c>
      <c r="R378">
        <v>3</v>
      </c>
      <c r="S378" t="s">
        <v>26</v>
      </c>
      <c r="T378">
        <v>4306</v>
      </c>
      <c r="U378">
        <v>4267</v>
      </c>
      <c r="V378">
        <v>5</v>
      </c>
      <c r="W378" t="s">
        <v>29</v>
      </c>
      <c r="X378" t="s">
        <v>9</v>
      </c>
      <c r="Y378">
        <v>12</v>
      </c>
      <c r="Z378">
        <v>3</v>
      </c>
      <c r="AA378">
        <v>1</v>
      </c>
      <c r="AB378">
        <v>80</v>
      </c>
      <c r="AC378">
        <v>2</v>
      </c>
      <c r="AD378">
        <v>8</v>
      </c>
      <c r="AE378">
        <v>5</v>
      </c>
      <c r="AF378">
        <v>3</v>
      </c>
      <c r="AG378">
        <v>0</v>
      </c>
      <c r="AH378">
        <v>0</v>
      </c>
      <c r="AI378">
        <v>0</v>
      </c>
      <c r="AJ378">
        <v>0</v>
      </c>
    </row>
    <row r="379" spans="1:36" x14ac:dyDescent="0.25">
      <c r="A379">
        <v>596</v>
      </c>
      <c r="B379">
        <v>33</v>
      </c>
      <c r="C379" t="s">
        <v>9</v>
      </c>
      <c r="D379" t="s">
        <v>15</v>
      </c>
      <c r="E379">
        <v>586</v>
      </c>
      <c r="F379" t="s">
        <v>118</v>
      </c>
      <c r="G379">
        <v>1</v>
      </c>
      <c r="H379">
        <v>3</v>
      </c>
      <c r="I379" t="s">
        <v>17</v>
      </c>
      <c r="J379">
        <v>1</v>
      </c>
      <c r="K379">
        <v>855</v>
      </c>
      <c r="L379">
        <v>1</v>
      </c>
      <c r="M379" t="s">
        <v>23</v>
      </c>
      <c r="N379">
        <v>48</v>
      </c>
      <c r="O379">
        <v>4</v>
      </c>
      <c r="P379">
        <v>2</v>
      </c>
      <c r="Q379" t="s">
        <v>25</v>
      </c>
      <c r="R379">
        <v>1</v>
      </c>
      <c r="S379" t="s">
        <v>26</v>
      </c>
      <c r="T379">
        <v>4037</v>
      </c>
      <c r="U379">
        <v>21816</v>
      </c>
      <c r="V379">
        <v>1</v>
      </c>
      <c r="W379" t="s">
        <v>29</v>
      </c>
      <c r="X379" t="s">
        <v>9</v>
      </c>
      <c r="Y379">
        <v>22</v>
      </c>
      <c r="Z379">
        <v>4</v>
      </c>
      <c r="AA379">
        <v>1</v>
      </c>
      <c r="AB379">
        <v>80</v>
      </c>
      <c r="AC379">
        <v>1</v>
      </c>
      <c r="AD379">
        <v>9</v>
      </c>
      <c r="AE379">
        <v>5</v>
      </c>
      <c r="AF379">
        <v>3</v>
      </c>
      <c r="AG379">
        <v>9</v>
      </c>
      <c r="AH379">
        <v>8</v>
      </c>
      <c r="AI379">
        <v>0</v>
      </c>
      <c r="AJ379">
        <v>8</v>
      </c>
    </row>
    <row r="380" spans="1:36" x14ac:dyDescent="0.25">
      <c r="A380">
        <v>836</v>
      </c>
      <c r="B380">
        <v>37</v>
      </c>
      <c r="C380" t="s">
        <v>9</v>
      </c>
      <c r="D380" t="s">
        <v>16</v>
      </c>
      <c r="E380">
        <v>142</v>
      </c>
      <c r="F380" t="s">
        <v>118</v>
      </c>
      <c r="G380">
        <v>9</v>
      </c>
      <c r="H380">
        <v>4</v>
      </c>
      <c r="I380" t="s">
        <v>17</v>
      </c>
      <c r="J380">
        <v>1</v>
      </c>
      <c r="K380">
        <v>626</v>
      </c>
      <c r="L380">
        <v>1</v>
      </c>
      <c r="M380" t="s">
        <v>23</v>
      </c>
      <c r="N380">
        <v>69</v>
      </c>
      <c r="O380">
        <v>3</v>
      </c>
      <c r="P380">
        <v>3</v>
      </c>
      <c r="Q380" t="s">
        <v>25</v>
      </c>
      <c r="R380">
        <v>2</v>
      </c>
      <c r="S380" t="s">
        <v>26</v>
      </c>
      <c r="T380">
        <v>8834</v>
      </c>
      <c r="U380">
        <v>24666</v>
      </c>
      <c r="V380">
        <v>1</v>
      </c>
      <c r="W380" t="s">
        <v>29</v>
      </c>
      <c r="X380" t="s">
        <v>9</v>
      </c>
      <c r="Y380">
        <v>13</v>
      </c>
      <c r="Z380">
        <v>3</v>
      </c>
      <c r="AA380">
        <v>4</v>
      </c>
      <c r="AB380">
        <v>80</v>
      </c>
      <c r="AC380">
        <v>1</v>
      </c>
      <c r="AD380">
        <v>9</v>
      </c>
      <c r="AE380">
        <v>6</v>
      </c>
      <c r="AF380">
        <v>3</v>
      </c>
      <c r="AG380">
        <v>9</v>
      </c>
      <c r="AH380">
        <v>5</v>
      </c>
      <c r="AI380">
        <v>7</v>
      </c>
      <c r="AJ380">
        <v>7</v>
      </c>
    </row>
    <row r="381" spans="1:36" x14ac:dyDescent="0.25">
      <c r="A381">
        <v>252</v>
      </c>
      <c r="B381">
        <v>36</v>
      </c>
      <c r="C381" t="s">
        <v>9</v>
      </c>
      <c r="D381" t="s">
        <v>16</v>
      </c>
      <c r="E381">
        <v>1229</v>
      </c>
      <c r="F381" t="s">
        <v>118</v>
      </c>
      <c r="G381">
        <v>8</v>
      </c>
      <c r="H381">
        <v>4</v>
      </c>
      <c r="I381" t="s">
        <v>22</v>
      </c>
      <c r="J381">
        <v>1</v>
      </c>
      <c r="K381">
        <v>990</v>
      </c>
      <c r="L381">
        <v>1</v>
      </c>
      <c r="M381" t="s">
        <v>23</v>
      </c>
      <c r="N381">
        <v>84</v>
      </c>
      <c r="O381">
        <v>3</v>
      </c>
      <c r="P381">
        <v>2</v>
      </c>
      <c r="Q381" t="s">
        <v>25</v>
      </c>
      <c r="R381">
        <v>4</v>
      </c>
      <c r="S381" t="s">
        <v>26</v>
      </c>
      <c r="T381">
        <v>5079</v>
      </c>
      <c r="U381">
        <v>25952</v>
      </c>
      <c r="V381">
        <v>4</v>
      </c>
      <c r="W381" t="s">
        <v>29</v>
      </c>
      <c r="X381" t="s">
        <v>9</v>
      </c>
      <c r="Y381">
        <v>13</v>
      </c>
      <c r="Z381">
        <v>3</v>
      </c>
      <c r="AA381">
        <v>4</v>
      </c>
      <c r="AB381">
        <v>80</v>
      </c>
      <c r="AC381">
        <v>2</v>
      </c>
      <c r="AD381">
        <v>12</v>
      </c>
      <c r="AE381">
        <v>3</v>
      </c>
      <c r="AF381">
        <v>3</v>
      </c>
      <c r="AG381">
        <v>7</v>
      </c>
      <c r="AH381">
        <v>7</v>
      </c>
      <c r="AI381">
        <v>0</v>
      </c>
      <c r="AJ381">
        <v>7</v>
      </c>
    </row>
    <row r="382" spans="1:36" x14ac:dyDescent="0.25">
      <c r="A382">
        <v>509</v>
      </c>
      <c r="B382">
        <v>37</v>
      </c>
      <c r="C382" t="s">
        <v>9</v>
      </c>
      <c r="D382" t="s">
        <v>11</v>
      </c>
      <c r="E382">
        <v>319</v>
      </c>
      <c r="F382" t="s">
        <v>118</v>
      </c>
      <c r="G382">
        <v>4</v>
      </c>
      <c r="H382">
        <v>4</v>
      </c>
      <c r="I382" t="s">
        <v>18</v>
      </c>
      <c r="J382">
        <v>1</v>
      </c>
      <c r="K382">
        <v>311</v>
      </c>
      <c r="L382">
        <v>1</v>
      </c>
      <c r="M382" t="s">
        <v>23</v>
      </c>
      <c r="N382">
        <v>41</v>
      </c>
      <c r="O382">
        <v>3</v>
      </c>
      <c r="P382">
        <v>1</v>
      </c>
      <c r="Q382" t="s">
        <v>33</v>
      </c>
      <c r="R382">
        <v>4</v>
      </c>
      <c r="S382" t="s">
        <v>26</v>
      </c>
      <c r="T382">
        <v>2793</v>
      </c>
      <c r="U382">
        <v>2539</v>
      </c>
      <c r="V382">
        <v>4</v>
      </c>
      <c r="W382" t="s">
        <v>29</v>
      </c>
      <c r="X382" t="s">
        <v>9</v>
      </c>
      <c r="Y382">
        <v>17</v>
      </c>
      <c r="Z382">
        <v>3</v>
      </c>
      <c r="AA382">
        <v>3</v>
      </c>
      <c r="AB382">
        <v>80</v>
      </c>
      <c r="AC382">
        <v>1</v>
      </c>
      <c r="AD382">
        <v>13</v>
      </c>
      <c r="AE382">
        <v>2</v>
      </c>
      <c r="AF382">
        <v>3</v>
      </c>
      <c r="AG382">
        <v>9</v>
      </c>
      <c r="AH382">
        <v>8</v>
      </c>
      <c r="AI382">
        <v>5</v>
      </c>
      <c r="AJ382">
        <v>8</v>
      </c>
    </row>
    <row r="383" spans="1:36" x14ac:dyDescent="0.25">
      <c r="A383">
        <v>481</v>
      </c>
      <c r="B383">
        <v>29</v>
      </c>
      <c r="C383" t="s">
        <v>9</v>
      </c>
      <c r="D383" t="s">
        <v>15</v>
      </c>
      <c r="E383">
        <v>136</v>
      </c>
      <c r="F383" t="s">
        <v>119</v>
      </c>
      <c r="G383">
        <v>1</v>
      </c>
      <c r="H383">
        <v>3</v>
      </c>
      <c r="I383" t="s">
        <v>21</v>
      </c>
      <c r="J383">
        <v>1</v>
      </c>
      <c r="K383">
        <v>1954</v>
      </c>
      <c r="L383">
        <v>1</v>
      </c>
      <c r="M383" t="s">
        <v>23</v>
      </c>
      <c r="N383">
        <v>89</v>
      </c>
      <c r="O383">
        <v>3</v>
      </c>
      <c r="P383">
        <v>2</v>
      </c>
      <c r="Q383" t="s">
        <v>34</v>
      </c>
      <c r="R383">
        <v>1</v>
      </c>
      <c r="S383" t="s">
        <v>28</v>
      </c>
      <c r="T383">
        <v>5373</v>
      </c>
      <c r="U383">
        <v>6225</v>
      </c>
      <c r="V383">
        <v>0</v>
      </c>
      <c r="W383" t="s">
        <v>29</v>
      </c>
      <c r="X383" t="s">
        <v>9</v>
      </c>
      <c r="Y383">
        <v>12</v>
      </c>
      <c r="Z383">
        <v>3</v>
      </c>
      <c r="AA383">
        <v>1</v>
      </c>
      <c r="AB383">
        <v>80</v>
      </c>
      <c r="AC383">
        <v>1</v>
      </c>
      <c r="AD383">
        <v>6</v>
      </c>
      <c r="AE383">
        <v>5</v>
      </c>
      <c r="AF383">
        <v>2</v>
      </c>
      <c r="AG383">
        <v>5</v>
      </c>
      <c r="AH383">
        <v>3</v>
      </c>
      <c r="AI383">
        <v>0</v>
      </c>
      <c r="AJ383">
        <v>2</v>
      </c>
    </row>
    <row r="384" spans="1:36" x14ac:dyDescent="0.25">
      <c r="A384">
        <v>683</v>
      </c>
      <c r="B384">
        <v>36</v>
      </c>
      <c r="C384" t="s">
        <v>9</v>
      </c>
      <c r="D384" t="s">
        <v>15</v>
      </c>
      <c r="E384">
        <v>1351</v>
      </c>
      <c r="F384" t="s">
        <v>119</v>
      </c>
      <c r="G384">
        <v>26</v>
      </c>
      <c r="H384">
        <v>4</v>
      </c>
      <c r="I384" t="s">
        <v>21</v>
      </c>
      <c r="J384">
        <v>1</v>
      </c>
      <c r="K384">
        <v>1682</v>
      </c>
      <c r="L384">
        <v>1</v>
      </c>
      <c r="M384" t="s">
        <v>23</v>
      </c>
      <c r="N384">
        <v>80</v>
      </c>
      <c r="O384">
        <v>3</v>
      </c>
      <c r="P384">
        <v>2</v>
      </c>
      <c r="Q384" t="s">
        <v>34</v>
      </c>
      <c r="R384">
        <v>3</v>
      </c>
      <c r="S384" t="s">
        <v>28</v>
      </c>
      <c r="T384">
        <v>5347</v>
      </c>
      <c r="U384">
        <v>7419</v>
      </c>
      <c r="V384">
        <v>6</v>
      </c>
      <c r="W384" t="s">
        <v>29</v>
      </c>
      <c r="X384" t="s">
        <v>9</v>
      </c>
      <c r="Y384">
        <v>14</v>
      </c>
      <c r="Z384">
        <v>3</v>
      </c>
      <c r="AA384">
        <v>2</v>
      </c>
      <c r="AB384">
        <v>80</v>
      </c>
      <c r="AC384">
        <v>2</v>
      </c>
      <c r="AD384">
        <v>10</v>
      </c>
      <c r="AE384">
        <v>2</v>
      </c>
      <c r="AF384">
        <v>2</v>
      </c>
      <c r="AG384">
        <v>3</v>
      </c>
      <c r="AH384">
        <v>2</v>
      </c>
      <c r="AI384">
        <v>0</v>
      </c>
      <c r="AJ384">
        <v>2</v>
      </c>
    </row>
    <row r="385" spans="1:36" x14ac:dyDescent="0.25">
      <c r="A385">
        <v>656</v>
      </c>
      <c r="B385">
        <v>26</v>
      </c>
      <c r="C385" t="s">
        <v>9</v>
      </c>
      <c r="D385" t="s">
        <v>11</v>
      </c>
      <c r="E385">
        <v>496</v>
      </c>
      <c r="F385" t="s">
        <v>119</v>
      </c>
      <c r="G385">
        <v>11</v>
      </c>
      <c r="H385">
        <v>2</v>
      </c>
      <c r="I385" t="s">
        <v>17</v>
      </c>
      <c r="J385">
        <v>1</v>
      </c>
      <c r="K385">
        <v>390</v>
      </c>
      <c r="L385">
        <v>1</v>
      </c>
      <c r="M385" t="s">
        <v>23</v>
      </c>
      <c r="N385">
        <v>60</v>
      </c>
      <c r="O385">
        <v>3</v>
      </c>
      <c r="P385">
        <v>2</v>
      </c>
      <c r="Q385" t="s">
        <v>34</v>
      </c>
      <c r="R385">
        <v>1</v>
      </c>
      <c r="S385" t="s">
        <v>28</v>
      </c>
      <c r="T385">
        <v>4741</v>
      </c>
      <c r="U385">
        <v>22722</v>
      </c>
      <c r="V385">
        <v>1</v>
      </c>
      <c r="W385" t="s">
        <v>29</v>
      </c>
      <c r="X385" t="s">
        <v>10</v>
      </c>
      <c r="Y385">
        <v>13</v>
      </c>
      <c r="Z385">
        <v>3</v>
      </c>
      <c r="AA385">
        <v>3</v>
      </c>
      <c r="AB385">
        <v>80</v>
      </c>
      <c r="AC385">
        <v>1</v>
      </c>
      <c r="AD385">
        <v>5</v>
      </c>
      <c r="AE385">
        <v>3</v>
      </c>
      <c r="AF385">
        <v>3</v>
      </c>
      <c r="AG385">
        <v>5</v>
      </c>
      <c r="AH385">
        <v>3</v>
      </c>
      <c r="AI385">
        <v>3</v>
      </c>
      <c r="AJ385">
        <v>3</v>
      </c>
    </row>
    <row r="386" spans="1:36" x14ac:dyDescent="0.25">
      <c r="A386">
        <v>758</v>
      </c>
      <c r="B386">
        <v>49</v>
      </c>
      <c r="C386" t="s">
        <v>9</v>
      </c>
      <c r="D386" t="s">
        <v>15</v>
      </c>
      <c r="E386">
        <v>1495</v>
      </c>
      <c r="F386" t="s">
        <v>119</v>
      </c>
      <c r="G386">
        <v>5</v>
      </c>
      <c r="H386">
        <v>4</v>
      </c>
      <c r="I386" t="s">
        <v>22</v>
      </c>
      <c r="J386">
        <v>1</v>
      </c>
      <c r="K386">
        <v>1473</v>
      </c>
      <c r="L386">
        <v>1</v>
      </c>
      <c r="M386" t="s">
        <v>23</v>
      </c>
      <c r="N386">
        <v>96</v>
      </c>
      <c r="O386">
        <v>3</v>
      </c>
      <c r="P386">
        <v>2</v>
      </c>
      <c r="Q386" t="s">
        <v>34</v>
      </c>
      <c r="R386">
        <v>3</v>
      </c>
      <c r="S386" t="s">
        <v>28</v>
      </c>
      <c r="T386">
        <v>6651</v>
      </c>
      <c r="U386">
        <v>21534</v>
      </c>
      <c r="V386">
        <v>2</v>
      </c>
      <c r="W386" t="s">
        <v>29</v>
      </c>
      <c r="X386" t="s">
        <v>9</v>
      </c>
      <c r="Y386">
        <v>14</v>
      </c>
      <c r="Z386">
        <v>3</v>
      </c>
      <c r="AA386">
        <v>2</v>
      </c>
      <c r="AB386">
        <v>80</v>
      </c>
      <c r="AC386">
        <v>1</v>
      </c>
      <c r="AD386">
        <v>20</v>
      </c>
      <c r="AE386">
        <v>0</v>
      </c>
      <c r="AF386">
        <v>2</v>
      </c>
      <c r="AG386">
        <v>3</v>
      </c>
      <c r="AH386">
        <v>2</v>
      </c>
      <c r="AI386">
        <v>1</v>
      </c>
      <c r="AJ386">
        <v>2</v>
      </c>
    </row>
    <row r="387" spans="1:36" x14ac:dyDescent="0.25">
      <c r="A387">
        <v>411</v>
      </c>
      <c r="B387">
        <v>36</v>
      </c>
      <c r="C387" t="s">
        <v>9</v>
      </c>
      <c r="D387" t="s">
        <v>15</v>
      </c>
      <c r="E387">
        <v>1278</v>
      </c>
      <c r="F387" t="s">
        <v>20</v>
      </c>
      <c r="G387">
        <v>8</v>
      </c>
      <c r="H387">
        <v>3</v>
      </c>
      <c r="I387" t="s">
        <v>21</v>
      </c>
      <c r="J387">
        <v>1</v>
      </c>
      <c r="K387">
        <v>878</v>
      </c>
      <c r="L387">
        <v>1</v>
      </c>
      <c r="M387" t="s">
        <v>23</v>
      </c>
      <c r="N387">
        <v>77</v>
      </c>
      <c r="O387">
        <v>2</v>
      </c>
      <c r="P387">
        <v>1</v>
      </c>
      <c r="Q387" t="s">
        <v>20</v>
      </c>
      <c r="R387">
        <v>1</v>
      </c>
      <c r="S387" t="s">
        <v>28</v>
      </c>
      <c r="T387">
        <v>2342</v>
      </c>
      <c r="U387">
        <v>8635</v>
      </c>
      <c r="V387">
        <v>0</v>
      </c>
      <c r="W387" t="s">
        <v>29</v>
      </c>
      <c r="X387" t="s">
        <v>9</v>
      </c>
      <c r="Y387">
        <v>21</v>
      </c>
      <c r="Z387">
        <v>4</v>
      </c>
      <c r="AA387">
        <v>3</v>
      </c>
      <c r="AB387">
        <v>80</v>
      </c>
      <c r="AC387">
        <v>0</v>
      </c>
      <c r="AD387">
        <v>6</v>
      </c>
      <c r="AE387">
        <v>3</v>
      </c>
      <c r="AF387">
        <v>3</v>
      </c>
      <c r="AG387">
        <v>5</v>
      </c>
      <c r="AH387">
        <v>4</v>
      </c>
      <c r="AI387">
        <v>0</v>
      </c>
      <c r="AJ387">
        <v>3</v>
      </c>
    </row>
    <row r="388" spans="1:36" x14ac:dyDescent="0.25">
      <c r="A388" s="15">
        <v>236</v>
      </c>
      <c r="B388" s="15">
        <v>37</v>
      </c>
      <c r="C388" s="15" t="s">
        <v>10</v>
      </c>
      <c r="D388" s="15" t="s">
        <v>15</v>
      </c>
      <c r="E388" s="15">
        <v>625</v>
      </c>
      <c r="F388" s="15" t="s">
        <v>118</v>
      </c>
      <c r="G388" s="15">
        <v>1</v>
      </c>
      <c r="H388" s="15">
        <v>4</v>
      </c>
      <c r="I388" s="15" t="s">
        <v>21</v>
      </c>
      <c r="J388" s="15">
        <v>1</v>
      </c>
      <c r="K388" s="15">
        <v>970</v>
      </c>
      <c r="L388" s="15">
        <v>1</v>
      </c>
      <c r="M388" s="15" t="s">
        <v>23</v>
      </c>
      <c r="N388" s="15">
        <v>46</v>
      </c>
      <c r="O388" s="15">
        <v>2</v>
      </c>
      <c r="P388" s="15">
        <v>3</v>
      </c>
      <c r="Q388" s="15" t="s">
        <v>25</v>
      </c>
      <c r="R388" s="15">
        <v>3</v>
      </c>
      <c r="S388" s="15" t="s">
        <v>28</v>
      </c>
      <c r="T388" s="15">
        <v>10609</v>
      </c>
      <c r="U388" s="15">
        <v>14922</v>
      </c>
      <c r="V388" s="15">
        <v>5</v>
      </c>
      <c r="W388" s="15" t="s">
        <v>29</v>
      </c>
      <c r="X388" s="15" t="s">
        <v>9</v>
      </c>
      <c r="Y388" s="15">
        <v>11</v>
      </c>
      <c r="Z388" s="15">
        <v>3</v>
      </c>
      <c r="AA388" s="15">
        <v>3</v>
      </c>
      <c r="AB388" s="15">
        <v>80</v>
      </c>
      <c r="AC388" s="15">
        <v>0</v>
      </c>
      <c r="AD388" s="15">
        <v>17</v>
      </c>
      <c r="AE388" s="15">
        <v>2</v>
      </c>
      <c r="AF388" s="15">
        <v>1</v>
      </c>
      <c r="AG388" s="15">
        <v>14</v>
      </c>
      <c r="AH388" s="15">
        <v>1</v>
      </c>
      <c r="AI388" s="15">
        <v>11</v>
      </c>
      <c r="AJ388" s="15">
        <v>7</v>
      </c>
    </row>
    <row r="389" spans="1:36" x14ac:dyDescent="0.25">
      <c r="A389" s="15">
        <v>692</v>
      </c>
      <c r="B389" s="15">
        <v>47</v>
      </c>
      <c r="C389" s="15" t="s">
        <v>10</v>
      </c>
      <c r="D389" s="15" t="s">
        <v>16</v>
      </c>
      <c r="E389" s="15">
        <v>666</v>
      </c>
      <c r="F389" s="15" t="s">
        <v>119</v>
      </c>
      <c r="G389" s="15">
        <v>29</v>
      </c>
      <c r="H389" s="15">
        <v>4</v>
      </c>
      <c r="I389" s="15" t="s">
        <v>21</v>
      </c>
      <c r="J389" s="15">
        <v>1</v>
      </c>
      <c r="K389" s="15">
        <v>376</v>
      </c>
      <c r="L389" s="15">
        <v>1</v>
      </c>
      <c r="M389" s="15" t="s">
        <v>23</v>
      </c>
      <c r="N389" s="15">
        <v>88</v>
      </c>
      <c r="O389" s="15">
        <v>3</v>
      </c>
      <c r="P389" s="15">
        <v>3</v>
      </c>
      <c r="Q389" s="15" t="s">
        <v>35</v>
      </c>
      <c r="R389" s="15">
        <v>2</v>
      </c>
      <c r="S389" s="15" t="s">
        <v>28</v>
      </c>
      <c r="T389" s="15">
        <v>11849</v>
      </c>
      <c r="U389" s="15">
        <v>10268</v>
      </c>
      <c r="V389" s="15">
        <v>1</v>
      </c>
      <c r="W389" s="15" t="s">
        <v>29</v>
      </c>
      <c r="X389" s="15" t="s">
        <v>10</v>
      </c>
      <c r="Y389" s="15">
        <v>12</v>
      </c>
      <c r="Z389" s="15">
        <v>3</v>
      </c>
      <c r="AA389" s="15">
        <v>4</v>
      </c>
      <c r="AB389" s="15">
        <v>80</v>
      </c>
      <c r="AC389" s="15">
        <v>1</v>
      </c>
      <c r="AD389" s="15">
        <v>10</v>
      </c>
      <c r="AE389" s="15">
        <v>2</v>
      </c>
      <c r="AF389" s="15">
        <v>2</v>
      </c>
      <c r="AG389" s="15">
        <v>10</v>
      </c>
      <c r="AH389" s="15">
        <v>7</v>
      </c>
      <c r="AI389" s="15">
        <v>9</v>
      </c>
      <c r="AJ389" s="15">
        <v>9</v>
      </c>
    </row>
    <row r="390" spans="1:36" x14ac:dyDescent="0.25">
      <c r="A390" s="15">
        <v>300</v>
      </c>
      <c r="B390" s="15">
        <v>28</v>
      </c>
      <c r="C390" s="15" t="s">
        <v>10</v>
      </c>
      <c r="D390" s="15" t="s">
        <v>15</v>
      </c>
      <c r="E390" s="15">
        <v>1157</v>
      </c>
      <c r="F390" s="15" t="s">
        <v>119</v>
      </c>
      <c r="G390" s="15">
        <v>2</v>
      </c>
      <c r="H390" s="15">
        <v>4</v>
      </c>
      <c r="I390" s="15" t="s">
        <v>17</v>
      </c>
      <c r="J390" s="15">
        <v>1</v>
      </c>
      <c r="K390" s="15">
        <v>440</v>
      </c>
      <c r="L390" s="15">
        <v>1</v>
      </c>
      <c r="M390" s="15" t="s">
        <v>23</v>
      </c>
      <c r="N390" s="15">
        <v>84</v>
      </c>
      <c r="O390" s="15">
        <v>1</v>
      </c>
      <c r="P390" s="15">
        <v>1</v>
      </c>
      <c r="Q390" s="15" t="s">
        <v>32</v>
      </c>
      <c r="R390" s="15">
        <v>4</v>
      </c>
      <c r="S390" s="15" t="s">
        <v>28</v>
      </c>
      <c r="T390" s="15">
        <v>3464</v>
      </c>
      <c r="U390" s="15">
        <v>24737</v>
      </c>
      <c r="V390" s="15">
        <v>5</v>
      </c>
      <c r="W390" s="15" t="s">
        <v>29</v>
      </c>
      <c r="X390" s="15" t="s">
        <v>10</v>
      </c>
      <c r="Y390" s="15">
        <v>13</v>
      </c>
      <c r="Z390" s="15">
        <v>3</v>
      </c>
      <c r="AA390" s="15">
        <v>4</v>
      </c>
      <c r="AB390" s="15">
        <v>80</v>
      </c>
      <c r="AC390" s="15">
        <v>0</v>
      </c>
      <c r="AD390" s="15">
        <v>5</v>
      </c>
      <c r="AE390" s="15">
        <v>4</v>
      </c>
      <c r="AF390" s="15">
        <v>2</v>
      </c>
      <c r="AG390" s="15">
        <v>3</v>
      </c>
      <c r="AH390" s="15">
        <v>2</v>
      </c>
      <c r="AI390" s="15">
        <v>2</v>
      </c>
      <c r="AJ390" s="15">
        <v>2</v>
      </c>
    </row>
    <row r="391" spans="1:36" x14ac:dyDescent="0.25">
      <c r="A391">
        <v>306</v>
      </c>
      <c r="B391">
        <v>24</v>
      </c>
      <c r="C391" t="s">
        <v>9</v>
      </c>
      <c r="D391" t="s">
        <v>16</v>
      </c>
      <c r="E391">
        <v>1269</v>
      </c>
      <c r="F391" t="s">
        <v>119</v>
      </c>
      <c r="G391">
        <v>4</v>
      </c>
      <c r="H391">
        <v>1</v>
      </c>
      <c r="I391" t="s">
        <v>21</v>
      </c>
      <c r="J391">
        <v>1</v>
      </c>
      <c r="K391">
        <v>888</v>
      </c>
      <c r="L391">
        <v>1</v>
      </c>
      <c r="M391" t="s">
        <v>23</v>
      </c>
      <c r="N391">
        <v>46</v>
      </c>
      <c r="O391">
        <v>2</v>
      </c>
      <c r="P391">
        <v>1</v>
      </c>
      <c r="Q391" t="s">
        <v>36</v>
      </c>
      <c r="R391">
        <v>4</v>
      </c>
      <c r="S391" t="s">
        <v>28</v>
      </c>
      <c r="T391">
        <v>3162</v>
      </c>
      <c r="U391">
        <v>10778</v>
      </c>
      <c r="V391">
        <v>0</v>
      </c>
      <c r="W391" t="s">
        <v>29</v>
      </c>
      <c r="X391" t="s">
        <v>9</v>
      </c>
      <c r="Y391">
        <v>17</v>
      </c>
      <c r="Z391">
        <v>3</v>
      </c>
      <c r="AA391">
        <v>4</v>
      </c>
      <c r="AB391">
        <v>80</v>
      </c>
      <c r="AC391">
        <v>0</v>
      </c>
      <c r="AD391">
        <v>6</v>
      </c>
      <c r="AE391">
        <v>2</v>
      </c>
      <c r="AF391">
        <v>2</v>
      </c>
      <c r="AG391">
        <v>5</v>
      </c>
      <c r="AH391">
        <v>2</v>
      </c>
      <c r="AI391">
        <v>3</v>
      </c>
      <c r="AJ391">
        <v>4</v>
      </c>
    </row>
    <row r="392" spans="1:36" x14ac:dyDescent="0.25">
      <c r="A392">
        <v>307</v>
      </c>
      <c r="B392">
        <v>50</v>
      </c>
      <c r="C392" t="s">
        <v>9</v>
      </c>
      <c r="D392" t="s">
        <v>15</v>
      </c>
      <c r="E392">
        <v>804</v>
      </c>
      <c r="F392" t="s">
        <v>119</v>
      </c>
      <c r="G392">
        <v>9</v>
      </c>
      <c r="H392">
        <v>3</v>
      </c>
      <c r="I392" t="s">
        <v>21</v>
      </c>
      <c r="J392">
        <v>1</v>
      </c>
      <c r="K392">
        <v>1030</v>
      </c>
      <c r="L392">
        <v>1</v>
      </c>
      <c r="M392" t="s">
        <v>23</v>
      </c>
      <c r="N392">
        <v>64</v>
      </c>
      <c r="O392">
        <v>3</v>
      </c>
      <c r="P392">
        <v>1</v>
      </c>
      <c r="Q392" t="s">
        <v>36</v>
      </c>
      <c r="R392">
        <v>4</v>
      </c>
      <c r="S392" t="s">
        <v>28</v>
      </c>
      <c r="T392">
        <v>2380</v>
      </c>
      <c r="U392">
        <v>20165</v>
      </c>
      <c r="V392">
        <v>4</v>
      </c>
      <c r="W392" t="s">
        <v>29</v>
      </c>
      <c r="X392" t="s">
        <v>9</v>
      </c>
      <c r="Y392">
        <v>18</v>
      </c>
      <c r="Z392">
        <v>3</v>
      </c>
      <c r="AA392">
        <v>2</v>
      </c>
      <c r="AB392">
        <v>80</v>
      </c>
      <c r="AC392">
        <v>0</v>
      </c>
      <c r="AD392">
        <v>8</v>
      </c>
      <c r="AE392">
        <v>5</v>
      </c>
      <c r="AF392">
        <v>3</v>
      </c>
      <c r="AG392">
        <v>1</v>
      </c>
      <c r="AH392">
        <v>0</v>
      </c>
      <c r="AI392">
        <v>0</v>
      </c>
      <c r="AJ392">
        <v>0</v>
      </c>
    </row>
    <row r="393" spans="1:36" x14ac:dyDescent="0.25">
      <c r="A393">
        <v>661</v>
      </c>
      <c r="B393">
        <v>32</v>
      </c>
      <c r="C393" t="s">
        <v>9</v>
      </c>
      <c r="D393" t="s">
        <v>11</v>
      </c>
      <c r="E393">
        <v>430</v>
      </c>
      <c r="F393" t="s">
        <v>119</v>
      </c>
      <c r="G393">
        <v>24</v>
      </c>
      <c r="H393">
        <v>4</v>
      </c>
      <c r="I393" t="s">
        <v>21</v>
      </c>
      <c r="J393">
        <v>1</v>
      </c>
      <c r="K393">
        <v>772</v>
      </c>
      <c r="L393">
        <v>1</v>
      </c>
      <c r="M393" t="s">
        <v>23</v>
      </c>
      <c r="N393">
        <v>80</v>
      </c>
      <c r="O393">
        <v>3</v>
      </c>
      <c r="P393">
        <v>2</v>
      </c>
      <c r="Q393" t="s">
        <v>36</v>
      </c>
      <c r="R393">
        <v>4</v>
      </c>
      <c r="S393" t="s">
        <v>28</v>
      </c>
      <c r="T393">
        <v>5309</v>
      </c>
      <c r="U393">
        <v>21146</v>
      </c>
      <c r="V393">
        <v>1</v>
      </c>
      <c r="W393" t="s">
        <v>29</v>
      </c>
      <c r="X393" t="s">
        <v>9</v>
      </c>
      <c r="Y393">
        <v>15</v>
      </c>
      <c r="Z393">
        <v>3</v>
      </c>
      <c r="AA393">
        <v>4</v>
      </c>
      <c r="AB393">
        <v>80</v>
      </c>
      <c r="AC393">
        <v>2</v>
      </c>
      <c r="AD393">
        <v>10</v>
      </c>
      <c r="AE393">
        <v>2</v>
      </c>
      <c r="AF393">
        <v>3</v>
      </c>
      <c r="AG393">
        <v>10</v>
      </c>
      <c r="AH393">
        <v>8</v>
      </c>
      <c r="AI393">
        <v>4</v>
      </c>
      <c r="AJ393">
        <v>7</v>
      </c>
    </row>
    <row r="394" spans="1:36" x14ac:dyDescent="0.25">
      <c r="A394">
        <v>106</v>
      </c>
      <c r="B394">
        <v>26</v>
      </c>
      <c r="C394" t="s">
        <v>9</v>
      </c>
      <c r="D394" t="s">
        <v>15</v>
      </c>
      <c r="E394">
        <v>1384</v>
      </c>
      <c r="F394" t="s">
        <v>119</v>
      </c>
      <c r="G394">
        <v>3</v>
      </c>
      <c r="H394">
        <v>4</v>
      </c>
      <c r="I394" t="s">
        <v>17</v>
      </c>
      <c r="J394">
        <v>1</v>
      </c>
      <c r="K394">
        <v>1177</v>
      </c>
      <c r="L394">
        <v>1</v>
      </c>
      <c r="M394" t="s">
        <v>23</v>
      </c>
      <c r="N394">
        <v>82</v>
      </c>
      <c r="O394">
        <v>4</v>
      </c>
      <c r="P394">
        <v>1</v>
      </c>
      <c r="Q394" t="s">
        <v>36</v>
      </c>
      <c r="R394">
        <v>4</v>
      </c>
      <c r="S394" t="s">
        <v>28</v>
      </c>
      <c r="T394">
        <v>4420</v>
      </c>
      <c r="U394">
        <v>13421</v>
      </c>
      <c r="V394">
        <v>1</v>
      </c>
      <c r="W394" t="s">
        <v>29</v>
      </c>
      <c r="X394" t="s">
        <v>9</v>
      </c>
      <c r="Y394">
        <v>22</v>
      </c>
      <c r="Z394">
        <v>4</v>
      </c>
      <c r="AA394">
        <v>2</v>
      </c>
      <c r="AB394">
        <v>80</v>
      </c>
      <c r="AC394">
        <v>1</v>
      </c>
      <c r="AD394">
        <v>8</v>
      </c>
      <c r="AE394">
        <v>2</v>
      </c>
      <c r="AF394">
        <v>3</v>
      </c>
      <c r="AG394">
        <v>8</v>
      </c>
      <c r="AH394">
        <v>7</v>
      </c>
      <c r="AI394">
        <v>0</v>
      </c>
      <c r="AJ394">
        <v>7</v>
      </c>
    </row>
    <row r="395" spans="1:36" x14ac:dyDescent="0.25">
      <c r="A395">
        <v>266</v>
      </c>
      <c r="B395">
        <v>35</v>
      </c>
      <c r="C395" t="s">
        <v>9</v>
      </c>
      <c r="D395" t="s">
        <v>15</v>
      </c>
      <c r="E395">
        <v>809</v>
      </c>
      <c r="F395" t="s">
        <v>119</v>
      </c>
      <c r="G395">
        <v>16</v>
      </c>
      <c r="H395">
        <v>3</v>
      </c>
      <c r="I395" t="s">
        <v>17</v>
      </c>
      <c r="J395">
        <v>1</v>
      </c>
      <c r="K395">
        <v>14</v>
      </c>
      <c r="L395">
        <v>1</v>
      </c>
      <c r="M395" t="s">
        <v>23</v>
      </c>
      <c r="N395">
        <v>84</v>
      </c>
      <c r="O395">
        <v>4</v>
      </c>
      <c r="P395">
        <v>1</v>
      </c>
      <c r="Q395" t="s">
        <v>36</v>
      </c>
      <c r="R395">
        <v>2</v>
      </c>
      <c r="S395" t="s">
        <v>28</v>
      </c>
      <c r="T395">
        <v>2426</v>
      </c>
      <c r="U395">
        <v>16479</v>
      </c>
      <c r="V395">
        <v>0</v>
      </c>
      <c r="W395" t="s">
        <v>29</v>
      </c>
      <c r="X395" t="s">
        <v>9</v>
      </c>
      <c r="Y395">
        <v>13</v>
      </c>
      <c r="Z395">
        <v>3</v>
      </c>
      <c r="AA395">
        <v>3</v>
      </c>
      <c r="AB395">
        <v>80</v>
      </c>
      <c r="AC395">
        <v>1</v>
      </c>
      <c r="AD395">
        <v>6</v>
      </c>
      <c r="AE395">
        <v>5</v>
      </c>
      <c r="AF395">
        <v>3</v>
      </c>
      <c r="AG395">
        <v>5</v>
      </c>
      <c r="AH395">
        <v>4</v>
      </c>
      <c r="AI395">
        <v>0</v>
      </c>
      <c r="AJ395">
        <v>3</v>
      </c>
    </row>
    <row r="396" spans="1:36" x14ac:dyDescent="0.25">
      <c r="A396">
        <v>812</v>
      </c>
      <c r="B396">
        <v>25</v>
      </c>
      <c r="C396" t="s">
        <v>9</v>
      </c>
      <c r="D396" t="s">
        <v>15</v>
      </c>
      <c r="E396">
        <v>949</v>
      </c>
      <c r="F396" t="s">
        <v>119</v>
      </c>
      <c r="G396">
        <v>1</v>
      </c>
      <c r="H396">
        <v>3</v>
      </c>
      <c r="I396" t="s">
        <v>22</v>
      </c>
      <c r="J396">
        <v>1</v>
      </c>
      <c r="K396">
        <v>1415</v>
      </c>
      <c r="L396">
        <v>1</v>
      </c>
      <c r="M396" t="s">
        <v>23</v>
      </c>
      <c r="N396">
        <v>81</v>
      </c>
      <c r="O396">
        <v>3</v>
      </c>
      <c r="P396">
        <v>1</v>
      </c>
      <c r="Q396" t="s">
        <v>36</v>
      </c>
      <c r="R396">
        <v>4</v>
      </c>
      <c r="S396" t="s">
        <v>28</v>
      </c>
      <c r="T396">
        <v>3229</v>
      </c>
      <c r="U396">
        <v>4910</v>
      </c>
      <c r="V396">
        <v>4</v>
      </c>
      <c r="W396" t="s">
        <v>29</v>
      </c>
      <c r="X396" t="s">
        <v>9</v>
      </c>
      <c r="Y396">
        <v>11</v>
      </c>
      <c r="Z396">
        <v>3</v>
      </c>
      <c r="AA396">
        <v>2</v>
      </c>
      <c r="AB396">
        <v>80</v>
      </c>
      <c r="AC396">
        <v>1</v>
      </c>
      <c r="AD396">
        <v>7</v>
      </c>
      <c r="AE396">
        <v>2</v>
      </c>
      <c r="AF396">
        <v>2</v>
      </c>
      <c r="AG396">
        <v>3</v>
      </c>
      <c r="AH396">
        <v>2</v>
      </c>
      <c r="AI396">
        <v>0</v>
      </c>
      <c r="AJ396">
        <v>2</v>
      </c>
    </row>
    <row r="397" spans="1:36" x14ac:dyDescent="0.25">
      <c r="A397">
        <v>237</v>
      </c>
      <c r="B397">
        <v>42</v>
      </c>
      <c r="C397" t="s">
        <v>9</v>
      </c>
      <c r="D397" t="s">
        <v>15</v>
      </c>
      <c r="E397">
        <v>300</v>
      </c>
      <c r="F397" t="s">
        <v>119</v>
      </c>
      <c r="G397">
        <v>2</v>
      </c>
      <c r="H397">
        <v>3</v>
      </c>
      <c r="I397" t="s">
        <v>21</v>
      </c>
      <c r="J397">
        <v>1</v>
      </c>
      <c r="K397">
        <v>2031</v>
      </c>
      <c r="L397">
        <v>1</v>
      </c>
      <c r="M397" t="s">
        <v>23</v>
      </c>
      <c r="N397">
        <v>56</v>
      </c>
      <c r="O397">
        <v>3</v>
      </c>
      <c r="P397">
        <v>5</v>
      </c>
      <c r="Q397" t="s">
        <v>35</v>
      </c>
      <c r="R397">
        <v>3</v>
      </c>
      <c r="S397" t="s">
        <v>28</v>
      </c>
      <c r="T397">
        <v>18880</v>
      </c>
      <c r="U397">
        <v>17312</v>
      </c>
      <c r="V397">
        <v>5</v>
      </c>
      <c r="W397" t="s">
        <v>29</v>
      </c>
      <c r="X397" t="s">
        <v>9</v>
      </c>
      <c r="Y397">
        <v>11</v>
      </c>
      <c r="Z397">
        <v>3</v>
      </c>
      <c r="AA397">
        <v>1</v>
      </c>
      <c r="AB397">
        <v>80</v>
      </c>
      <c r="AC397">
        <v>0</v>
      </c>
      <c r="AD397">
        <v>24</v>
      </c>
      <c r="AE397">
        <v>2</v>
      </c>
      <c r="AF397">
        <v>2</v>
      </c>
      <c r="AG397">
        <v>22</v>
      </c>
      <c r="AH397">
        <v>6</v>
      </c>
      <c r="AI397">
        <v>4</v>
      </c>
      <c r="AJ397">
        <v>14</v>
      </c>
    </row>
    <row r="398" spans="1:36" x14ac:dyDescent="0.25">
      <c r="A398">
        <v>830</v>
      </c>
      <c r="B398">
        <v>50</v>
      </c>
      <c r="C398" t="s">
        <v>9</v>
      </c>
      <c r="D398" t="s">
        <v>11</v>
      </c>
      <c r="E398">
        <v>1246</v>
      </c>
      <c r="F398" t="s">
        <v>20</v>
      </c>
      <c r="G398">
        <v>3</v>
      </c>
      <c r="H398">
        <v>3</v>
      </c>
      <c r="I398" t="s">
        <v>17</v>
      </c>
      <c r="J398">
        <v>1</v>
      </c>
      <c r="K398">
        <v>644</v>
      </c>
      <c r="L398">
        <v>1</v>
      </c>
      <c r="M398" t="s">
        <v>23</v>
      </c>
      <c r="N398">
        <v>99</v>
      </c>
      <c r="O398">
        <v>3</v>
      </c>
      <c r="P398">
        <v>5</v>
      </c>
      <c r="Q398" t="s">
        <v>35</v>
      </c>
      <c r="R398">
        <v>2</v>
      </c>
      <c r="S398" t="s">
        <v>28</v>
      </c>
      <c r="T398">
        <v>18200</v>
      </c>
      <c r="U398">
        <v>7999</v>
      </c>
      <c r="V398">
        <v>1</v>
      </c>
      <c r="W398" t="s">
        <v>29</v>
      </c>
      <c r="X398" t="s">
        <v>9</v>
      </c>
      <c r="Y398">
        <v>11</v>
      </c>
      <c r="Z398">
        <v>3</v>
      </c>
      <c r="AA398">
        <v>3</v>
      </c>
      <c r="AB398">
        <v>80</v>
      </c>
      <c r="AC398">
        <v>1</v>
      </c>
      <c r="AD398">
        <v>32</v>
      </c>
      <c r="AE398">
        <v>2</v>
      </c>
      <c r="AF398">
        <v>3</v>
      </c>
      <c r="AG398">
        <v>32</v>
      </c>
      <c r="AH398">
        <v>5</v>
      </c>
      <c r="AI398">
        <v>10</v>
      </c>
      <c r="AJ398">
        <v>7</v>
      </c>
    </row>
    <row r="399" spans="1:36" x14ac:dyDescent="0.25">
      <c r="A399">
        <v>83</v>
      </c>
      <c r="B399">
        <v>38</v>
      </c>
      <c r="C399" t="s">
        <v>9</v>
      </c>
      <c r="D399" t="s">
        <v>11</v>
      </c>
      <c r="E399">
        <v>508</v>
      </c>
      <c r="F399" t="s">
        <v>119</v>
      </c>
      <c r="G399">
        <v>6</v>
      </c>
      <c r="H399">
        <v>4</v>
      </c>
      <c r="I399" t="s">
        <v>21</v>
      </c>
      <c r="J399">
        <v>1</v>
      </c>
      <c r="K399">
        <v>1997</v>
      </c>
      <c r="L399">
        <v>1</v>
      </c>
      <c r="M399" t="s">
        <v>23</v>
      </c>
      <c r="N399">
        <v>72</v>
      </c>
      <c r="O399">
        <v>2</v>
      </c>
      <c r="P399">
        <v>2</v>
      </c>
      <c r="Q399" t="s">
        <v>31</v>
      </c>
      <c r="R399">
        <v>3</v>
      </c>
      <c r="S399" t="s">
        <v>28</v>
      </c>
      <c r="T399">
        <v>5321</v>
      </c>
      <c r="U399">
        <v>14284</v>
      </c>
      <c r="V399">
        <v>2</v>
      </c>
      <c r="W399" t="s">
        <v>29</v>
      </c>
      <c r="X399" t="s">
        <v>9</v>
      </c>
      <c r="Y399">
        <v>11</v>
      </c>
      <c r="Z399">
        <v>3</v>
      </c>
      <c r="AA399">
        <v>4</v>
      </c>
      <c r="AB399">
        <v>80</v>
      </c>
      <c r="AC399">
        <v>1</v>
      </c>
      <c r="AD399">
        <v>10</v>
      </c>
      <c r="AE399">
        <v>1</v>
      </c>
      <c r="AF399">
        <v>3</v>
      </c>
      <c r="AG399">
        <v>8</v>
      </c>
      <c r="AH399">
        <v>3</v>
      </c>
      <c r="AI399">
        <v>7</v>
      </c>
      <c r="AJ399">
        <v>7</v>
      </c>
    </row>
    <row r="400" spans="1:36" x14ac:dyDescent="0.25">
      <c r="A400">
        <v>359</v>
      </c>
      <c r="B400">
        <v>32</v>
      </c>
      <c r="C400" t="s">
        <v>9</v>
      </c>
      <c r="D400" t="s">
        <v>15</v>
      </c>
      <c r="E400">
        <v>427</v>
      </c>
      <c r="F400" t="s">
        <v>119</v>
      </c>
      <c r="G400">
        <v>1</v>
      </c>
      <c r="H400">
        <v>3</v>
      </c>
      <c r="I400" t="s">
        <v>17</v>
      </c>
      <c r="J400">
        <v>1</v>
      </c>
      <c r="K400">
        <v>78</v>
      </c>
      <c r="L400">
        <v>1</v>
      </c>
      <c r="M400" t="s">
        <v>23</v>
      </c>
      <c r="N400">
        <v>33</v>
      </c>
      <c r="O400">
        <v>3</v>
      </c>
      <c r="P400">
        <v>2</v>
      </c>
      <c r="Q400" t="s">
        <v>31</v>
      </c>
      <c r="R400">
        <v>4</v>
      </c>
      <c r="S400" t="s">
        <v>28</v>
      </c>
      <c r="T400">
        <v>6162</v>
      </c>
      <c r="U400">
        <v>10877</v>
      </c>
      <c r="V400">
        <v>1</v>
      </c>
      <c r="W400" t="s">
        <v>29</v>
      </c>
      <c r="X400" t="s">
        <v>10</v>
      </c>
      <c r="Y400">
        <v>22</v>
      </c>
      <c r="Z400">
        <v>4</v>
      </c>
      <c r="AA400">
        <v>2</v>
      </c>
      <c r="AB400">
        <v>80</v>
      </c>
      <c r="AC400">
        <v>1</v>
      </c>
      <c r="AD400">
        <v>9</v>
      </c>
      <c r="AE400">
        <v>3</v>
      </c>
      <c r="AF400">
        <v>3</v>
      </c>
      <c r="AG400">
        <v>9</v>
      </c>
      <c r="AH400">
        <v>8</v>
      </c>
      <c r="AI400">
        <v>7</v>
      </c>
      <c r="AJ400">
        <v>8</v>
      </c>
    </row>
    <row r="401" spans="1:36" x14ac:dyDescent="0.25">
      <c r="A401">
        <v>421</v>
      </c>
      <c r="B401">
        <v>34</v>
      </c>
      <c r="C401" t="s">
        <v>9</v>
      </c>
      <c r="D401" t="s">
        <v>15</v>
      </c>
      <c r="E401">
        <v>1153</v>
      </c>
      <c r="F401" t="s">
        <v>119</v>
      </c>
      <c r="G401">
        <v>1</v>
      </c>
      <c r="H401">
        <v>2</v>
      </c>
      <c r="I401" t="s">
        <v>17</v>
      </c>
      <c r="J401">
        <v>1</v>
      </c>
      <c r="K401">
        <v>110</v>
      </c>
      <c r="L401">
        <v>1</v>
      </c>
      <c r="M401" t="s">
        <v>23</v>
      </c>
      <c r="N401">
        <v>94</v>
      </c>
      <c r="O401">
        <v>3</v>
      </c>
      <c r="P401">
        <v>2</v>
      </c>
      <c r="Q401" t="s">
        <v>31</v>
      </c>
      <c r="R401">
        <v>2</v>
      </c>
      <c r="S401" t="s">
        <v>28</v>
      </c>
      <c r="T401">
        <v>4325</v>
      </c>
      <c r="U401">
        <v>17736</v>
      </c>
      <c r="V401">
        <v>1</v>
      </c>
      <c r="W401" t="s">
        <v>29</v>
      </c>
      <c r="X401" t="s">
        <v>9</v>
      </c>
      <c r="Y401">
        <v>15</v>
      </c>
      <c r="Z401">
        <v>3</v>
      </c>
      <c r="AA401">
        <v>3</v>
      </c>
      <c r="AB401">
        <v>80</v>
      </c>
      <c r="AC401">
        <v>0</v>
      </c>
      <c r="AD401">
        <v>5</v>
      </c>
      <c r="AE401">
        <v>2</v>
      </c>
      <c r="AF401">
        <v>3</v>
      </c>
      <c r="AG401">
        <v>5</v>
      </c>
      <c r="AH401">
        <v>2</v>
      </c>
      <c r="AI401">
        <v>1</v>
      </c>
      <c r="AJ401">
        <v>3</v>
      </c>
    </row>
    <row r="402" spans="1:36" x14ac:dyDescent="0.25">
      <c r="A402">
        <v>397</v>
      </c>
      <c r="B402">
        <v>46</v>
      </c>
      <c r="C402" t="s">
        <v>9</v>
      </c>
      <c r="D402" t="s">
        <v>15</v>
      </c>
      <c r="E402">
        <v>1009</v>
      </c>
      <c r="F402" t="s">
        <v>119</v>
      </c>
      <c r="G402">
        <v>2</v>
      </c>
      <c r="H402">
        <v>3</v>
      </c>
      <c r="I402" t="s">
        <v>21</v>
      </c>
      <c r="J402">
        <v>1</v>
      </c>
      <c r="K402">
        <v>575</v>
      </c>
      <c r="L402">
        <v>1</v>
      </c>
      <c r="M402" t="s">
        <v>23</v>
      </c>
      <c r="N402">
        <v>51</v>
      </c>
      <c r="O402">
        <v>3</v>
      </c>
      <c r="P402">
        <v>4</v>
      </c>
      <c r="Q402" t="s">
        <v>30</v>
      </c>
      <c r="R402">
        <v>3</v>
      </c>
      <c r="S402" t="s">
        <v>28</v>
      </c>
      <c r="T402">
        <v>17861</v>
      </c>
      <c r="U402">
        <v>2288</v>
      </c>
      <c r="V402">
        <v>6</v>
      </c>
      <c r="W402" t="s">
        <v>29</v>
      </c>
      <c r="X402" t="s">
        <v>9</v>
      </c>
      <c r="Y402">
        <v>13</v>
      </c>
      <c r="Z402">
        <v>3</v>
      </c>
      <c r="AA402">
        <v>3</v>
      </c>
      <c r="AB402">
        <v>80</v>
      </c>
      <c r="AC402">
        <v>0</v>
      </c>
      <c r="AD402">
        <v>26</v>
      </c>
      <c r="AE402">
        <v>2</v>
      </c>
      <c r="AF402">
        <v>1</v>
      </c>
      <c r="AG402">
        <v>3</v>
      </c>
      <c r="AH402">
        <v>2</v>
      </c>
      <c r="AI402">
        <v>0</v>
      </c>
      <c r="AJ402">
        <v>1</v>
      </c>
    </row>
    <row r="403" spans="1:36" x14ac:dyDescent="0.25">
      <c r="A403">
        <v>562</v>
      </c>
      <c r="B403">
        <v>58</v>
      </c>
      <c r="C403" t="s">
        <v>9</v>
      </c>
      <c r="D403" t="s">
        <v>11</v>
      </c>
      <c r="E403">
        <v>1216</v>
      </c>
      <c r="F403" t="s">
        <v>119</v>
      </c>
      <c r="G403">
        <v>15</v>
      </c>
      <c r="H403">
        <v>4</v>
      </c>
      <c r="I403" t="s">
        <v>21</v>
      </c>
      <c r="J403">
        <v>1</v>
      </c>
      <c r="K403">
        <v>1837</v>
      </c>
      <c r="L403">
        <v>1</v>
      </c>
      <c r="M403" t="s">
        <v>23</v>
      </c>
      <c r="N403">
        <v>87</v>
      </c>
      <c r="O403">
        <v>3</v>
      </c>
      <c r="P403">
        <v>4</v>
      </c>
      <c r="Q403" t="s">
        <v>30</v>
      </c>
      <c r="R403">
        <v>3</v>
      </c>
      <c r="S403" t="s">
        <v>28</v>
      </c>
      <c r="T403">
        <v>15787</v>
      </c>
      <c r="U403">
        <v>21624</v>
      </c>
      <c r="V403">
        <v>2</v>
      </c>
      <c r="W403" t="s">
        <v>29</v>
      </c>
      <c r="X403" t="s">
        <v>10</v>
      </c>
      <c r="Y403">
        <v>14</v>
      </c>
      <c r="Z403">
        <v>3</v>
      </c>
      <c r="AA403">
        <v>2</v>
      </c>
      <c r="AB403">
        <v>80</v>
      </c>
      <c r="AC403">
        <v>0</v>
      </c>
      <c r="AD403">
        <v>23</v>
      </c>
      <c r="AE403">
        <v>3</v>
      </c>
      <c r="AF403">
        <v>3</v>
      </c>
      <c r="AG403">
        <v>2</v>
      </c>
      <c r="AH403">
        <v>2</v>
      </c>
      <c r="AI403">
        <v>2</v>
      </c>
      <c r="AJ403">
        <v>2</v>
      </c>
    </row>
    <row r="404" spans="1:36" x14ac:dyDescent="0.25">
      <c r="A404">
        <v>497</v>
      </c>
      <c r="B404">
        <v>45</v>
      </c>
      <c r="C404" t="s">
        <v>9</v>
      </c>
      <c r="D404" t="s">
        <v>15</v>
      </c>
      <c r="E404">
        <v>192</v>
      </c>
      <c r="F404" t="s">
        <v>119</v>
      </c>
      <c r="G404">
        <v>10</v>
      </c>
      <c r="H404">
        <v>2</v>
      </c>
      <c r="I404" t="s">
        <v>21</v>
      </c>
      <c r="J404">
        <v>1</v>
      </c>
      <c r="K404">
        <v>544</v>
      </c>
      <c r="L404">
        <v>1</v>
      </c>
      <c r="M404" t="s">
        <v>23</v>
      </c>
      <c r="N404">
        <v>69</v>
      </c>
      <c r="O404">
        <v>3</v>
      </c>
      <c r="P404">
        <v>1</v>
      </c>
      <c r="Q404" t="s">
        <v>32</v>
      </c>
      <c r="R404">
        <v>4</v>
      </c>
      <c r="S404" t="s">
        <v>28</v>
      </c>
      <c r="T404">
        <v>2654</v>
      </c>
      <c r="U404">
        <v>9655</v>
      </c>
      <c r="V404">
        <v>3</v>
      </c>
      <c r="W404" t="s">
        <v>29</v>
      </c>
      <c r="X404" t="s">
        <v>9</v>
      </c>
      <c r="Y404">
        <v>21</v>
      </c>
      <c r="Z404">
        <v>4</v>
      </c>
      <c r="AA404">
        <v>4</v>
      </c>
      <c r="AB404">
        <v>80</v>
      </c>
      <c r="AC404">
        <v>2</v>
      </c>
      <c r="AD404">
        <v>8</v>
      </c>
      <c r="AE404">
        <v>3</v>
      </c>
      <c r="AF404">
        <v>2</v>
      </c>
      <c r="AG404">
        <v>2</v>
      </c>
      <c r="AH404">
        <v>2</v>
      </c>
      <c r="AI404">
        <v>0</v>
      </c>
      <c r="AJ404">
        <v>2</v>
      </c>
    </row>
    <row r="405" spans="1:36" x14ac:dyDescent="0.25">
      <c r="A405">
        <v>513</v>
      </c>
      <c r="B405">
        <v>32</v>
      </c>
      <c r="C405" t="s">
        <v>9</v>
      </c>
      <c r="D405" t="s">
        <v>11</v>
      </c>
      <c r="E405">
        <v>585</v>
      </c>
      <c r="F405" t="s">
        <v>119</v>
      </c>
      <c r="G405">
        <v>10</v>
      </c>
      <c r="H405">
        <v>3</v>
      </c>
      <c r="I405" t="s">
        <v>21</v>
      </c>
      <c r="J405">
        <v>1</v>
      </c>
      <c r="K405">
        <v>1720</v>
      </c>
      <c r="L405">
        <v>1</v>
      </c>
      <c r="M405" t="s">
        <v>23</v>
      </c>
      <c r="N405">
        <v>56</v>
      </c>
      <c r="O405">
        <v>3</v>
      </c>
      <c r="P405">
        <v>1</v>
      </c>
      <c r="Q405" t="s">
        <v>32</v>
      </c>
      <c r="R405">
        <v>3</v>
      </c>
      <c r="S405" t="s">
        <v>28</v>
      </c>
      <c r="T405">
        <v>3433</v>
      </c>
      <c r="U405">
        <v>17360</v>
      </c>
      <c r="V405">
        <v>6</v>
      </c>
      <c r="W405" t="s">
        <v>29</v>
      </c>
      <c r="X405" t="s">
        <v>9</v>
      </c>
      <c r="Y405">
        <v>13</v>
      </c>
      <c r="Z405">
        <v>3</v>
      </c>
      <c r="AA405">
        <v>1</v>
      </c>
      <c r="AB405">
        <v>80</v>
      </c>
      <c r="AC405">
        <v>1</v>
      </c>
      <c r="AD405">
        <v>10</v>
      </c>
      <c r="AE405">
        <v>3</v>
      </c>
      <c r="AF405">
        <v>2</v>
      </c>
      <c r="AG405">
        <v>5</v>
      </c>
      <c r="AH405">
        <v>2</v>
      </c>
      <c r="AI405">
        <v>1</v>
      </c>
      <c r="AJ405">
        <v>3</v>
      </c>
    </row>
    <row r="406" spans="1:36" x14ac:dyDescent="0.25">
      <c r="A406">
        <v>104</v>
      </c>
      <c r="B406">
        <v>23</v>
      </c>
      <c r="C406" t="s">
        <v>9</v>
      </c>
      <c r="D406" t="s">
        <v>15</v>
      </c>
      <c r="E406">
        <v>885</v>
      </c>
      <c r="F406" t="s">
        <v>119</v>
      </c>
      <c r="G406">
        <v>4</v>
      </c>
      <c r="H406">
        <v>3</v>
      </c>
      <c r="I406" t="s">
        <v>17</v>
      </c>
      <c r="J406">
        <v>1</v>
      </c>
      <c r="K406">
        <v>705</v>
      </c>
      <c r="L406">
        <v>1</v>
      </c>
      <c r="M406" t="s">
        <v>23</v>
      </c>
      <c r="N406">
        <v>58</v>
      </c>
      <c r="O406">
        <v>4</v>
      </c>
      <c r="P406">
        <v>1</v>
      </c>
      <c r="Q406" t="s">
        <v>32</v>
      </c>
      <c r="R406">
        <v>1</v>
      </c>
      <c r="S406" t="s">
        <v>28</v>
      </c>
      <c r="T406">
        <v>2819</v>
      </c>
      <c r="U406">
        <v>8544</v>
      </c>
      <c r="V406">
        <v>2</v>
      </c>
      <c r="W406" t="s">
        <v>29</v>
      </c>
      <c r="X406" t="s">
        <v>9</v>
      </c>
      <c r="Y406">
        <v>16</v>
      </c>
      <c r="Z406">
        <v>3</v>
      </c>
      <c r="AA406">
        <v>1</v>
      </c>
      <c r="AB406">
        <v>80</v>
      </c>
      <c r="AC406">
        <v>1</v>
      </c>
      <c r="AD406">
        <v>5</v>
      </c>
      <c r="AE406">
        <v>3</v>
      </c>
      <c r="AF406">
        <v>4</v>
      </c>
      <c r="AG406">
        <v>3</v>
      </c>
      <c r="AH406">
        <v>2</v>
      </c>
      <c r="AI406">
        <v>0</v>
      </c>
      <c r="AJ406">
        <v>2</v>
      </c>
    </row>
    <row r="407" spans="1:36" x14ac:dyDescent="0.25">
      <c r="A407">
        <v>743</v>
      </c>
      <c r="B407">
        <v>37</v>
      </c>
      <c r="C407" t="s">
        <v>9</v>
      </c>
      <c r="D407" t="s">
        <v>15</v>
      </c>
      <c r="E407">
        <v>674</v>
      </c>
      <c r="F407" t="s">
        <v>119</v>
      </c>
      <c r="G407">
        <v>13</v>
      </c>
      <c r="H407">
        <v>3</v>
      </c>
      <c r="I407" t="s">
        <v>17</v>
      </c>
      <c r="J407">
        <v>1</v>
      </c>
      <c r="K407">
        <v>1543</v>
      </c>
      <c r="L407">
        <v>1</v>
      </c>
      <c r="M407" t="s">
        <v>23</v>
      </c>
      <c r="N407">
        <v>47</v>
      </c>
      <c r="O407">
        <v>3</v>
      </c>
      <c r="P407">
        <v>2</v>
      </c>
      <c r="Q407" t="s">
        <v>32</v>
      </c>
      <c r="R407">
        <v>4</v>
      </c>
      <c r="S407" t="s">
        <v>28</v>
      </c>
      <c r="T407">
        <v>4285</v>
      </c>
      <c r="U407">
        <v>3031</v>
      </c>
      <c r="V407">
        <v>1</v>
      </c>
      <c r="W407" t="s">
        <v>29</v>
      </c>
      <c r="X407" t="s">
        <v>9</v>
      </c>
      <c r="Y407">
        <v>17</v>
      </c>
      <c r="Z407">
        <v>3</v>
      </c>
      <c r="AA407">
        <v>1</v>
      </c>
      <c r="AB407">
        <v>80</v>
      </c>
      <c r="AC407">
        <v>0</v>
      </c>
      <c r="AD407">
        <v>10</v>
      </c>
      <c r="AE407">
        <v>2</v>
      </c>
      <c r="AF407">
        <v>3</v>
      </c>
      <c r="AG407">
        <v>10</v>
      </c>
      <c r="AH407">
        <v>8</v>
      </c>
      <c r="AI407">
        <v>3</v>
      </c>
      <c r="AJ407">
        <v>7</v>
      </c>
    </row>
    <row r="408" spans="1:36" x14ac:dyDescent="0.25">
      <c r="A408">
        <v>816</v>
      </c>
      <c r="B408">
        <v>33</v>
      </c>
      <c r="C408" t="s">
        <v>9</v>
      </c>
      <c r="D408" t="s">
        <v>15</v>
      </c>
      <c r="E408">
        <v>117</v>
      </c>
      <c r="F408" t="s">
        <v>119</v>
      </c>
      <c r="G408">
        <v>9</v>
      </c>
      <c r="H408">
        <v>3</v>
      </c>
      <c r="I408" t="s">
        <v>17</v>
      </c>
      <c r="J408">
        <v>1</v>
      </c>
      <c r="K408">
        <v>1238</v>
      </c>
      <c r="L408">
        <v>1</v>
      </c>
      <c r="M408" t="s">
        <v>23</v>
      </c>
      <c r="N408">
        <v>60</v>
      </c>
      <c r="O408">
        <v>3</v>
      </c>
      <c r="P408">
        <v>1</v>
      </c>
      <c r="Q408" t="s">
        <v>32</v>
      </c>
      <c r="R408">
        <v>4</v>
      </c>
      <c r="S408" t="s">
        <v>28</v>
      </c>
      <c r="T408">
        <v>2781</v>
      </c>
      <c r="U408">
        <v>6311</v>
      </c>
      <c r="V408">
        <v>0</v>
      </c>
      <c r="W408" t="s">
        <v>29</v>
      </c>
      <c r="X408" t="s">
        <v>9</v>
      </c>
      <c r="Y408">
        <v>13</v>
      </c>
      <c r="Z408">
        <v>3</v>
      </c>
      <c r="AA408">
        <v>2</v>
      </c>
      <c r="AB408">
        <v>80</v>
      </c>
      <c r="AC408">
        <v>1</v>
      </c>
      <c r="AD408">
        <v>15</v>
      </c>
      <c r="AE408">
        <v>5</v>
      </c>
      <c r="AF408">
        <v>3</v>
      </c>
      <c r="AG408">
        <v>14</v>
      </c>
      <c r="AH408">
        <v>10</v>
      </c>
      <c r="AI408">
        <v>4</v>
      </c>
      <c r="AJ408">
        <v>10</v>
      </c>
    </row>
    <row r="409" spans="1:36" x14ac:dyDescent="0.25">
      <c r="A409" s="15">
        <v>178</v>
      </c>
      <c r="B409" s="15">
        <v>26</v>
      </c>
      <c r="C409" s="15" t="s">
        <v>10</v>
      </c>
      <c r="D409" s="15" t="s">
        <v>11</v>
      </c>
      <c r="E409" s="15">
        <v>342</v>
      </c>
      <c r="F409" s="15" t="s">
        <v>119</v>
      </c>
      <c r="G409" s="15">
        <v>2</v>
      </c>
      <c r="H409" s="15">
        <v>3</v>
      </c>
      <c r="I409" s="15" t="s">
        <v>21</v>
      </c>
      <c r="J409" s="15">
        <v>1</v>
      </c>
      <c r="K409" s="15">
        <v>1053</v>
      </c>
      <c r="L409" s="15">
        <v>1</v>
      </c>
      <c r="M409" s="15" t="s">
        <v>23</v>
      </c>
      <c r="N409" s="15">
        <v>57</v>
      </c>
      <c r="O409" s="15">
        <v>3</v>
      </c>
      <c r="P409" s="15">
        <v>1</v>
      </c>
      <c r="Q409" s="15" t="s">
        <v>32</v>
      </c>
      <c r="R409" s="15">
        <v>1</v>
      </c>
      <c r="S409" s="15" t="s">
        <v>28</v>
      </c>
      <c r="T409" s="15">
        <v>2042</v>
      </c>
      <c r="U409" s="15">
        <v>15346</v>
      </c>
      <c r="V409" s="15">
        <v>6</v>
      </c>
      <c r="W409" s="15" t="s">
        <v>29</v>
      </c>
      <c r="X409" s="15" t="s">
        <v>10</v>
      </c>
      <c r="Y409" s="15">
        <v>14</v>
      </c>
      <c r="Z409" s="15">
        <v>3</v>
      </c>
      <c r="AA409" s="15">
        <v>2</v>
      </c>
      <c r="AB409" s="15">
        <v>80</v>
      </c>
      <c r="AC409" s="15">
        <v>1</v>
      </c>
      <c r="AD409" s="15">
        <v>6</v>
      </c>
      <c r="AE409" s="15">
        <v>2</v>
      </c>
      <c r="AF409" s="15">
        <v>3</v>
      </c>
      <c r="AG409" s="15">
        <v>3</v>
      </c>
      <c r="AH409" s="15">
        <v>2</v>
      </c>
      <c r="AI409" s="15">
        <v>1</v>
      </c>
      <c r="AJ409" s="15">
        <v>2</v>
      </c>
    </row>
    <row r="410" spans="1:36" x14ac:dyDescent="0.25">
      <c r="A410">
        <v>446</v>
      </c>
      <c r="B410">
        <v>47</v>
      </c>
      <c r="C410" t="s">
        <v>9</v>
      </c>
      <c r="D410" t="s">
        <v>15</v>
      </c>
      <c r="E410">
        <v>465</v>
      </c>
      <c r="F410" t="s">
        <v>119</v>
      </c>
      <c r="G410">
        <v>1</v>
      </c>
      <c r="H410">
        <v>3</v>
      </c>
      <c r="I410" t="s">
        <v>22</v>
      </c>
      <c r="J410">
        <v>1</v>
      </c>
      <c r="K410">
        <v>1438</v>
      </c>
      <c r="L410">
        <v>1</v>
      </c>
      <c r="M410" t="s">
        <v>23</v>
      </c>
      <c r="N410">
        <v>74</v>
      </c>
      <c r="O410">
        <v>3</v>
      </c>
      <c r="P410">
        <v>1</v>
      </c>
      <c r="Q410" t="s">
        <v>32</v>
      </c>
      <c r="R410">
        <v>4</v>
      </c>
      <c r="S410" t="s">
        <v>28</v>
      </c>
      <c r="T410">
        <v>3420</v>
      </c>
      <c r="U410">
        <v>10205</v>
      </c>
      <c r="V410">
        <v>7</v>
      </c>
      <c r="W410" t="s">
        <v>29</v>
      </c>
      <c r="X410" t="s">
        <v>9</v>
      </c>
      <c r="Y410">
        <v>12</v>
      </c>
      <c r="Z410">
        <v>3</v>
      </c>
      <c r="AA410">
        <v>3</v>
      </c>
      <c r="AB410">
        <v>80</v>
      </c>
      <c r="AC410">
        <v>1</v>
      </c>
      <c r="AD410">
        <v>17</v>
      </c>
      <c r="AE410">
        <v>2</v>
      </c>
      <c r="AF410">
        <v>2</v>
      </c>
      <c r="AG410">
        <v>6</v>
      </c>
      <c r="AH410">
        <v>5</v>
      </c>
      <c r="AI410">
        <v>1</v>
      </c>
      <c r="AJ410">
        <v>2</v>
      </c>
    </row>
    <row r="411" spans="1:36" x14ac:dyDescent="0.25">
      <c r="A411">
        <v>148</v>
      </c>
      <c r="B411">
        <v>33</v>
      </c>
      <c r="C411" t="s">
        <v>9</v>
      </c>
      <c r="D411" t="s">
        <v>15</v>
      </c>
      <c r="E411">
        <v>1242</v>
      </c>
      <c r="F411" t="s">
        <v>118</v>
      </c>
      <c r="G411">
        <v>8</v>
      </c>
      <c r="H411">
        <v>4</v>
      </c>
      <c r="I411" t="s">
        <v>21</v>
      </c>
      <c r="J411">
        <v>1</v>
      </c>
      <c r="K411">
        <v>1560</v>
      </c>
      <c r="L411">
        <v>1</v>
      </c>
      <c r="M411" t="s">
        <v>23</v>
      </c>
      <c r="N411">
        <v>46</v>
      </c>
      <c r="O411">
        <v>3</v>
      </c>
      <c r="P411">
        <v>2</v>
      </c>
      <c r="Q411" t="s">
        <v>25</v>
      </c>
      <c r="R411">
        <v>1</v>
      </c>
      <c r="S411" t="s">
        <v>28</v>
      </c>
      <c r="T411">
        <v>6392</v>
      </c>
      <c r="U411">
        <v>10589</v>
      </c>
      <c r="V411">
        <v>2</v>
      </c>
      <c r="W411" t="s">
        <v>29</v>
      </c>
      <c r="X411" t="s">
        <v>9</v>
      </c>
      <c r="Y411">
        <v>13</v>
      </c>
      <c r="Z411">
        <v>3</v>
      </c>
      <c r="AA411">
        <v>4</v>
      </c>
      <c r="AB411">
        <v>80</v>
      </c>
      <c r="AC411">
        <v>1</v>
      </c>
      <c r="AD411">
        <v>8</v>
      </c>
      <c r="AE411">
        <v>6</v>
      </c>
      <c r="AF411">
        <v>1</v>
      </c>
      <c r="AG411">
        <v>2</v>
      </c>
      <c r="AH411">
        <v>2</v>
      </c>
      <c r="AI411">
        <v>2</v>
      </c>
      <c r="AJ411">
        <v>2</v>
      </c>
    </row>
    <row r="412" spans="1:36" x14ac:dyDescent="0.25">
      <c r="A412">
        <v>319</v>
      </c>
      <c r="B412">
        <v>39</v>
      </c>
      <c r="C412" t="s">
        <v>9</v>
      </c>
      <c r="D412" t="s">
        <v>15</v>
      </c>
      <c r="E412">
        <v>1498</v>
      </c>
      <c r="F412" t="s">
        <v>118</v>
      </c>
      <c r="G412">
        <v>21</v>
      </c>
      <c r="H412">
        <v>4</v>
      </c>
      <c r="I412" t="s">
        <v>21</v>
      </c>
      <c r="J412">
        <v>1</v>
      </c>
      <c r="K412">
        <v>1390</v>
      </c>
      <c r="L412">
        <v>1</v>
      </c>
      <c r="M412" t="s">
        <v>23</v>
      </c>
      <c r="N412">
        <v>44</v>
      </c>
      <c r="O412">
        <v>2</v>
      </c>
      <c r="P412">
        <v>2</v>
      </c>
      <c r="Q412" t="s">
        <v>25</v>
      </c>
      <c r="R412">
        <v>4</v>
      </c>
      <c r="S412" t="s">
        <v>28</v>
      </c>
      <c r="T412">
        <v>6120</v>
      </c>
      <c r="U412">
        <v>3567</v>
      </c>
      <c r="V412">
        <v>3</v>
      </c>
      <c r="W412" t="s">
        <v>29</v>
      </c>
      <c r="X412" t="s">
        <v>10</v>
      </c>
      <c r="Y412">
        <v>12</v>
      </c>
      <c r="Z412">
        <v>3</v>
      </c>
      <c r="AA412">
        <v>4</v>
      </c>
      <c r="AB412">
        <v>80</v>
      </c>
      <c r="AC412">
        <v>2</v>
      </c>
      <c r="AD412">
        <v>8</v>
      </c>
      <c r="AE412">
        <v>2</v>
      </c>
      <c r="AF412">
        <v>4</v>
      </c>
      <c r="AG412">
        <v>5</v>
      </c>
      <c r="AH412">
        <v>4</v>
      </c>
      <c r="AI412">
        <v>1</v>
      </c>
      <c r="AJ412">
        <v>4</v>
      </c>
    </row>
    <row r="413" spans="1:36" x14ac:dyDescent="0.25">
      <c r="A413">
        <v>741</v>
      </c>
      <c r="B413">
        <v>25</v>
      </c>
      <c r="C413" t="s">
        <v>9</v>
      </c>
      <c r="D413" t="s">
        <v>15</v>
      </c>
      <c r="E413">
        <v>959</v>
      </c>
      <c r="F413" t="s">
        <v>118</v>
      </c>
      <c r="G413">
        <v>28</v>
      </c>
      <c r="H413">
        <v>3</v>
      </c>
      <c r="I413" t="s">
        <v>21</v>
      </c>
      <c r="J413">
        <v>1</v>
      </c>
      <c r="K413">
        <v>183</v>
      </c>
      <c r="L413">
        <v>1</v>
      </c>
      <c r="M413" t="s">
        <v>23</v>
      </c>
      <c r="N413">
        <v>41</v>
      </c>
      <c r="O413">
        <v>2</v>
      </c>
      <c r="P413">
        <v>2</v>
      </c>
      <c r="Q413" t="s">
        <v>25</v>
      </c>
      <c r="R413">
        <v>3</v>
      </c>
      <c r="S413" t="s">
        <v>28</v>
      </c>
      <c r="T413">
        <v>8639</v>
      </c>
      <c r="U413">
        <v>24835</v>
      </c>
      <c r="V413">
        <v>2</v>
      </c>
      <c r="W413" t="s">
        <v>29</v>
      </c>
      <c r="X413" t="s">
        <v>9</v>
      </c>
      <c r="Y413">
        <v>18</v>
      </c>
      <c r="Z413">
        <v>3</v>
      </c>
      <c r="AA413">
        <v>4</v>
      </c>
      <c r="AB413">
        <v>80</v>
      </c>
      <c r="AC413">
        <v>0</v>
      </c>
      <c r="AD413">
        <v>6</v>
      </c>
      <c r="AE413">
        <v>3</v>
      </c>
      <c r="AF413">
        <v>3</v>
      </c>
      <c r="AG413">
        <v>2</v>
      </c>
      <c r="AH413">
        <v>2</v>
      </c>
      <c r="AI413">
        <v>2</v>
      </c>
      <c r="AJ413">
        <v>2</v>
      </c>
    </row>
    <row r="414" spans="1:36" x14ac:dyDescent="0.25">
      <c r="A414">
        <v>807</v>
      </c>
      <c r="B414">
        <v>25</v>
      </c>
      <c r="C414" t="s">
        <v>9</v>
      </c>
      <c r="D414" t="s">
        <v>15</v>
      </c>
      <c r="E414">
        <v>1372</v>
      </c>
      <c r="F414" t="s">
        <v>118</v>
      </c>
      <c r="G414">
        <v>18</v>
      </c>
      <c r="H414">
        <v>1</v>
      </c>
      <c r="I414" t="s">
        <v>21</v>
      </c>
      <c r="J414">
        <v>1</v>
      </c>
      <c r="K414">
        <v>1399</v>
      </c>
      <c r="L414">
        <v>1</v>
      </c>
      <c r="M414" t="s">
        <v>23</v>
      </c>
      <c r="N414">
        <v>93</v>
      </c>
      <c r="O414">
        <v>4</v>
      </c>
      <c r="P414">
        <v>2</v>
      </c>
      <c r="Q414" t="s">
        <v>25</v>
      </c>
      <c r="R414">
        <v>3</v>
      </c>
      <c r="S414" t="s">
        <v>28</v>
      </c>
      <c r="T414">
        <v>6232</v>
      </c>
      <c r="U414">
        <v>12477</v>
      </c>
      <c r="V414">
        <v>2</v>
      </c>
      <c r="W414" t="s">
        <v>29</v>
      </c>
      <c r="X414" t="s">
        <v>9</v>
      </c>
      <c r="Y414">
        <v>11</v>
      </c>
      <c r="Z414">
        <v>3</v>
      </c>
      <c r="AA414">
        <v>2</v>
      </c>
      <c r="AB414">
        <v>80</v>
      </c>
      <c r="AC414">
        <v>0</v>
      </c>
      <c r="AD414">
        <v>6</v>
      </c>
      <c r="AE414">
        <v>3</v>
      </c>
      <c r="AF414">
        <v>2</v>
      </c>
      <c r="AG414">
        <v>3</v>
      </c>
      <c r="AH414">
        <v>2</v>
      </c>
      <c r="AI414">
        <v>1</v>
      </c>
      <c r="AJ414">
        <v>2</v>
      </c>
    </row>
    <row r="415" spans="1:36" x14ac:dyDescent="0.25">
      <c r="A415">
        <v>450</v>
      </c>
      <c r="B415">
        <v>45</v>
      </c>
      <c r="C415" t="s">
        <v>9</v>
      </c>
      <c r="D415" t="s">
        <v>16</v>
      </c>
      <c r="E415">
        <v>336</v>
      </c>
      <c r="F415" t="s">
        <v>118</v>
      </c>
      <c r="G415">
        <v>26</v>
      </c>
      <c r="H415">
        <v>3</v>
      </c>
      <c r="I415" t="s">
        <v>18</v>
      </c>
      <c r="J415">
        <v>1</v>
      </c>
      <c r="K415">
        <v>1612</v>
      </c>
      <c r="L415">
        <v>1</v>
      </c>
      <c r="M415" t="s">
        <v>23</v>
      </c>
      <c r="N415">
        <v>52</v>
      </c>
      <c r="O415">
        <v>2</v>
      </c>
      <c r="P415">
        <v>2</v>
      </c>
      <c r="Q415" t="s">
        <v>25</v>
      </c>
      <c r="R415">
        <v>1</v>
      </c>
      <c r="S415" t="s">
        <v>28</v>
      </c>
      <c r="T415">
        <v>4385</v>
      </c>
      <c r="U415">
        <v>24162</v>
      </c>
      <c r="V415">
        <v>1</v>
      </c>
      <c r="W415" t="s">
        <v>29</v>
      </c>
      <c r="X415" t="s">
        <v>9</v>
      </c>
      <c r="Y415">
        <v>15</v>
      </c>
      <c r="Z415">
        <v>3</v>
      </c>
      <c r="AA415">
        <v>1</v>
      </c>
      <c r="AB415">
        <v>80</v>
      </c>
      <c r="AC415">
        <v>1</v>
      </c>
      <c r="AD415">
        <v>10</v>
      </c>
      <c r="AE415">
        <v>2</v>
      </c>
      <c r="AF415">
        <v>3</v>
      </c>
      <c r="AG415">
        <v>10</v>
      </c>
      <c r="AH415">
        <v>7</v>
      </c>
      <c r="AI415">
        <v>4</v>
      </c>
      <c r="AJ415">
        <v>5</v>
      </c>
    </row>
    <row r="416" spans="1:36" x14ac:dyDescent="0.25">
      <c r="A416">
        <v>575</v>
      </c>
      <c r="B416">
        <v>26</v>
      </c>
      <c r="C416" t="s">
        <v>9</v>
      </c>
      <c r="D416" t="s">
        <v>15</v>
      </c>
      <c r="E416">
        <v>703</v>
      </c>
      <c r="F416" t="s">
        <v>118</v>
      </c>
      <c r="G416">
        <v>28</v>
      </c>
      <c r="H416">
        <v>2</v>
      </c>
      <c r="I416" t="s">
        <v>18</v>
      </c>
      <c r="J416">
        <v>1</v>
      </c>
      <c r="K416">
        <v>641</v>
      </c>
      <c r="L416">
        <v>1</v>
      </c>
      <c r="M416" t="s">
        <v>23</v>
      </c>
      <c r="N416">
        <v>66</v>
      </c>
      <c r="O416">
        <v>3</v>
      </c>
      <c r="P416">
        <v>2</v>
      </c>
      <c r="Q416" t="s">
        <v>25</v>
      </c>
      <c r="R416">
        <v>2</v>
      </c>
      <c r="S416" t="s">
        <v>28</v>
      </c>
      <c r="T416">
        <v>6272</v>
      </c>
      <c r="U416">
        <v>7428</v>
      </c>
      <c r="V416">
        <v>1</v>
      </c>
      <c r="W416" t="s">
        <v>29</v>
      </c>
      <c r="X416" t="s">
        <v>9</v>
      </c>
      <c r="Y416">
        <v>20</v>
      </c>
      <c r="Z416">
        <v>4</v>
      </c>
      <c r="AA416">
        <v>4</v>
      </c>
      <c r="AB416">
        <v>80</v>
      </c>
      <c r="AC416">
        <v>2</v>
      </c>
      <c r="AD416">
        <v>6</v>
      </c>
      <c r="AE416">
        <v>5</v>
      </c>
      <c r="AF416">
        <v>4</v>
      </c>
      <c r="AG416">
        <v>5</v>
      </c>
      <c r="AH416">
        <v>3</v>
      </c>
      <c r="AI416">
        <v>1</v>
      </c>
      <c r="AJ416">
        <v>4</v>
      </c>
    </row>
    <row r="417" spans="1:36" x14ac:dyDescent="0.25">
      <c r="A417" s="15">
        <v>827</v>
      </c>
      <c r="B417" s="15">
        <v>31</v>
      </c>
      <c r="C417" s="15" t="s">
        <v>10</v>
      </c>
      <c r="D417" s="15" t="s">
        <v>15</v>
      </c>
      <c r="E417" s="15">
        <v>1079</v>
      </c>
      <c r="F417" s="15" t="s">
        <v>118</v>
      </c>
      <c r="G417" s="15">
        <v>16</v>
      </c>
      <c r="H417" s="15">
        <v>4</v>
      </c>
      <c r="I417" s="15" t="s">
        <v>18</v>
      </c>
      <c r="J417" s="15">
        <v>1</v>
      </c>
      <c r="K417" s="15">
        <v>1761</v>
      </c>
      <c r="L417" s="15">
        <v>1</v>
      </c>
      <c r="M417" s="15" t="s">
        <v>23</v>
      </c>
      <c r="N417" s="15">
        <v>70</v>
      </c>
      <c r="O417" s="15">
        <v>3</v>
      </c>
      <c r="P417" s="15">
        <v>3</v>
      </c>
      <c r="Q417" s="15" t="s">
        <v>25</v>
      </c>
      <c r="R417" s="15">
        <v>3</v>
      </c>
      <c r="S417" s="15" t="s">
        <v>28</v>
      </c>
      <c r="T417" s="15">
        <v>8161</v>
      </c>
      <c r="U417" s="15">
        <v>19002</v>
      </c>
      <c r="V417" s="15">
        <v>2</v>
      </c>
      <c r="W417" s="15" t="s">
        <v>29</v>
      </c>
      <c r="X417" s="15" t="s">
        <v>9</v>
      </c>
      <c r="Y417" s="15">
        <v>13</v>
      </c>
      <c r="Z417" s="15">
        <v>3</v>
      </c>
      <c r="AA417" s="15">
        <v>1</v>
      </c>
      <c r="AB417" s="15">
        <v>80</v>
      </c>
      <c r="AC417" s="15">
        <v>3</v>
      </c>
      <c r="AD417" s="15">
        <v>10</v>
      </c>
      <c r="AE417" s="15">
        <v>2</v>
      </c>
      <c r="AF417" s="15">
        <v>3</v>
      </c>
      <c r="AG417" s="15">
        <v>1</v>
      </c>
      <c r="AH417" s="15">
        <v>0</v>
      </c>
      <c r="AI417" s="15">
        <v>0</v>
      </c>
      <c r="AJ417" s="15">
        <v>0</v>
      </c>
    </row>
    <row r="418" spans="1:36" x14ac:dyDescent="0.25">
      <c r="A418">
        <v>368</v>
      </c>
      <c r="B418">
        <v>40</v>
      </c>
      <c r="C418" t="s">
        <v>9</v>
      </c>
      <c r="D418" t="s">
        <v>15</v>
      </c>
      <c r="E418">
        <v>1342</v>
      </c>
      <c r="F418" t="s">
        <v>118</v>
      </c>
      <c r="G418">
        <v>9</v>
      </c>
      <c r="H418">
        <v>2</v>
      </c>
      <c r="I418" t="s">
        <v>17</v>
      </c>
      <c r="J418">
        <v>1</v>
      </c>
      <c r="K418">
        <v>1548</v>
      </c>
      <c r="L418">
        <v>1</v>
      </c>
      <c r="M418" t="s">
        <v>23</v>
      </c>
      <c r="N418">
        <v>47</v>
      </c>
      <c r="O418">
        <v>3</v>
      </c>
      <c r="P418">
        <v>2</v>
      </c>
      <c r="Q418" t="s">
        <v>25</v>
      </c>
      <c r="R418">
        <v>1</v>
      </c>
      <c r="S418" t="s">
        <v>28</v>
      </c>
      <c r="T418">
        <v>5473</v>
      </c>
      <c r="U418">
        <v>19345</v>
      </c>
      <c r="V418">
        <v>0</v>
      </c>
      <c r="W418" t="s">
        <v>29</v>
      </c>
      <c r="X418" t="s">
        <v>9</v>
      </c>
      <c r="Y418">
        <v>12</v>
      </c>
      <c r="Z418">
        <v>3</v>
      </c>
      <c r="AA418">
        <v>4</v>
      </c>
      <c r="AB418">
        <v>80</v>
      </c>
      <c r="AC418">
        <v>0</v>
      </c>
      <c r="AD418">
        <v>9</v>
      </c>
      <c r="AE418">
        <v>5</v>
      </c>
      <c r="AF418">
        <v>4</v>
      </c>
      <c r="AG418">
        <v>8</v>
      </c>
      <c r="AH418">
        <v>4</v>
      </c>
      <c r="AI418">
        <v>7</v>
      </c>
      <c r="AJ418">
        <v>1</v>
      </c>
    </row>
    <row r="419" spans="1:36" x14ac:dyDescent="0.25">
      <c r="A419">
        <v>714</v>
      </c>
      <c r="B419">
        <v>36</v>
      </c>
      <c r="C419" t="s">
        <v>9</v>
      </c>
      <c r="D419" t="s">
        <v>11</v>
      </c>
      <c r="E419">
        <v>541</v>
      </c>
      <c r="F419" t="s">
        <v>118</v>
      </c>
      <c r="G419">
        <v>3</v>
      </c>
      <c r="H419">
        <v>4</v>
      </c>
      <c r="I419" t="s">
        <v>17</v>
      </c>
      <c r="J419">
        <v>1</v>
      </c>
      <c r="K419">
        <v>481</v>
      </c>
      <c r="L419">
        <v>1</v>
      </c>
      <c r="M419" t="s">
        <v>23</v>
      </c>
      <c r="N419">
        <v>48</v>
      </c>
      <c r="O419">
        <v>2</v>
      </c>
      <c r="P419">
        <v>3</v>
      </c>
      <c r="Q419" t="s">
        <v>25</v>
      </c>
      <c r="R419">
        <v>4</v>
      </c>
      <c r="S419" t="s">
        <v>28</v>
      </c>
      <c r="T419">
        <v>9699</v>
      </c>
      <c r="U419">
        <v>7246</v>
      </c>
      <c r="V419">
        <v>4</v>
      </c>
      <c r="W419" t="s">
        <v>29</v>
      </c>
      <c r="X419" t="s">
        <v>9</v>
      </c>
      <c r="Y419">
        <v>11</v>
      </c>
      <c r="Z419">
        <v>3</v>
      </c>
      <c r="AA419">
        <v>1</v>
      </c>
      <c r="AB419">
        <v>80</v>
      </c>
      <c r="AC419">
        <v>1</v>
      </c>
      <c r="AD419">
        <v>16</v>
      </c>
      <c r="AE419">
        <v>2</v>
      </c>
      <c r="AF419">
        <v>3</v>
      </c>
      <c r="AG419">
        <v>13</v>
      </c>
      <c r="AH419">
        <v>9</v>
      </c>
      <c r="AI419">
        <v>1</v>
      </c>
      <c r="AJ419">
        <v>12</v>
      </c>
    </row>
    <row r="420" spans="1:36" x14ac:dyDescent="0.25">
      <c r="A420" s="15">
        <v>244</v>
      </c>
      <c r="B420" s="15">
        <v>25</v>
      </c>
      <c r="C420" s="15" t="s">
        <v>10</v>
      </c>
      <c r="D420" s="15" t="s">
        <v>15</v>
      </c>
      <c r="E420" s="15">
        <v>383</v>
      </c>
      <c r="F420" s="15" t="s">
        <v>118</v>
      </c>
      <c r="G420" s="15">
        <v>9</v>
      </c>
      <c r="H420" s="15">
        <v>2</v>
      </c>
      <c r="I420" s="15" t="s">
        <v>21</v>
      </c>
      <c r="J420" s="15">
        <v>1</v>
      </c>
      <c r="K420" s="15">
        <v>1439</v>
      </c>
      <c r="L420" s="15">
        <v>1</v>
      </c>
      <c r="M420" s="15" t="s">
        <v>23</v>
      </c>
      <c r="N420" s="15">
        <v>68</v>
      </c>
      <c r="O420" s="15">
        <v>2</v>
      </c>
      <c r="P420" s="15">
        <v>1</v>
      </c>
      <c r="Q420" s="15" t="s">
        <v>33</v>
      </c>
      <c r="R420" s="15">
        <v>1</v>
      </c>
      <c r="S420" s="15" t="s">
        <v>28</v>
      </c>
      <c r="T420" s="15">
        <v>4400</v>
      </c>
      <c r="U420" s="15">
        <v>15182</v>
      </c>
      <c r="V420" s="15">
        <v>3</v>
      </c>
      <c r="W420" s="15" t="s">
        <v>29</v>
      </c>
      <c r="X420" s="15" t="s">
        <v>9</v>
      </c>
      <c r="Y420" s="15">
        <v>12</v>
      </c>
      <c r="Z420" s="15">
        <v>3</v>
      </c>
      <c r="AA420" s="15">
        <v>1</v>
      </c>
      <c r="AB420" s="15">
        <v>80</v>
      </c>
      <c r="AC420" s="15">
        <v>0</v>
      </c>
      <c r="AD420" s="15">
        <v>6</v>
      </c>
      <c r="AE420" s="15">
        <v>2</v>
      </c>
      <c r="AF420" s="15">
        <v>3</v>
      </c>
      <c r="AG420" s="15">
        <v>3</v>
      </c>
      <c r="AH420" s="15">
        <v>2</v>
      </c>
      <c r="AI420" s="15">
        <v>2</v>
      </c>
      <c r="AJ420" s="15">
        <v>2</v>
      </c>
    </row>
    <row r="421" spans="1:36" x14ac:dyDescent="0.25">
      <c r="A421" s="15">
        <v>439</v>
      </c>
      <c r="B421" s="15">
        <v>50</v>
      </c>
      <c r="C421" s="15" t="s">
        <v>10</v>
      </c>
      <c r="D421" s="15" t="s">
        <v>15</v>
      </c>
      <c r="E421" s="15">
        <v>869</v>
      </c>
      <c r="F421" s="15" t="s">
        <v>118</v>
      </c>
      <c r="G421" s="15">
        <v>3</v>
      </c>
      <c r="H421" s="15">
        <v>2</v>
      </c>
      <c r="I421" s="15" t="s">
        <v>18</v>
      </c>
      <c r="J421" s="15">
        <v>1</v>
      </c>
      <c r="K421" s="15">
        <v>47</v>
      </c>
      <c r="L421" s="15">
        <v>1</v>
      </c>
      <c r="M421" s="15" t="s">
        <v>23</v>
      </c>
      <c r="N421" s="15">
        <v>86</v>
      </c>
      <c r="O421" s="15">
        <v>2</v>
      </c>
      <c r="P421" s="15">
        <v>1</v>
      </c>
      <c r="Q421" s="15" t="s">
        <v>33</v>
      </c>
      <c r="R421" s="15">
        <v>3</v>
      </c>
      <c r="S421" s="15" t="s">
        <v>28</v>
      </c>
      <c r="T421" s="15">
        <v>2683</v>
      </c>
      <c r="U421" s="15">
        <v>3810</v>
      </c>
      <c r="V421" s="15">
        <v>1</v>
      </c>
      <c r="W421" s="15" t="s">
        <v>29</v>
      </c>
      <c r="X421" s="15" t="s">
        <v>10</v>
      </c>
      <c r="Y421" s="15">
        <v>14</v>
      </c>
      <c r="Z421" s="15">
        <v>3</v>
      </c>
      <c r="AA421" s="15">
        <v>3</v>
      </c>
      <c r="AB421" s="15">
        <v>80</v>
      </c>
      <c r="AC421" s="15">
        <v>0</v>
      </c>
      <c r="AD421" s="15">
        <v>3</v>
      </c>
      <c r="AE421" s="15">
        <v>2</v>
      </c>
      <c r="AF421" s="15">
        <v>3</v>
      </c>
      <c r="AG421" s="15">
        <v>3</v>
      </c>
      <c r="AH421" s="15">
        <v>2</v>
      </c>
      <c r="AI421" s="15">
        <v>0</v>
      </c>
      <c r="AJ421" s="15">
        <v>2</v>
      </c>
    </row>
    <row r="422" spans="1:36" x14ac:dyDescent="0.25">
      <c r="A422">
        <v>63</v>
      </c>
      <c r="B422">
        <v>31</v>
      </c>
      <c r="C422" t="s">
        <v>9</v>
      </c>
      <c r="D422" t="s">
        <v>15</v>
      </c>
      <c r="E422">
        <v>1154</v>
      </c>
      <c r="F422" t="s">
        <v>118</v>
      </c>
      <c r="G422">
        <v>2</v>
      </c>
      <c r="H422">
        <v>2</v>
      </c>
      <c r="I422" t="s">
        <v>21</v>
      </c>
      <c r="J422">
        <v>1</v>
      </c>
      <c r="K422">
        <v>1996</v>
      </c>
      <c r="L422">
        <v>1</v>
      </c>
      <c r="M422" t="s">
        <v>23</v>
      </c>
      <c r="N422">
        <v>54</v>
      </c>
      <c r="O422">
        <v>3</v>
      </c>
      <c r="P422">
        <v>1</v>
      </c>
      <c r="Q422" t="s">
        <v>33</v>
      </c>
      <c r="R422">
        <v>3</v>
      </c>
      <c r="S422" t="s">
        <v>28</v>
      </c>
      <c r="T422">
        <v>3067</v>
      </c>
      <c r="U422">
        <v>6393</v>
      </c>
      <c r="V422">
        <v>0</v>
      </c>
      <c r="W422" t="s">
        <v>29</v>
      </c>
      <c r="X422" t="s">
        <v>9</v>
      </c>
      <c r="Y422">
        <v>19</v>
      </c>
      <c r="Z422">
        <v>3</v>
      </c>
      <c r="AA422">
        <v>3</v>
      </c>
      <c r="AB422">
        <v>80</v>
      </c>
      <c r="AC422">
        <v>1</v>
      </c>
      <c r="AD422">
        <v>3</v>
      </c>
      <c r="AE422">
        <v>1</v>
      </c>
      <c r="AF422">
        <v>3</v>
      </c>
      <c r="AG422">
        <v>2</v>
      </c>
      <c r="AH422">
        <v>2</v>
      </c>
      <c r="AI422">
        <v>1</v>
      </c>
      <c r="AJ422">
        <v>2</v>
      </c>
    </row>
    <row r="423" spans="1:36" x14ac:dyDescent="0.25">
      <c r="A423" s="15">
        <v>385</v>
      </c>
      <c r="B423" s="15">
        <v>51</v>
      </c>
      <c r="C423" s="15" t="s">
        <v>10</v>
      </c>
      <c r="D423" s="15" t="s">
        <v>15</v>
      </c>
      <c r="E423" s="15">
        <v>1323</v>
      </c>
      <c r="F423" s="15" t="s">
        <v>119</v>
      </c>
      <c r="G423" s="15">
        <v>4</v>
      </c>
      <c r="H423" s="15">
        <v>4</v>
      </c>
      <c r="I423" s="15" t="s">
        <v>21</v>
      </c>
      <c r="J423" s="15">
        <v>1</v>
      </c>
      <c r="K423" s="15">
        <v>1081</v>
      </c>
      <c r="L423" s="15">
        <v>1</v>
      </c>
      <c r="M423" s="15" t="s">
        <v>23</v>
      </c>
      <c r="N423" s="15">
        <v>34</v>
      </c>
      <c r="O423" s="15">
        <v>3</v>
      </c>
      <c r="P423" s="15">
        <v>1</v>
      </c>
      <c r="Q423" s="15" t="s">
        <v>32</v>
      </c>
      <c r="R423" s="15">
        <v>3</v>
      </c>
      <c r="S423" s="15" t="s">
        <v>28</v>
      </c>
      <c r="T423" s="15">
        <v>2461</v>
      </c>
      <c r="U423" s="15">
        <v>10332</v>
      </c>
      <c r="V423" s="15">
        <v>9</v>
      </c>
      <c r="W423" s="15" t="s">
        <v>29</v>
      </c>
      <c r="X423" s="15" t="s">
        <v>10</v>
      </c>
      <c r="Y423" s="15">
        <v>12</v>
      </c>
      <c r="Z423" s="15">
        <v>3</v>
      </c>
      <c r="AA423" s="15">
        <v>3</v>
      </c>
      <c r="AB423" s="15">
        <v>80</v>
      </c>
      <c r="AC423" s="15">
        <v>3</v>
      </c>
      <c r="AD423" s="15">
        <v>18</v>
      </c>
      <c r="AE423" s="15">
        <v>2</v>
      </c>
      <c r="AF423" s="15">
        <v>4</v>
      </c>
      <c r="AG423" s="15">
        <v>10</v>
      </c>
      <c r="AH423" s="15">
        <v>0</v>
      </c>
      <c r="AI423" s="15">
        <v>2</v>
      </c>
      <c r="AJ423" s="15">
        <v>7</v>
      </c>
    </row>
    <row r="424" spans="1:36" x14ac:dyDescent="0.25">
      <c r="A424" s="15">
        <v>780</v>
      </c>
      <c r="B424" s="15">
        <v>29</v>
      </c>
      <c r="C424" s="15" t="s">
        <v>10</v>
      </c>
      <c r="D424" s="15" t="s">
        <v>15</v>
      </c>
      <c r="E424" s="15">
        <v>1092</v>
      </c>
      <c r="F424" s="15" t="s">
        <v>119</v>
      </c>
      <c r="G424" s="15">
        <v>1</v>
      </c>
      <c r="H424" s="15">
        <v>4</v>
      </c>
      <c r="I424" s="15" t="s">
        <v>17</v>
      </c>
      <c r="J424" s="15">
        <v>1</v>
      </c>
      <c r="K424" s="15">
        <v>2027</v>
      </c>
      <c r="L424" s="15">
        <v>1</v>
      </c>
      <c r="M424" s="15" t="s">
        <v>23</v>
      </c>
      <c r="N424" s="15">
        <v>36</v>
      </c>
      <c r="O424" s="15">
        <v>3</v>
      </c>
      <c r="P424" s="15">
        <v>1</v>
      </c>
      <c r="Q424" s="15" t="s">
        <v>32</v>
      </c>
      <c r="R424" s="15">
        <v>4</v>
      </c>
      <c r="S424" s="15" t="s">
        <v>28</v>
      </c>
      <c r="T424" s="15">
        <v>4787</v>
      </c>
      <c r="U424" s="15">
        <v>26124</v>
      </c>
      <c r="V424" s="15">
        <v>9</v>
      </c>
      <c r="W424" s="15" t="s">
        <v>29</v>
      </c>
      <c r="X424" s="15" t="s">
        <v>10</v>
      </c>
      <c r="Y424" s="15">
        <v>14</v>
      </c>
      <c r="Z424" s="15">
        <v>3</v>
      </c>
      <c r="AA424" s="15">
        <v>2</v>
      </c>
      <c r="AB424" s="15">
        <v>80</v>
      </c>
      <c r="AC424" s="15">
        <v>3</v>
      </c>
      <c r="AD424" s="15">
        <v>4</v>
      </c>
      <c r="AE424" s="15">
        <v>3</v>
      </c>
      <c r="AF424" s="15">
        <v>4</v>
      </c>
      <c r="AG424" s="15">
        <v>2</v>
      </c>
      <c r="AH424" s="15">
        <v>2</v>
      </c>
      <c r="AI424" s="15">
        <v>2</v>
      </c>
      <c r="AJ424" s="15">
        <v>2</v>
      </c>
    </row>
    <row r="425" spans="1:36" x14ac:dyDescent="0.25">
      <c r="A425" s="15">
        <v>593</v>
      </c>
      <c r="B425" s="15">
        <v>28</v>
      </c>
      <c r="C425" s="15" t="s">
        <v>10</v>
      </c>
      <c r="D425" s="15" t="s">
        <v>11</v>
      </c>
      <c r="E425" s="15">
        <v>1496</v>
      </c>
      <c r="F425" s="15" t="s">
        <v>118</v>
      </c>
      <c r="G425" s="15">
        <v>1</v>
      </c>
      <c r="H425" s="15">
        <v>3</v>
      </c>
      <c r="I425" s="15" t="s">
        <v>22</v>
      </c>
      <c r="J425" s="15">
        <v>1</v>
      </c>
      <c r="K425" s="15">
        <v>1486</v>
      </c>
      <c r="L425" s="15">
        <v>1</v>
      </c>
      <c r="M425" s="15" t="s">
        <v>23</v>
      </c>
      <c r="N425" s="15">
        <v>92</v>
      </c>
      <c r="O425" s="15">
        <v>3</v>
      </c>
      <c r="P425" s="15">
        <v>1</v>
      </c>
      <c r="Q425" s="15" t="s">
        <v>33</v>
      </c>
      <c r="R425" s="15">
        <v>3</v>
      </c>
      <c r="S425" s="15" t="s">
        <v>28</v>
      </c>
      <c r="T425" s="15">
        <v>2909</v>
      </c>
      <c r="U425" s="15">
        <v>15747</v>
      </c>
      <c r="V425" s="15">
        <v>3</v>
      </c>
      <c r="W425" s="15" t="s">
        <v>29</v>
      </c>
      <c r="X425" s="15" t="s">
        <v>9</v>
      </c>
      <c r="Y425" s="15">
        <v>15</v>
      </c>
      <c r="Z425" s="15">
        <v>3</v>
      </c>
      <c r="AA425" s="15">
        <v>4</v>
      </c>
      <c r="AB425" s="15">
        <v>80</v>
      </c>
      <c r="AC425" s="15">
        <v>1</v>
      </c>
      <c r="AD425" s="15">
        <v>5</v>
      </c>
      <c r="AE425" s="15">
        <v>3</v>
      </c>
      <c r="AF425" s="15">
        <v>4</v>
      </c>
      <c r="AG425" s="15">
        <v>3</v>
      </c>
      <c r="AH425" s="15">
        <v>2</v>
      </c>
      <c r="AI425" s="15">
        <v>1</v>
      </c>
      <c r="AJ425" s="15">
        <v>2</v>
      </c>
    </row>
    <row r="426" spans="1:36" x14ac:dyDescent="0.25">
      <c r="A426">
        <v>338</v>
      </c>
      <c r="B426">
        <v>34</v>
      </c>
      <c r="C426" t="s">
        <v>9</v>
      </c>
      <c r="D426" t="s">
        <v>11</v>
      </c>
      <c r="E426">
        <v>618</v>
      </c>
      <c r="F426" t="s">
        <v>119</v>
      </c>
      <c r="G426">
        <v>3</v>
      </c>
      <c r="H426">
        <v>1</v>
      </c>
      <c r="I426" t="s">
        <v>21</v>
      </c>
      <c r="J426">
        <v>1</v>
      </c>
      <c r="K426">
        <v>1103</v>
      </c>
      <c r="L426">
        <v>1</v>
      </c>
      <c r="M426" t="s">
        <v>23</v>
      </c>
      <c r="N426">
        <v>45</v>
      </c>
      <c r="O426">
        <v>3</v>
      </c>
      <c r="P426">
        <v>2</v>
      </c>
      <c r="Q426" t="s">
        <v>34</v>
      </c>
      <c r="R426">
        <v>4</v>
      </c>
      <c r="S426" t="s">
        <v>27</v>
      </c>
      <c r="T426">
        <v>7756</v>
      </c>
      <c r="U426">
        <v>22266</v>
      </c>
      <c r="V426">
        <v>0</v>
      </c>
      <c r="W426" t="s">
        <v>29</v>
      </c>
      <c r="X426" t="s">
        <v>9</v>
      </c>
      <c r="Y426">
        <v>17</v>
      </c>
      <c r="Z426">
        <v>3</v>
      </c>
      <c r="AA426">
        <v>3</v>
      </c>
      <c r="AB426">
        <v>80</v>
      </c>
      <c r="AC426">
        <v>0</v>
      </c>
      <c r="AD426">
        <v>7</v>
      </c>
      <c r="AE426">
        <v>1</v>
      </c>
      <c r="AF426">
        <v>2</v>
      </c>
      <c r="AG426">
        <v>6</v>
      </c>
      <c r="AH426">
        <v>2</v>
      </c>
      <c r="AI426">
        <v>0</v>
      </c>
      <c r="AJ426">
        <v>4</v>
      </c>
    </row>
    <row r="427" spans="1:36" x14ac:dyDescent="0.25">
      <c r="A427" s="15">
        <v>443</v>
      </c>
      <c r="B427" s="15">
        <v>28</v>
      </c>
      <c r="C427" s="15" t="s">
        <v>10</v>
      </c>
      <c r="D427" s="15" t="s">
        <v>15</v>
      </c>
      <c r="E427" s="15">
        <v>529</v>
      </c>
      <c r="F427" s="15" t="s">
        <v>119</v>
      </c>
      <c r="G427" s="15">
        <v>2</v>
      </c>
      <c r="H427" s="15">
        <v>4</v>
      </c>
      <c r="I427" s="15" t="s">
        <v>21</v>
      </c>
      <c r="J427" s="15">
        <v>1</v>
      </c>
      <c r="K427" s="15">
        <v>364</v>
      </c>
      <c r="L427" s="15">
        <v>1</v>
      </c>
      <c r="M427" s="15" t="s">
        <v>23</v>
      </c>
      <c r="N427" s="15">
        <v>79</v>
      </c>
      <c r="O427" s="15">
        <v>3</v>
      </c>
      <c r="P427" s="15">
        <v>1</v>
      </c>
      <c r="Q427" s="15" t="s">
        <v>36</v>
      </c>
      <c r="R427" s="15">
        <v>3</v>
      </c>
      <c r="S427" s="15" t="s">
        <v>27</v>
      </c>
      <c r="T427" s="15">
        <v>3485</v>
      </c>
      <c r="U427" s="15">
        <v>14935</v>
      </c>
      <c r="V427" s="15">
        <v>2</v>
      </c>
      <c r="W427" s="15" t="s">
        <v>29</v>
      </c>
      <c r="X427" s="15" t="s">
        <v>9</v>
      </c>
      <c r="Y427" s="15">
        <v>11</v>
      </c>
      <c r="Z427" s="15">
        <v>3</v>
      </c>
      <c r="AA427" s="15">
        <v>3</v>
      </c>
      <c r="AB427" s="15">
        <v>80</v>
      </c>
      <c r="AC427" s="15">
        <v>0</v>
      </c>
      <c r="AD427" s="15">
        <v>5</v>
      </c>
      <c r="AE427" s="15">
        <v>5</v>
      </c>
      <c r="AF427" s="15">
        <v>1</v>
      </c>
      <c r="AG427" s="15">
        <v>0</v>
      </c>
      <c r="AH427" s="15">
        <v>0</v>
      </c>
      <c r="AI427" s="15">
        <v>0</v>
      </c>
      <c r="AJ427" s="15">
        <v>0</v>
      </c>
    </row>
    <row r="428" spans="1:36" x14ac:dyDescent="0.25">
      <c r="A428" s="15">
        <v>650</v>
      </c>
      <c r="B428" s="15">
        <v>40</v>
      </c>
      <c r="C428" s="15" t="s">
        <v>10</v>
      </c>
      <c r="D428" s="15" t="s">
        <v>15</v>
      </c>
      <c r="E428" s="15">
        <v>1329</v>
      </c>
      <c r="F428" s="15" t="s">
        <v>119</v>
      </c>
      <c r="G428" s="15">
        <v>7</v>
      </c>
      <c r="H428" s="15">
        <v>3</v>
      </c>
      <c r="I428" s="15" t="s">
        <v>21</v>
      </c>
      <c r="J428" s="15">
        <v>1</v>
      </c>
      <c r="K428" s="15">
        <v>1649</v>
      </c>
      <c r="L428" s="15">
        <v>1</v>
      </c>
      <c r="M428" s="15" t="s">
        <v>23</v>
      </c>
      <c r="N428" s="15">
        <v>73</v>
      </c>
      <c r="O428" s="15">
        <v>3</v>
      </c>
      <c r="P428" s="15">
        <v>1</v>
      </c>
      <c r="Q428" s="15" t="s">
        <v>36</v>
      </c>
      <c r="R428" s="15">
        <v>1</v>
      </c>
      <c r="S428" s="15" t="s">
        <v>27</v>
      </c>
      <c r="T428" s="15">
        <v>2166</v>
      </c>
      <c r="U428" s="15">
        <v>3339</v>
      </c>
      <c r="V428" s="15">
        <v>3</v>
      </c>
      <c r="W428" s="15" t="s">
        <v>29</v>
      </c>
      <c r="X428" s="15" t="s">
        <v>10</v>
      </c>
      <c r="Y428" s="15">
        <v>14</v>
      </c>
      <c r="Z428" s="15">
        <v>3</v>
      </c>
      <c r="AA428" s="15">
        <v>2</v>
      </c>
      <c r="AB428" s="15">
        <v>80</v>
      </c>
      <c r="AC428" s="15">
        <v>0</v>
      </c>
      <c r="AD428" s="15">
        <v>10</v>
      </c>
      <c r="AE428" s="15">
        <v>3</v>
      </c>
      <c r="AF428" s="15">
        <v>1</v>
      </c>
      <c r="AG428" s="15">
        <v>4</v>
      </c>
      <c r="AH428" s="15">
        <v>2</v>
      </c>
      <c r="AI428" s="15">
        <v>0</v>
      </c>
      <c r="AJ428" s="15">
        <v>3</v>
      </c>
    </row>
    <row r="429" spans="1:36" x14ac:dyDescent="0.25">
      <c r="A429">
        <v>693</v>
      </c>
      <c r="B429">
        <v>42</v>
      </c>
      <c r="C429" t="s">
        <v>9</v>
      </c>
      <c r="D429" t="s">
        <v>15</v>
      </c>
      <c r="E429">
        <v>1332</v>
      </c>
      <c r="F429" t="s">
        <v>119</v>
      </c>
      <c r="G429">
        <v>2</v>
      </c>
      <c r="H429">
        <v>4</v>
      </c>
      <c r="I429" t="s">
        <v>19</v>
      </c>
      <c r="J429">
        <v>1</v>
      </c>
      <c r="K429">
        <v>477</v>
      </c>
      <c r="L429">
        <v>1</v>
      </c>
      <c r="M429" t="s">
        <v>23</v>
      </c>
      <c r="N429">
        <v>98</v>
      </c>
      <c r="O429">
        <v>2</v>
      </c>
      <c r="P429">
        <v>2</v>
      </c>
      <c r="Q429" t="s">
        <v>34</v>
      </c>
      <c r="R429">
        <v>4</v>
      </c>
      <c r="S429" t="s">
        <v>27</v>
      </c>
      <c r="T429">
        <v>6781</v>
      </c>
      <c r="U429">
        <v>17078</v>
      </c>
      <c r="V429">
        <v>3</v>
      </c>
      <c r="W429" t="s">
        <v>29</v>
      </c>
      <c r="X429" t="s">
        <v>9</v>
      </c>
      <c r="Y429">
        <v>23</v>
      </c>
      <c r="Z429">
        <v>4</v>
      </c>
      <c r="AA429">
        <v>2</v>
      </c>
      <c r="AB429">
        <v>80</v>
      </c>
      <c r="AC429">
        <v>0</v>
      </c>
      <c r="AD429">
        <v>14</v>
      </c>
      <c r="AE429">
        <v>6</v>
      </c>
      <c r="AF429">
        <v>3</v>
      </c>
      <c r="AG429">
        <v>1</v>
      </c>
      <c r="AH429">
        <v>0</v>
      </c>
      <c r="AI429">
        <v>0</v>
      </c>
      <c r="AJ429">
        <v>0</v>
      </c>
    </row>
    <row r="430" spans="1:36" x14ac:dyDescent="0.25">
      <c r="A430" s="15">
        <v>262</v>
      </c>
      <c r="B430" s="15">
        <v>29</v>
      </c>
      <c r="C430" s="15" t="s">
        <v>10</v>
      </c>
      <c r="D430" s="15" t="s">
        <v>15</v>
      </c>
      <c r="E430" s="15">
        <v>224</v>
      </c>
      <c r="F430" s="15" t="s">
        <v>119</v>
      </c>
      <c r="G430" s="15">
        <v>1</v>
      </c>
      <c r="H430" s="15">
        <v>4</v>
      </c>
      <c r="I430" s="15" t="s">
        <v>22</v>
      </c>
      <c r="J430" s="15">
        <v>1</v>
      </c>
      <c r="K430" s="15">
        <v>1522</v>
      </c>
      <c r="L430" s="15">
        <v>1</v>
      </c>
      <c r="M430" s="15" t="s">
        <v>23</v>
      </c>
      <c r="N430" s="15">
        <v>100</v>
      </c>
      <c r="O430" s="15">
        <v>2</v>
      </c>
      <c r="P430" s="15">
        <v>1</v>
      </c>
      <c r="Q430" s="15" t="s">
        <v>32</v>
      </c>
      <c r="R430" s="15">
        <v>1</v>
      </c>
      <c r="S430" s="15" t="s">
        <v>27</v>
      </c>
      <c r="T430" s="15">
        <v>2362</v>
      </c>
      <c r="U430" s="15">
        <v>7568</v>
      </c>
      <c r="V430" s="15">
        <v>6</v>
      </c>
      <c r="W430" s="15" t="s">
        <v>29</v>
      </c>
      <c r="X430" s="15" t="s">
        <v>9</v>
      </c>
      <c r="Y430" s="15">
        <v>13</v>
      </c>
      <c r="Z430" s="15">
        <v>3</v>
      </c>
      <c r="AA430" s="15">
        <v>3</v>
      </c>
      <c r="AB430" s="15">
        <v>80</v>
      </c>
      <c r="AC430" s="15">
        <v>0</v>
      </c>
      <c r="AD430" s="15">
        <v>11</v>
      </c>
      <c r="AE430" s="15">
        <v>2</v>
      </c>
      <c r="AF430" s="15">
        <v>1</v>
      </c>
      <c r="AG430" s="15">
        <v>9</v>
      </c>
      <c r="AH430" s="15">
        <v>7</v>
      </c>
      <c r="AI430" s="15">
        <v>0</v>
      </c>
      <c r="AJ430" s="15">
        <v>7</v>
      </c>
    </row>
    <row r="431" spans="1:36" x14ac:dyDescent="0.25">
      <c r="A431">
        <v>460</v>
      </c>
      <c r="B431">
        <v>36</v>
      </c>
      <c r="C431" t="s">
        <v>9</v>
      </c>
      <c r="D431" t="s">
        <v>15</v>
      </c>
      <c r="E431">
        <v>172</v>
      </c>
      <c r="F431" t="s">
        <v>119</v>
      </c>
      <c r="G431">
        <v>4</v>
      </c>
      <c r="H431">
        <v>4</v>
      </c>
      <c r="I431" t="s">
        <v>21</v>
      </c>
      <c r="J431">
        <v>1</v>
      </c>
      <c r="K431">
        <v>1435</v>
      </c>
      <c r="L431">
        <v>1</v>
      </c>
      <c r="M431" t="s">
        <v>23</v>
      </c>
      <c r="N431">
        <v>37</v>
      </c>
      <c r="O431">
        <v>2</v>
      </c>
      <c r="P431">
        <v>2</v>
      </c>
      <c r="Q431" t="s">
        <v>36</v>
      </c>
      <c r="R431">
        <v>4</v>
      </c>
      <c r="S431" t="s">
        <v>27</v>
      </c>
      <c r="T431">
        <v>5810</v>
      </c>
      <c r="U431">
        <v>22604</v>
      </c>
      <c r="V431">
        <v>1</v>
      </c>
      <c r="W431" t="s">
        <v>29</v>
      </c>
      <c r="X431" t="s">
        <v>9</v>
      </c>
      <c r="Y431">
        <v>16</v>
      </c>
      <c r="Z431">
        <v>3</v>
      </c>
      <c r="AA431">
        <v>3</v>
      </c>
      <c r="AB431">
        <v>80</v>
      </c>
      <c r="AC431">
        <v>0</v>
      </c>
      <c r="AD431">
        <v>10</v>
      </c>
      <c r="AE431">
        <v>2</v>
      </c>
      <c r="AF431">
        <v>2</v>
      </c>
      <c r="AG431">
        <v>10</v>
      </c>
      <c r="AH431">
        <v>4</v>
      </c>
      <c r="AI431">
        <v>1</v>
      </c>
      <c r="AJ431">
        <v>8</v>
      </c>
    </row>
    <row r="432" spans="1:36" x14ac:dyDescent="0.25">
      <c r="A432">
        <v>462</v>
      </c>
      <c r="B432">
        <v>36</v>
      </c>
      <c r="C432" t="s">
        <v>9</v>
      </c>
      <c r="D432" t="s">
        <v>15</v>
      </c>
      <c r="E432">
        <v>311</v>
      </c>
      <c r="F432" t="s">
        <v>119</v>
      </c>
      <c r="G432">
        <v>7</v>
      </c>
      <c r="H432">
        <v>3</v>
      </c>
      <c r="I432" t="s">
        <v>21</v>
      </c>
      <c r="J432">
        <v>1</v>
      </c>
      <c r="K432">
        <v>1659</v>
      </c>
      <c r="L432">
        <v>1</v>
      </c>
      <c r="M432" t="s">
        <v>23</v>
      </c>
      <c r="N432">
        <v>77</v>
      </c>
      <c r="O432">
        <v>3</v>
      </c>
      <c r="P432">
        <v>1</v>
      </c>
      <c r="Q432" t="s">
        <v>36</v>
      </c>
      <c r="R432">
        <v>2</v>
      </c>
      <c r="S432" t="s">
        <v>27</v>
      </c>
      <c r="T432">
        <v>2013</v>
      </c>
      <c r="U432">
        <v>10950</v>
      </c>
      <c r="V432">
        <v>2</v>
      </c>
      <c r="W432" t="s">
        <v>29</v>
      </c>
      <c r="X432" t="s">
        <v>9</v>
      </c>
      <c r="Y432">
        <v>11</v>
      </c>
      <c r="Z432">
        <v>3</v>
      </c>
      <c r="AA432">
        <v>3</v>
      </c>
      <c r="AB432">
        <v>80</v>
      </c>
      <c r="AC432">
        <v>0</v>
      </c>
      <c r="AD432">
        <v>15</v>
      </c>
      <c r="AE432">
        <v>4</v>
      </c>
      <c r="AF432">
        <v>3</v>
      </c>
      <c r="AG432">
        <v>4</v>
      </c>
      <c r="AH432">
        <v>3</v>
      </c>
      <c r="AI432">
        <v>1</v>
      </c>
      <c r="AJ432">
        <v>3</v>
      </c>
    </row>
    <row r="433" spans="1:36" x14ac:dyDescent="0.25">
      <c r="A433" s="15">
        <v>29</v>
      </c>
      <c r="B433" s="15">
        <v>53</v>
      </c>
      <c r="C433" s="15" t="s">
        <v>10</v>
      </c>
      <c r="D433" s="15" t="s">
        <v>15</v>
      </c>
      <c r="E433" s="15">
        <v>1168</v>
      </c>
      <c r="F433" s="15" t="s">
        <v>118</v>
      </c>
      <c r="G433" s="15">
        <v>24</v>
      </c>
      <c r="H433" s="15">
        <v>4</v>
      </c>
      <c r="I433" s="15" t="s">
        <v>21</v>
      </c>
      <c r="J433" s="15">
        <v>1</v>
      </c>
      <c r="K433" s="15">
        <v>1968</v>
      </c>
      <c r="L433" s="15">
        <v>1</v>
      </c>
      <c r="M433" s="15" t="s">
        <v>23</v>
      </c>
      <c r="N433" s="15">
        <v>66</v>
      </c>
      <c r="O433" s="15">
        <v>3</v>
      </c>
      <c r="P433" s="15">
        <v>3</v>
      </c>
      <c r="Q433" s="15" t="s">
        <v>25</v>
      </c>
      <c r="R433" s="15">
        <v>1</v>
      </c>
      <c r="S433" s="15" t="s">
        <v>27</v>
      </c>
      <c r="T433" s="15">
        <v>10448</v>
      </c>
      <c r="U433" s="15">
        <v>5843</v>
      </c>
      <c r="V433" s="15">
        <v>6</v>
      </c>
      <c r="W433" s="15" t="s">
        <v>29</v>
      </c>
      <c r="X433" s="15" t="s">
        <v>10</v>
      </c>
      <c r="Y433" s="15">
        <v>13</v>
      </c>
      <c r="Z433" s="15">
        <v>3</v>
      </c>
      <c r="AA433" s="15">
        <v>2</v>
      </c>
      <c r="AB433" s="15">
        <v>80</v>
      </c>
      <c r="AC433" s="15">
        <v>0</v>
      </c>
      <c r="AD433" s="15">
        <v>15</v>
      </c>
      <c r="AE433" s="15">
        <v>2</v>
      </c>
      <c r="AF433" s="15">
        <v>2</v>
      </c>
      <c r="AG433" s="15">
        <v>2</v>
      </c>
      <c r="AH433" s="15">
        <v>2</v>
      </c>
      <c r="AI433" s="15">
        <v>2</v>
      </c>
      <c r="AJ433" s="15">
        <v>2</v>
      </c>
    </row>
    <row r="434" spans="1:36" x14ac:dyDescent="0.25">
      <c r="A434">
        <v>548</v>
      </c>
      <c r="B434">
        <v>40</v>
      </c>
      <c r="C434" t="s">
        <v>9</v>
      </c>
      <c r="D434" t="s">
        <v>11</v>
      </c>
      <c r="E434">
        <v>720</v>
      </c>
      <c r="F434" t="s">
        <v>119</v>
      </c>
      <c r="G434">
        <v>16</v>
      </c>
      <c r="H434">
        <v>4</v>
      </c>
      <c r="I434" t="s">
        <v>17</v>
      </c>
      <c r="J434">
        <v>1</v>
      </c>
      <c r="K434">
        <v>832</v>
      </c>
      <c r="L434">
        <v>1</v>
      </c>
      <c r="M434" t="s">
        <v>23</v>
      </c>
      <c r="N434">
        <v>51</v>
      </c>
      <c r="O434">
        <v>2</v>
      </c>
      <c r="P434">
        <v>2</v>
      </c>
      <c r="Q434" t="s">
        <v>36</v>
      </c>
      <c r="R434">
        <v>3</v>
      </c>
      <c r="S434" t="s">
        <v>27</v>
      </c>
      <c r="T434">
        <v>5094</v>
      </c>
      <c r="U434">
        <v>11983</v>
      </c>
      <c r="V434">
        <v>6</v>
      </c>
      <c r="W434" t="s">
        <v>29</v>
      </c>
      <c r="X434" t="s">
        <v>9</v>
      </c>
      <c r="Y434">
        <v>14</v>
      </c>
      <c r="Z434">
        <v>3</v>
      </c>
      <c r="AA434">
        <v>4</v>
      </c>
      <c r="AB434">
        <v>80</v>
      </c>
      <c r="AC434">
        <v>0</v>
      </c>
      <c r="AD434">
        <v>10</v>
      </c>
      <c r="AE434">
        <v>6</v>
      </c>
      <c r="AF434">
        <v>3</v>
      </c>
      <c r="AG434">
        <v>1</v>
      </c>
      <c r="AH434">
        <v>0</v>
      </c>
      <c r="AI434">
        <v>0</v>
      </c>
      <c r="AJ434">
        <v>0</v>
      </c>
    </row>
    <row r="435" spans="1:36" x14ac:dyDescent="0.25">
      <c r="A435">
        <v>756</v>
      </c>
      <c r="B435">
        <v>44</v>
      </c>
      <c r="C435" t="s">
        <v>9</v>
      </c>
      <c r="D435" t="s">
        <v>16</v>
      </c>
      <c r="E435">
        <v>381</v>
      </c>
      <c r="F435" t="s">
        <v>119</v>
      </c>
      <c r="G435">
        <v>24</v>
      </c>
      <c r="H435">
        <v>3</v>
      </c>
      <c r="I435" t="s">
        <v>17</v>
      </c>
      <c r="J435">
        <v>1</v>
      </c>
      <c r="K435">
        <v>744</v>
      </c>
      <c r="L435">
        <v>1</v>
      </c>
      <c r="M435" t="s">
        <v>23</v>
      </c>
      <c r="N435">
        <v>49</v>
      </c>
      <c r="O435">
        <v>1</v>
      </c>
      <c r="P435">
        <v>1</v>
      </c>
      <c r="Q435" t="s">
        <v>36</v>
      </c>
      <c r="R435">
        <v>3</v>
      </c>
      <c r="S435" t="s">
        <v>27</v>
      </c>
      <c r="T435">
        <v>3708</v>
      </c>
      <c r="U435">
        <v>2104</v>
      </c>
      <c r="V435">
        <v>2</v>
      </c>
      <c r="W435" t="s">
        <v>29</v>
      </c>
      <c r="X435" t="s">
        <v>9</v>
      </c>
      <c r="Y435">
        <v>14</v>
      </c>
      <c r="Z435">
        <v>3</v>
      </c>
      <c r="AA435">
        <v>3</v>
      </c>
      <c r="AB435">
        <v>80</v>
      </c>
      <c r="AC435">
        <v>0</v>
      </c>
      <c r="AD435">
        <v>9</v>
      </c>
      <c r="AE435">
        <v>5</v>
      </c>
      <c r="AF435">
        <v>3</v>
      </c>
      <c r="AG435">
        <v>5</v>
      </c>
      <c r="AH435">
        <v>2</v>
      </c>
      <c r="AI435">
        <v>1</v>
      </c>
      <c r="AJ435">
        <v>4</v>
      </c>
    </row>
    <row r="436" spans="1:36" x14ac:dyDescent="0.25">
      <c r="A436" s="15">
        <v>863</v>
      </c>
      <c r="B436" s="15">
        <v>34</v>
      </c>
      <c r="C436" s="15" t="s">
        <v>10</v>
      </c>
      <c r="D436" s="15" t="s">
        <v>16</v>
      </c>
      <c r="E436" s="15">
        <v>1362</v>
      </c>
      <c r="F436" s="15" t="s">
        <v>118</v>
      </c>
      <c r="G436" s="15">
        <v>19</v>
      </c>
      <c r="H436" s="15">
        <v>3</v>
      </c>
      <c r="I436" s="15" t="s">
        <v>18</v>
      </c>
      <c r="J436" s="15">
        <v>1</v>
      </c>
      <c r="K436" s="15">
        <v>502</v>
      </c>
      <c r="L436" s="15">
        <v>1</v>
      </c>
      <c r="M436" s="15" t="s">
        <v>23</v>
      </c>
      <c r="N436" s="15">
        <v>67</v>
      </c>
      <c r="O436" s="15">
        <v>4</v>
      </c>
      <c r="P436" s="15">
        <v>2</v>
      </c>
      <c r="Q436" s="15" t="s">
        <v>25</v>
      </c>
      <c r="R436" s="15">
        <v>4</v>
      </c>
      <c r="S436" s="15" t="s">
        <v>27</v>
      </c>
      <c r="T436" s="15">
        <v>5304</v>
      </c>
      <c r="U436" s="15">
        <v>4652</v>
      </c>
      <c r="V436" s="15">
        <v>8</v>
      </c>
      <c r="W436" s="15" t="s">
        <v>29</v>
      </c>
      <c r="X436" s="15" t="s">
        <v>10</v>
      </c>
      <c r="Y436" s="15">
        <v>13</v>
      </c>
      <c r="Z436" s="15">
        <v>3</v>
      </c>
      <c r="AA436" s="15">
        <v>2</v>
      </c>
      <c r="AB436" s="15">
        <v>80</v>
      </c>
      <c r="AC436" s="15">
        <v>0</v>
      </c>
      <c r="AD436" s="15">
        <v>9</v>
      </c>
      <c r="AE436" s="15">
        <v>3</v>
      </c>
      <c r="AF436" s="15">
        <v>2</v>
      </c>
      <c r="AG436" s="15">
        <v>5</v>
      </c>
      <c r="AH436" s="15">
        <v>2</v>
      </c>
      <c r="AI436" s="15">
        <v>0</v>
      </c>
      <c r="AJ436" s="15">
        <v>4</v>
      </c>
    </row>
    <row r="437" spans="1:36" x14ac:dyDescent="0.25">
      <c r="A437">
        <v>740</v>
      </c>
      <c r="B437">
        <v>35</v>
      </c>
      <c r="C437" t="s">
        <v>9</v>
      </c>
      <c r="D437" t="s">
        <v>15</v>
      </c>
      <c r="E437">
        <v>538</v>
      </c>
      <c r="F437" t="s">
        <v>119</v>
      </c>
      <c r="G437">
        <v>25</v>
      </c>
      <c r="H437">
        <v>2</v>
      </c>
      <c r="I437" t="s">
        <v>19</v>
      </c>
      <c r="J437">
        <v>1</v>
      </c>
      <c r="K437">
        <v>652</v>
      </c>
      <c r="L437">
        <v>1</v>
      </c>
      <c r="M437" t="s">
        <v>23</v>
      </c>
      <c r="N437">
        <v>54</v>
      </c>
      <c r="O437">
        <v>2</v>
      </c>
      <c r="P437">
        <v>2</v>
      </c>
      <c r="Q437" t="s">
        <v>36</v>
      </c>
      <c r="R437">
        <v>4</v>
      </c>
      <c r="S437" t="s">
        <v>27</v>
      </c>
      <c r="T437">
        <v>3681</v>
      </c>
      <c r="U437">
        <v>14004</v>
      </c>
      <c r="V437">
        <v>4</v>
      </c>
      <c r="W437" t="s">
        <v>29</v>
      </c>
      <c r="X437" t="s">
        <v>9</v>
      </c>
      <c r="Y437">
        <v>14</v>
      </c>
      <c r="Z437">
        <v>3</v>
      </c>
      <c r="AA437">
        <v>4</v>
      </c>
      <c r="AB437">
        <v>80</v>
      </c>
      <c r="AC437">
        <v>0</v>
      </c>
      <c r="AD437">
        <v>9</v>
      </c>
      <c r="AE437">
        <v>3</v>
      </c>
      <c r="AF437">
        <v>3</v>
      </c>
      <c r="AG437">
        <v>3</v>
      </c>
      <c r="AH437">
        <v>2</v>
      </c>
      <c r="AI437">
        <v>0</v>
      </c>
      <c r="AJ437">
        <v>2</v>
      </c>
    </row>
    <row r="438" spans="1:36" x14ac:dyDescent="0.25">
      <c r="A438">
        <v>671</v>
      </c>
      <c r="B438">
        <v>37</v>
      </c>
      <c r="C438" t="s">
        <v>9</v>
      </c>
      <c r="D438" t="s">
        <v>15</v>
      </c>
      <c r="E438">
        <v>397</v>
      </c>
      <c r="F438" t="s">
        <v>119</v>
      </c>
      <c r="G438">
        <v>7</v>
      </c>
      <c r="H438">
        <v>4</v>
      </c>
      <c r="I438" t="s">
        <v>17</v>
      </c>
      <c r="J438">
        <v>1</v>
      </c>
      <c r="K438">
        <v>102</v>
      </c>
      <c r="L438">
        <v>1</v>
      </c>
      <c r="M438" t="s">
        <v>23</v>
      </c>
      <c r="N438">
        <v>30</v>
      </c>
      <c r="O438">
        <v>3</v>
      </c>
      <c r="P438">
        <v>3</v>
      </c>
      <c r="Q438" t="s">
        <v>30</v>
      </c>
      <c r="R438">
        <v>3</v>
      </c>
      <c r="S438" t="s">
        <v>27</v>
      </c>
      <c r="T438">
        <v>13664</v>
      </c>
      <c r="U438">
        <v>25258</v>
      </c>
      <c r="V438">
        <v>4</v>
      </c>
      <c r="W438" t="s">
        <v>29</v>
      </c>
      <c r="X438" t="s">
        <v>9</v>
      </c>
      <c r="Y438">
        <v>13</v>
      </c>
      <c r="Z438">
        <v>3</v>
      </c>
      <c r="AA438">
        <v>1</v>
      </c>
      <c r="AB438">
        <v>80</v>
      </c>
      <c r="AC438">
        <v>0</v>
      </c>
      <c r="AD438">
        <v>16</v>
      </c>
      <c r="AE438">
        <v>3</v>
      </c>
      <c r="AF438">
        <v>4</v>
      </c>
      <c r="AG438">
        <v>5</v>
      </c>
      <c r="AH438">
        <v>2</v>
      </c>
      <c r="AI438">
        <v>0</v>
      </c>
      <c r="AJ438">
        <v>2</v>
      </c>
    </row>
    <row r="439" spans="1:36" x14ac:dyDescent="0.25">
      <c r="A439" s="15">
        <v>298</v>
      </c>
      <c r="B439" s="15">
        <v>34</v>
      </c>
      <c r="C439" s="15" t="s">
        <v>10</v>
      </c>
      <c r="D439" s="15" t="s">
        <v>11</v>
      </c>
      <c r="E439" s="15">
        <v>658</v>
      </c>
      <c r="F439" s="15" t="s">
        <v>119</v>
      </c>
      <c r="G439" s="15">
        <v>7</v>
      </c>
      <c r="H439" s="15">
        <v>3</v>
      </c>
      <c r="I439" s="15" t="s">
        <v>21</v>
      </c>
      <c r="J439" s="15">
        <v>1</v>
      </c>
      <c r="K439" s="15">
        <v>147</v>
      </c>
      <c r="L439" s="15">
        <v>1</v>
      </c>
      <c r="M439" s="15" t="s">
        <v>23</v>
      </c>
      <c r="N439" s="15">
        <v>66</v>
      </c>
      <c r="O439" s="15">
        <v>1</v>
      </c>
      <c r="P439" s="15">
        <v>2</v>
      </c>
      <c r="Q439" s="15" t="s">
        <v>36</v>
      </c>
      <c r="R439" s="15">
        <v>3</v>
      </c>
      <c r="S439" s="15" t="s">
        <v>27</v>
      </c>
      <c r="T439" s="15">
        <v>6074</v>
      </c>
      <c r="U439" s="15">
        <v>22887</v>
      </c>
      <c r="V439" s="15">
        <v>1</v>
      </c>
      <c r="W439" s="15" t="s">
        <v>29</v>
      </c>
      <c r="X439" s="15" t="s">
        <v>10</v>
      </c>
      <c r="Y439" s="15">
        <v>24</v>
      </c>
      <c r="Z439" s="15">
        <v>4</v>
      </c>
      <c r="AA439" s="15">
        <v>4</v>
      </c>
      <c r="AB439" s="15">
        <v>80</v>
      </c>
      <c r="AC439" s="15">
        <v>0</v>
      </c>
      <c r="AD439" s="15">
        <v>9</v>
      </c>
      <c r="AE439" s="15">
        <v>3</v>
      </c>
      <c r="AF439" s="15">
        <v>3</v>
      </c>
      <c r="AG439" s="15">
        <v>9</v>
      </c>
      <c r="AH439" s="15">
        <v>7</v>
      </c>
      <c r="AI439" s="15">
        <v>0</v>
      </c>
      <c r="AJ439" s="15">
        <v>6</v>
      </c>
    </row>
    <row r="440" spans="1:36" x14ac:dyDescent="0.25">
      <c r="A440" s="15">
        <v>433</v>
      </c>
      <c r="B440" s="15">
        <v>49</v>
      </c>
      <c r="C440" s="15" t="s">
        <v>10</v>
      </c>
      <c r="D440" s="15" t="s">
        <v>11</v>
      </c>
      <c r="E440" s="15">
        <v>1475</v>
      </c>
      <c r="F440" s="15" t="s">
        <v>119</v>
      </c>
      <c r="G440" s="15">
        <v>28</v>
      </c>
      <c r="H440" s="15">
        <v>2</v>
      </c>
      <c r="I440" s="15" t="s">
        <v>21</v>
      </c>
      <c r="J440" s="15">
        <v>1</v>
      </c>
      <c r="K440" s="15">
        <v>1420</v>
      </c>
      <c r="L440" s="15">
        <v>1</v>
      </c>
      <c r="M440" s="15" t="s">
        <v>23</v>
      </c>
      <c r="N440" s="15">
        <v>97</v>
      </c>
      <c r="O440" s="15">
        <v>2</v>
      </c>
      <c r="P440" s="15">
        <v>2</v>
      </c>
      <c r="Q440" s="15" t="s">
        <v>36</v>
      </c>
      <c r="R440" s="15">
        <v>1</v>
      </c>
      <c r="S440" s="15" t="s">
        <v>27</v>
      </c>
      <c r="T440" s="15">
        <v>4284</v>
      </c>
      <c r="U440" s="15">
        <v>22710</v>
      </c>
      <c r="V440" s="15">
        <v>3</v>
      </c>
      <c r="W440" s="15" t="s">
        <v>29</v>
      </c>
      <c r="X440" s="15" t="s">
        <v>9</v>
      </c>
      <c r="Y440" s="15">
        <v>20</v>
      </c>
      <c r="Z440" s="15">
        <v>4</v>
      </c>
      <c r="AA440" s="15">
        <v>1</v>
      </c>
      <c r="AB440" s="15">
        <v>80</v>
      </c>
      <c r="AC440" s="15">
        <v>0</v>
      </c>
      <c r="AD440" s="15">
        <v>20</v>
      </c>
      <c r="AE440" s="15">
        <v>2</v>
      </c>
      <c r="AF440" s="15">
        <v>3</v>
      </c>
      <c r="AG440" s="15">
        <v>4</v>
      </c>
      <c r="AH440" s="15">
        <v>3</v>
      </c>
      <c r="AI440" s="15">
        <v>1</v>
      </c>
      <c r="AJ440" s="15">
        <v>3</v>
      </c>
    </row>
    <row r="441" spans="1:36" x14ac:dyDescent="0.25">
      <c r="A441" s="15">
        <v>489</v>
      </c>
      <c r="B441" s="15">
        <v>48</v>
      </c>
      <c r="C441" s="15" t="s">
        <v>10</v>
      </c>
      <c r="D441" s="15" t="s">
        <v>15</v>
      </c>
      <c r="E441" s="15">
        <v>626</v>
      </c>
      <c r="F441" s="15" t="s">
        <v>119</v>
      </c>
      <c r="G441" s="15">
        <v>1</v>
      </c>
      <c r="H441" s="15">
        <v>2</v>
      </c>
      <c r="I441" s="15" t="s">
        <v>21</v>
      </c>
      <c r="J441" s="15">
        <v>1</v>
      </c>
      <c r="K441" s="15">
        <v>64</v>
      </c>
      <c r="L441" s="15">
        <v>1</v>
      </c>
      <c r="M441" s="15" t="s">
        <v>23</v>
      </c>
      <c r="N441" s="15">
        <v>98</v>
      </c>
      <c r="O441" s="15">
        <v>2</v>
      </c>
      <c r="P441" s="15">
        <v>3</v>
      </c>
      <c r="Q441" s="15" t="s">
        <v>36</v>
      </c>
      <c r="R441" s="15">
        <v>3</v>
      </c>
      <c r="S441" s="15" t="s">
        <v>27</v>
      </c>
      <c r="T441" s="15">
        <v>5381</v>
      </c>
      <c r="U441" s="15">
        <v>19294</v>
      </c>
      <c r="V441" s="15">
        <v>9</v>
      </c>
      <c r="W441" s="15" t="s">
        <v>29</v>
      </c>
      <c r="X441" s="15" t="s">
        <v>10</v>
      </c>
      <c r="Y441" s="15">
        <v>13</v>
      </c>
      <c r="Z441" s="15">
        <v>3</v>
      </c>
      <c r="AA441" s="15">
        <v>4</v>
      </c>
      <c r="AB441" s="15">
        <v>80</v>
      </c>
      <c r="AC441" s="15">
        <v>0</v>
      </c>
      <c r="AD441" s="15">
        <v>23</v>
      </c>
      <c r="AE441" s="15">
        <v>2</v>
      </c>
      <c r="AF441" s="15">
        <v>3</v>
      </c>
      <c r="AG441" s="15">
        <v>1</v>
      </c>
      <c r="AH441" s="15">
        <v>0</v>
      </c>
      <c r="AI441" s="15">
        <v>0</v>
      </c>
      <c r="AJ441" s="15">
        <v>0</v>
      </c>
    </row>
    <row r="442" spans="1:36" x14ac:dyDescent="0.25">
      <c r="A442">
        <v>256</v>
      </c>
      <c r="B442">
        <v>43</v>
      </c>
      <c r="C442" t="s">
        <v>9</v>
      </c>
      <c r="D442" t="s">
        <v>16</v>
      </c>
      <c r="E442">
        <v>343</v>
      </c>
      <c r="F442" t="s">
        <v>119</v>
      </c>
      <c r="G442">
        <v>9</v>
      </c>
      <c r="H442">
        <v>3</v>
      </c>
      <c r="I442" t="s">
        <v>21</v>
      </c>
      <c r="J442">
        <v>1</v>
      </c>
      <c r="K442">
        <v>1813</v>
      </c>
      <c r="L442">
        <v>1</v>
      </c>
      <c r="M442" t="s">
        <v>23</v>
      </c>
      <c r="N442">
        <v>52</v>
      </c>
      <c r="O442">
        <v>3</v>
      </c>
      <c r="P442">
        <v>1</v>
      </c>
      <c r="Q442" t="s">
        <v>32</v>
      </c>
      <c r="R442">
        <v>3</v>
      </c>
      <c r="S442" t="s">
        <v>27</v>
      </c>
      <c r="T442">
        <v>2438</v>
      </c>
      <c r="U442">
        <v>24978</v>
      </c>
      <c r="V442">
        <v>4</v>
      </c>
      <c r="W442" t="s">
        <v>29</v>
      </c>
      <c r="X442" t="s">
        <v>9</v>
      </c>
      <c r="Y442">
        <v>13</v>
      </c>
      <c r="Z442">
        <v>3</v>
      </c>
      <c r="AA442">
        <v>3</v>
      </c>
      <c r="AB442">
        <v>80</v>
      </c>
      <c r="AC442">
        <v>0</v>
      </c>
      <c r="AD442">
        <v>7</v>
      </c>
      <c r="AE442">
        <v>2</v>
      </c>
      <c r="AF442">
        <v>2</v>
      </c>
      <c r="AG442">
        <v>3</v>
      </c>
      <c r="AH442">
        <v>2</v>
      </c>
      <c r="AI442">
        <v>1</v>
      </c>
      <c r="AJ442">
        <v>2</v>
      </c>
    </row>
    <row r="443" spans="1:36" x14ac:dyDescent="0.25">
      <c r="A443" s="15">
        <v>520</v>
      </c>
      <c r="B443" s="15">
        <v>56</v>
      </c>
      <c r="C443" s="15" t="s">
        <v>10</v>
      </c>
      <c r="D443" s="15" t="s">
        <v>15</v>
      </c>
      <c r="E443" s="15">
        <v>1162</v>
      </c>
      <c r="F443" s="15" t="s">
        <v>119</v>
      </c>
      <c r="G443" s="15">
        <v>24</v>
      </c>
      <c r="H443" s="15">
        <v>2</v>
      </c>
      <c r="I443" s="15" t="s">
        <v>21</v>
      </c>
      <c r="J443" s="15">
        <v>1</v>
      </c>
      <c r="K443" s="15">
        <v>1907</v>
      </c>
      <c r="L443" s="15">
        <v>1</v>
      </c>
      <c r="M443" s="15" t="s">
        <v>23</v>
      </c>
      <c r="N443" s="15">
        <v>97</v>
      </c>
      <c r="O443" s="15">
        <v>3</v>
      </c>
      <c r="P443" s="15">
        <v>1</v>
      </c>
      <c r="Q443" s="15" t="s">
        <v>36</v>
      </c>
      <c r="R443" s="15">
        <v>4</v>
      </c>
      <c r="S443" s="15" t="s">
        <v>27</v>
      </c>
      <c r="T443" s="15">
        <v>2587</v>
      </c>
      <c r="U443" s="15">
        <v>10261</v>
      </c>
      <c r="V443" s="15">
        <v>1</v>
      </c>
      <c r="W443" s="15" t="s">
        <v>29</v>
      </c>
      <c r="X443" s="15" t="s">
        <v>9</v>
      </c>
      <c r="Y443" s="15">
        <v>16</v>
      </c>
      <c r="Z443" s="15">
        <v>3</v>
      </c>
      <c r="AA443" s="15">
        <v>4</v>
      </c>
      <c r="AB443" s="15">
        <v>80</v>
      </c>
      <c r="AC443" s="15">
        <v>0</v>
      </c>
      <c r="AD443" s="15">
        <v>5</v>
      </c>
      <c r="AE443" s="15">
        <v>3</v>
      </c>
      <c r="AF443" s="15">
        <v>3</v>
      </c>
      <c r="AG443" s="15">
        <v>4</v>
      </c>
      <c r="AH443" s="15">
        <v>2</v>
      </c>
      <c r="AI443" s="15">
        <v>1</v>
      </c>
      <c r="AJ443" s="15">
        <v>0</v>
      </c>
    </row>
    <row r="444" spans="1:36" x14ac:dyDescent="0.25">
      <c r="A444">
        <v>195</v>
      </c>
      <c r="B444">
        <v>26</v>
      </c>
      <c r="C444" t="s">
        <v>9</v>
      </c>
      <c r="D444" t="s">
        <v>15</v>
      </c>
      <c r="E444">
        <v>683</v>
      </c>
      <c r="F444" t="s">
        <v>119</v>
      </c>
      <c r="G444">
        <v>2</v>
      </c>
      <c r="H444">
        <v>1</v>
      </c>
      <c r="I444" t="s">
        <v>17</v>
      </c>
      <c r="J444">
        <v>1</v>
      </c>
      <c r="K444">
        <v>1407</v>
      </c>
      <c r="L444">
        <v>1</v>
      </c>
      <c r="M444" t="s">
        <v>23</v>
      </c>
      <c r="N444">
        <v>36</v>
      </c>
      <c r="O444">
        <v>2</v>
      </c>
      <c r="P444">
        <v>1</v>
      </c>
      <c r="Q444" t="s">
        <v>32</v>
      </c>
      <c r="R444">
        <v>4</v>
      </c>
      <c r="S444" t="s">
        <v>27</v>
      </c>
      <c r="T444">
        <v>3904</v>
      </c>
      <c r="U444">
        <v>4050</v>
      </c>
      <c r="V444">
        <v>0</v>
      </c>
      <c r="W444" t="s">
        <v>29</v>
      </c>
      <c r="X444" t="s">
        <v>9</v>
      </c>
      <c r="Y444">
        <v>12</v>
      </c>
      <c r="Z444">
        <v>3</v>
      </c>
      <c r="AA444">
        <v>4</v>
      </c>
      <c r="AB444">
        <v>80</v>
      </c>
      <c r="AC444">
        <v>0</v>
      </c>
      <c r="AD444">
        <v>5</v>
      </c>
      <c r="AE444">
        <v>2</v>
      </c>
      <c r="AF444">
        <v>3</v>
      </c>
      <c r="AG444">
        <v>4</v>
      </c>
      <c r="AH444">
        <v>3</v>
      </c>
      <c r="AI444">
        <v>1</v>
      </c>
      <c r="AJ444">
        <v>1</v>
      </c>
    </row>
    <row r="445" spans="1:36" x14ac:dyDescent="0.25">
      <c r="A445">
        <v>215</v>
      </c>
      <c r="B445">
        <v>27</v>
      </c>
      <c r="C445" t="s">
        <v>9</v>
      </c>
      <c r="D445" t="s">
        <v>15</v>
      </c>
      <c r="E445">
        <v>1115</v>
      </c>
      <c r="F445" t="s">
        <v>119</v>
      </c>
      <c r="G445">
        <v>3</v>
      </c>
      <c r="H445">
        <v>4</v>
      </c>
      <c r="I445" t="s">
        <v>17</v>
      </c>
      <c r="J445">
        <v>1</v>
      </c>
      <c r="K445">
        <v>700</v>
      </c>
      <c r="L445">
        <v>1</v>
      </c>
      <c r="M445" t="s">
        <v>23</v>
      </c>
      <c r="N445">
        <v>54</v>
      </c>
      <c r="O445">
        <v>2</v>
      </c>
      <c r="P445">
        <v>1</v>
      </c>
      <c r="Q445" t="s">
        <v>32</v>
      </c>
      <c r="R445">
        <v>4</v>
      </c>
      <c r="S445" t="s">
        <v>27</v>
      </c>
      <c r="T445">
        <v>2045</v>
      </c>
      <c r="U445">
        <v>15174</v>
      </c>
      <c r="V445">
        <v>0</v>
      </c>
      <c r="W445" t="s">
        <v>29</v>
      </c>
      <c r="X445" t="s">
        <v>9</v>
      </c>
      <c r="Y445">
        <v>13</v>
      </c>
      <c r="Z445">
        <v>3</v>
      </c>
      <c r="AA445">
        <v>4</v>
      </c>
      <c r="AB445">
        <v>80</v>
      </c>
      <c r="AC445">
        <v>0</v>
      </c>
      <c r="AD445">
        <v>5</v>
      </c>
      <c r="AE445">
        <v>0</v>
      </c>
      <c r="AF445">
        <v>3</v>
      </c>
      <c r="AG445">
        <v>4</v>
      </c>
      <c r="AH445">
        <v>2</v>
      </c>
      <c r="AI445">
        <v>1</v>
      </c>
      <c r="AJ445">
        <v>1</v>
      </c>
    </row>
    <row r="446" spans="1:36" x14ac:dyDescent="0.25">
      <c r="A446">
        <v>735</v>
      </c>
      <c r="B446">
        <v>34</v>
      </c>
      <c r="C446" t="s">
        <v>9</v>
      </c>
      <c r="D446" t="s">
        <v>15</v>
      </c>
      <c r="E446">
        <v>479</v>
      </c>
      <c r="F446" t="s">
        <v>119</v>
      </c>
      <c r="G446">
        <v>7</v>
      </c>
      <c r="H446">
        <v>4</v>
      </c>
      <c r="I446" t="s">
        <v>17</v>
      </c>
      <c r="J446">
        <v>1</v>
      </c>
      <c r="K446">
        <v>1577</v>
      </c>
      <c r="L446">
        <v>1</v>
      </c>
      <c r="M446" t="s">
        <v>23</v>
      </c>
      <c r="N446">
        <v>35</v>
      </c>
      <c r="O446">
        <v>3</v>
      </c>
      <c r="P446">
        <v>1</v>
      </c>
      <c r="Q446" t="s">
        <v>32</v>
      </c>
      <c r="R446">
        <v>4</v>
      </c>
      <c r="S446" t="s">
        <v>27</v>
      </c>
      <c r="T446">
        <v>2972</v>
      </c>
      <c r="U446">
        <v>22061</v>
      </c>
      <c r="V446">
        <v>1</v>
      </c>
      <c r="W446" t="s">
        <v>29</v>
      </c>
      <c r="X446" t="s">
        <v>9</v>
      </c>
      <c r="Y446">
        <v>13</v>
      </c>
      <c r="Z446">
        <v>3</v>
      </c>
      <c r="AA446">
        <v>3</v>
      </c>
      <c r="AB446">
        <v>80</v>
      </c>
      <c r="AC446">
        <v>0</v>
      </c>
      <c r="AD446">
        <v>1</v>
      </c>
      <c r="AE446">
        <v>4</v>
      </c>
      <c r="AF446">
        <v>1</v>
      </c>
      <c r="AG446">
        <v>1</v>
      </c>
      <c r="AH446">
        <v>0</v>
      </c>
      <c r="AI446">
        <v>0</v>
      </c>
      <c r="AJ446">
        <v>0</v>
      </c>
    </row>
    <row r="447" spans="1:36" x14ac:dyDescent="0.25">
      <c r="A447">
        <v>776</v>
      </c>
      <c r="B447">
        <v>23</v>
      </c>
      <c r="C447" t="s">
        <v>9</v>
      </c>
      <c r="D447" t="s">
        <v>15</v>
      </c>
      <c r="E447">
        <v>310</v>
      </c>
      <c r="F447" t="s">
        <v>119</v>
      </c>
      <c r="G447">
        <v>10</v>
      </c>
      <c r="H447">
        <v>1</v>
      </c>
      <c r="I447" t="s">
        <v>17</v>
      </c>
      <c r="J447">
        <v>1</v>
      </c>
      <c r="K447">
        <v>784</v>
      </c>
      <c r="L447">
        <v>1</v>
      </c>
      <c r="M447" t="s">
        <v>23</v>
      </c>
      <c r="N447">
        <v>79</v>
      </c>
      <c r="O447">
        <v>4</v>
      </c>
      <c r="P447">
        <v>1</v>
      </c>
      <c r="Q447" t="s">
        <v>32</v>
      </c>
      <c r="R447">
        <v>3</v>
      </c>
      <c r="S447" t="s">
        <v>27</v>
      </c>
      <c r="T447">
        <v>3505</v>
      </c>
      <c r="U447">
        <v>19630</v>
      </c>
      <c r="V447">
        <v>1</v>
      </c>
      <c r="W447" t="s">
        <v>29</v>
      </c>
      <c r="X447" t="s">
        <v>9</v>
      </c>
      <c r="Y447">
        <v>18</v>
      </c>
      <c r="Z447">
        <v>3</v>
      </c>
      <c r="AA447">
        <v>4</v>
      </c>
      <c r="AB447">
        <v>80</v>
      </c>
      <c r="AC447">
        <v>0</v>
      </c>
      <c r="AD447">
        <v>2</v>
      </c>
      <c r="AE447">
        <v>3</v>
      </c>
      <c r="AF447">
        <v>3</v>
      </c>
      <c r="AG447">
        <v>2</v>
      </c>
      <c r="AH447">
        <v>2</v>
      </c>
      <c r="AI447">
        <v>0</v>
      </c>
      <c r="AJ447">
        <v>2</v>
      </c>
    </row>
    <row r="448" spans="1:36" x14ac:dyDescent="0.25">
      <c r="A448" s="15">
        <v>796</v>
      </c>
      <c r="B448" s="15">
        <v>33</v>
      </c>
      <c r="C448" s="15" t="s">
        <v>10</v>
      </c>
      <c r="D448" s="15" t="s">
        <v>11</v>
      </c>
      <c r="E448" s="15">
        <v>1076</v>
      </c>
      <c r="F448" s="15" t="s">
        <v>119</v>
      </c>
      <c r="G448" s="15">
        <v>3</v>
      </c>
      <c r="H448" s="15">
        <v>3</v>
      </c>
      <c r="I448" s="15" t="s">
        <v>21</v>
      </c>
      <c r="J448" s="15">
        <v>1</v>
      </c>
      <c r="K448" s="15">
        <v>702</v>
      </c>
      <c r="L448" s="15">
        <v>1</v>
      </c>
      <c r="M448" s="15" t="s">
        <v>23</v>
      </c>
      <c r="N448" s="15">
        <v>70</v>
      </c>
      <c r="O448" s="15">
        <v>3</v>
      </c>
      <c r="P448" s="15">
        <v>1</v>
      </c>
      <c r="Q448" s="15" t="s">
        <v>32</v>
      </c>
      <c r="R448" s="15">
        <v>1</v>
      </c>
      <c r="S448" s="15" t="s">
        <v>27</v>
      </c>
      <c r="T448" s="15">
        <v>3348</v>
      </c>
      <c r="U448" s="15">
        <v>3164</v>
      </c>
      <c r="V448" s="15">
        <v>1</v>
      </c>
      <c r="W448" s="15" t="s">
        <v>29</v>
      </c>
      <c r="X448" s="15" t="s">
        <v>10</v>
      </c>
      <c r="Y448" s="15">
        <v>11</v>
      </c>
      <c r="Z448" s="15">
        <v>3</v>
      </c>
      <c r="AA448" s="15">
        <v>1</v>
      </c>
      <c r="AB448" s="15">
        <v>80</v>
      </c>
      <c r="AC448" s="15">
        <v>0</v>
      </c>
      <c r="AD448" s="15">
        <v>10</v>
      </c>
      <c r="AE448" s="15">
        <v>3</v>
      </c>
      <c r="AF448" s="15">
        <v>3</v>
      </c>
      <c r="AG448" s="15">
        <v>10</v>
      </c>
      <c r="AH448" s="15">
        <v>8</v>
      </c>
      <c r="AI448" s="15">
        <v>9</v>
      </c>
      <c r="AJ448" s="15">
        <v>7</v>
      </c>
    </row>
    <row r="449" spans="1:36" x14ac:dyDescent="0.25">
      <c r="A449" s="15">
        <v>47</v>
      </c>
      <c r="B449" s="15">
        <v>32</v>
      </c>
      <c r="C449" s="15" t="s">
        <v>10</v>
      </c>
      <c r="D449" s="15" t="s">
        <v>15</v>
      </c>
      <c r="E449" s="15">
        <v>964</v>
      </c>
      <c r="F449" s="15" t="s">
        <v>118</v>
      </c>
      <c r="G449" s="15">
        <v>1</v>
      </c>
      <c r="H449" s="15">
        <v>2</v>
      </c>
      <c r="I449" s="15" t="s">
        <v>21</v>
      </c>
      <c r="J449" s="15">
        <v>1</v>
      </c>
      <c r="K449" s="15">
        <v>1734</v>
      </c>
      <c r="L449" s="15">
        <v>1</v>
      </c>
      <c r="M449" s="15" t="s">
        <v>23</v>
      </c>
      <c r="N449" s="15">
        <v>34</v>
      </c>
      <c r="O449" s="15">
        <v>1</v>
      </c>
      <c r="P449" s="15">
        <v>2</v>
      </c>
      <c r="Q449" s="15" t="s">
        <v>25</v>
      </c>
      <c r="R449" s="15">
        <v>2</v>
      </c>
      <c r="S449" s="15" t="s">
        <v>27</v>
      </c>
      <c r="T449" s="15">
        <v>6735</v>
      </c>
      <c r="U449" s="15">
        <v>12147</v>
      </c>
      <c r="V449" s="15">
        <v>6</v>
      </c>
      <c r="W449" s="15" t="s">
        <v>29</v>
      </c>
      <c r="X449" s="15" t="s">
        <v>9</v>
      </c>
      <c r="Y449" s="15">
        <v>15</v>
      </c>
      <c r="Z449" s="15">
        <v>3</v>
      </c>
      <c r="AA449" s="15">
        <v>2</v>
      </c>
      <c r="AB449" s="15">
        <v>80</v>
      </c>
      <c r="AC449" s="15">
        <v>0</v>
      </c>
      <c r="AD449" s="15">
        <v>10</v>
      </c>
      <c r="AE449" s="15">
        <v>2</v>
      </c>
      <c r="AF449" s="15">
        <v>3</v>
      </c>
      <c r="AG449" s="15">
        <v>0</v>
      </c>
      <c r="AH449" s="15">
        <v>0</v>
      </c>
      <c r="AI449" s="15">
        <v>0</v>
      </c>
      <c r="AJ449" s="15">
        <v>0</v>
      </c>
    </row>
    <row r="450" spans="1:36" x14ac:dyDescent="0.25">
      <c r="A450">
        <v>715</v>
      </c>
      <c r="B450">
        <v>36</v>
      </c>
      <c r="C450" t="s">
        <v>9</v>
      </c>
      <c r="D450" t="s">
        <v>16</v>
      </c>
      <c r="E450">
        <v>1434</v>
      </c>
      <c r="F450" t="s">
        <v>118</v>
      </c>
      <c r="G450">
        <v>8</v>
      </c>
      <c r="H450">
        <v>4</v>
      </c>
      <c r="I450" t="s">
        <v>21</v>
      </c>
      <c r="J450">
        <v>1</v>
      </c>
      <c r="K450">
        <v>789</v>
      </c>
      <c r="L450">
        <v>1</v>
      </c>
      <c r="M450" t="s">
        <v>23</v>
      </c>
      <c r="N450">
        <v>76</v>
      </c>
      <c r="O450">
        <v>2</v>
      </c>
      <c r="P450">
        <v>3</v>
      </c>
      <c r="Q450" t="s">
        <v>25</v>
      </c>
      <c r="R450">
        <v>1</v>
      </c>
      <c r="S450" t="s">
        <v>27</v>
      </c>
      <c r="T450">
        <v>7587</v>
      </c>
      <c r="U450">
        <v>14229</v>
      </c>
      <c r="V450">
        <v>1</v>
      </c>
      <c r="W450" t="s">
        <v>29</v>
      </c>
      <c r="X450" t="s">
        <v>9</v>
      </c>
      <c r="Y450">
        <v>15</v>
      </c>
      <c r="Z450">
        <v>3</v>
      </c>
      <c r="AA450">
        <v>2</v>
      </c>
      <c r="AB450">
        <v>80</v>
      </c>
      <c r="AC450">
        <v>0</v>
      </c>
      <c r="AD450">
        <v>10</v>
      </c>
      <c r="AE450">
        <v>1</v>
      </c>
      <c r="AF450">
        <v>3</v>
      </c>
      <c r="AG450">
        <v>10</v>
      </c>
      <c r="AH450">
        <v>7</v>
      </c>
      <c r="AI450">
        <v>0</v>
      </c>
      <c r="AJ450">
        <v>9</v>
      </c>
    </row>
    <row r="451" spans="1:36" x14ac:dyDescent="0.25">
      <c r="A451">
        <v>315</v>
      </c>
      <c r="B451">
        <v>60</v>
      </c>
      <c r="C451" t="s">
        <v>9</v>
      </c>
      <c r="D451" t="s">
        <v>15</v>
      </c>
      <c r="E451">
        <v>1179</v>
      </c>
      <c r="F451" t="s">
        <v>118</v>
      </c>
      <c r="G451">
        <v>16</v>
      </c>
      <c r="H451">
        <v>4</v>
      </c>
      <c r="I451" t="s">
        <v>18</v>
      </c>
      <c r="J451">
        <v>1</v>
      </c>
      <c r="K451">
        <v>732</v>
      </c>
      <c r="L451">
        <v>1</v>
      </c>
      <c r="M451" t="s">
        <v>23</v>
      </c>
      <c r="N451">
        <v>84</v>
      </c>
      <c r="O451">
        <v>3</v>
      </c>
      <c r="P451">
        <v>2</v>
      </c>
      <c r="Q451" t="s">
        <v>25</v>
      </c>
      <c r="R451">
        <v>1</v>
      </c>
      <c r="S451" t="s">
        <v>27</v>
      </c>
      <c r="T451">
        <v>5405</v>
      </c>
      <c r="U451">
        <v>11924</v>
      </c>
      <c r="V451">
        <v>8</v>
      </c>
      <c r="W451" t="s">
        <v>29</v>
      </c>
      <c r="X451" t="s">
        <v>9</v>
      </c>
      <c r="Y451">
        <v>14</v>
      </c>
      <c r="Z451">
        <v>3</v>
      </c>
      <c r="AA451">
        <v>4</v>
      </c>
      <c r="AB451">
        <v>80</v>
      </c>
      <c r="AC451">
        <v>0</v>
      </c>
      <c r="AD451">
        <v>10</v>
      </c>
      <c r="AE451">
        <v>1</v>
      </c>
      <c r="AF451">
        <v>3</v>
      </c>
      <c r="AG451">
        <v>2</v>
      </c>
      <c r="AH451">
        <v>2</v>
      </c>
      <c r="AI451">
        <v>2</v>
      </c>
      <c r="AJ451">
        <v>2</v>
      </c>
    </row>
    <row r="452" spans="1:36" x14ac:dyDescent="0.25">
      <c r="A452">
        <v>476</v>
      </c>
      <c r="B452">
        <v>46</v>
      </c>
      <c r="C452" t="s">
        <v>9</v>
      </c>
      <c r="D452" t="s">
        <v>11</v>
      </c>
      <c r="E452">
        <v>1211</v>
      </c>
      <c r="F452" t="s">
        <v>118</v>
      </c>
      <c r="G452">
        <v>5</v>
      </c>
      <c r="H452">
        <v>4</v>
      </c>
      <c r="I452" t="s">
        <v>18</v>
      </c>
      <c r="J452">
        <v>1</v>
      </c>
      <c r="K452">
        <v>62</v>
      </c>
      <c r="L452">
        <v>1</v>
      </c>
      <c r="M452" t="s">
        <v>23</v>
      </c>
      <c r="N452">
        <v>98</v>
      </c>
      <c r="O452">
        <v>3</v>
      </c>
      <c r="P452">
        <v>2</v>
      </c>
      <c r="Q452" t="s">
        <v>25</v>
      </c>
      <c r="R452">
        <v>4</v>
      </c>
      <c r="S452" t="s">
        <v>27</v>
      </c>
      <c r="T452">
        <v>5772</v>
      </c>
      <c r="U452">
        <v>20445</v>
      </c>
      <c r="V452">
        <v>4</v>
      </c>
      <c r="W452" t="s">
        <v>29</v>
      </c>
      <c r="X452" t="s">
        <v>10</v>
      </c>
      <c r="Y452">
        <v>21</v>
      </c>
      <c r="Z452">
        <v>4</v>
      </c>
      <c r="AA452">
        <v>3</v>
      </c>
      <c r="AB452">
        <v>80</v>
      </c>
      <c r="AC452">
        <v>0</v>
      </c>
      <c r="AD452">
        <v>14</v>
      </c>
      <c r="AE452">
        <v>4</v>
      </c>
      <c r="AF452">
        <v>3</v>
      </c>
      <c r="AG452">
        <v>9</v>
      </c>
      <c r="AH452">
        <v>6</v>
      </c>
      <c r="AI452">
        <v>0</v>
      </c>
      <c r="AJ452">
        <v>8</v>
      </c>
    </row>
    <row r="453" spans="1:36" x14ac:dyDescent="0.25">
      <c r="A453">
        <v>632</v>
      </c>
      <c r="B453">
        <v>34</v>
      </c>
      <c r="C453" t="s">
        <v>9</v>
      </c>
      <c r="D453" t="s">
        <v>15</v>
      </c>
      <c r="E453">
        <v>937</v>
      </c>
      <c r="F453" t="s">
        <v>118</v>
      </c>
      <c r="G453">
        <v>1</v>
      </c>
      <c r="H453">
        <v>3</v>
      </c>
      <c r="I453" t="s">
        <v>18</v>
      </c>
      <c r="J453">
        <v>1</v>
      </c>
      <c r="K453">
        <v>1950</v>
      </c>
      <c r="L453">
        <v>1</v>
      </c>
      <c r="M453" t="s">
        <v>23</v>
      </c>
      <c r="N453">
        <v>32</v>
      </c>
      <c r="O453">
        <v>3</v>
      </c>
      <c r="P453">
        <v>3</v>
      </c>
      <c r="Q453" t="s">
        <v>25</v>
      </c>
      <c r="R453">
        <v>4</v>
      </c>
      <c r="S453" t="s">
        <v>27</v>
      </c>
      <c r="T453">
        <v>9888</v>
      </c>
      <c r="U453">
        <v>6770</v>
      </c>
      <c r="V453">
        <v>1</v>
      </c>
      <c r="W453" t="s">
        <v>29</v>
      </c>
      <c r="X453" t="s">
        <v>9</v>
      </c>
      <c r="Y453">
        <v>21</v>
      </c>
      <c r="Z453">
        <v>4</v>
      </c>
      <c r="AA453">
        <v>1</v>
      </c>
      <c r="AB453">
        <v>80</v>
      </c>
      <c r="AC453">
        <v>0</v>
      </c>
      <c r="AD453">
        <v>14</v>
      </c>
      <c r="AE453">
        <v>3</v>
      </c>
      <c r="AF453">
        <v>2</v>
      </c>
      <c r="AG453">
        <v>14</v>
      </c>
      <c r="AH453">
        <v>8</v>
      </c>
      <c r="AI453">
        <v>2</v>
      </c>
      <c r="AJ453">
        <v>1</v>
      </c>
    </row>
    <row r="454" spans="1:36" x14ac:dyDescent="0.25">
      <c r="A454">
        <v>116</v>
      </c>
      <c r="B454">
        <v>37</v>
      </c>
      <c r="C454" t="s">
        <v>9</v>
      </c>
      <c r="D454" t="s">
        <v>16</v>
      </c>
      <c r="E454">
        <v>1252</v>
      </c>
      <c r="F454" t="s">
        <v>118</v>
      </c>
      <c r="G454">
        <v>19</v>
      </c>
      <c r="H454">
        <v>2</v>
      </c>
      <c r="I454" t="s">
        <v>17</v>
      </c>
      <c r="J454">
        <v>1</v>
      </c>
      <c r="K454">
        <v>904</v>
      </c>
      <c r="L454">
        <v>1</v>
      </c>
      <c r="M454" t="s">
        <v>23</v>
      </c>
      <c r="N454">
        <v>32</v>
      </c>
      <c r="O454">
        <v>3</v>
      </c>
      <c r="P454">
        <v>3</v>
      </c>
      <c r="Q454" t="s">
        <v>25</v>
      </c>
      <c r="R454">
        <v>2</v>
      </c>
      <c r="S454" t="s">
        <v>27</v>
      </c>
      <c r="T454">
        <v>7642</v>
      </c>
      <c r="U454">
        <v>4814</v>
      </c>
      <c r="V454">
        <v>1</v>
      </c>
      <c r="W454" t="s">
        <v>29</v>
      </c>
      <c r="X454" t="s">
        <v>10</v>
      </c>
      <c r="Y454">
        <v>13</v>
      </c>
      <c r="Z454">
        <v>3</v>
      </c>
      <c r="AA454">
        <v>4</v>
      </c>
      <c r="AB454">
        <v>80</v>
      </c>
      <c r="AC454">
        <v>0</v>
      </c>
      <c r="AD454">
        <v>10</v>
      </c>
      <c r="AE454">
        <v>2</v>
      </c>
      <c r="AF454">
        <v>3</v>
      </c>
      <c r="AG454">
        <v>10</v>
      </c>
      <c r="AH454">
        <v>0</v>
      </c>
      <c r="AI454">
        <v>0</v>
      </c>
      <c r="AJ454">
        <v>9</v>
      </c>
    </row>
    <row r="455" spans="1:36" x14ac:dyDescent="0.25">
      <c r="A455">
        <v>577</v>
      </c>
      <c r="B455">
        <v>38</v>
      </c>
      <c r="C455" t="s">
        <v>9</v>
      </c>
      <c r="D455" t="s">
        <v>15</v>
      </c>
      <c r="E455">
        <v>1404</v>
      </c>
      <c r="F455" t="s">
        <v>118</v>
      </c>
      <c r="G455">
        <v>1</v>
      </c>
      <c r="H455">
        <v>3</v>
      </c>
      <c r="I455" t="s">
        <v>21</v>
      </c>
      <c r="J455">
        <v>1</v>
      </c>
      <c r="K455">
        <v>1961</v>
      </c>
      <c r="L455">
        <v>1</v>
      </c>
      <c r="M455" t="s">
        <v>23</v>
      </c>
      <c r="N455">
        <v>59</v>
      </c>
      <c r="O455">
        <v>2</v>
      </c>
      <c r="P455">
        <v>1</v>
      </c>
      <c r="Q455" t="s">
        <v>33</v>
      </c>
      <c r="R455">
        <v>1</v>
      </c>
      <c r="S455" t="s">
        <v>27</v>
      </c>
      <c r="T455">
        <v>2858</v>
      </c>
      <c r="U455">
        <v>11473</v>
      </c>
      <c r="V455">
        <v>4</v>
      </c>
      <c r="W455" t="s">
        <v>29</v>
      </c>
      <c r="X455" t="s">
        <v>9</v>
      </c>
      <c r="Y455">
        <v>14</v>
      </c>
      <c r="Z455">
        <v>3</v>
      </c>
      <c r="AA455">
        <v>1</v>
      </c>
      <c r="AB455">
        <v>80</v>
      </c>
      <c r="AC455">
        <v>0</v>
      </c>
      <c r="AD455">
        <v>20</v>
      </c>
      <c r="AE455">
        <v>3</v>
      </c>
      <c r="AF455">
        <v>2</v>
      </c>
      <c r="AG455">
        <v>1</v>
      </c>
      <c r="AH455">
        <v>0</v>
      </c>
      <c r="AI455">
        <v>0</v>
      </c>
      <c r="AJ455">
        <v>0</v>
      </c>
    </row>
    <row r="456" spans="1:36" x14ac:dyDescent="0.25">
      <c r="A456">
        <v>515</v>
      </c>
      <c r="B456">
        <v>21</v>
      </c>
      <c r="C456" t="s">
        <v>9</v>
      </c>
      <c r="D456" t="s">
        <v>16</v>
      </c>
      <c r="E456">
        <v>895</v>
      </c>
      <c r="F456" t="s">
        <v>118</v>
      </c>
      <c r="G456">
        <v>9</v>
      </c>
      <c r="H456">
        <v>2</v>
      </c>
      <c r="I456" t="s">
        <v>17</v>
      </c>
      <c r="J456">
        <v>1</v>
      </c>
      <c r="K456">
        <v>484</v>
      </c>
      <c r="L456">
        <v>1</v>
      </c>
      <c r="M456" t="s">
        <v>23</v>
      </c>
      <c r="N456">
        <v>39</v>
      </c>
      <c r="O456">
        <v>3</v>
      </c>
      <c r="P456">
        <v>1</v>
      </c>
      <c r="Q456" t="s">
        <v>33</v>
      </c>
      <c r="R456">
        <v>4</v>
      </c>
      <c r="S456" t="s">
        <v>27</v>
      </c>
      <c r="T456">
        <v>2610</v>
      </c>
      <c r="U456">
        <v>2851</v>
      </c>
      <c r="V456">
        <v>1</v>
      </c>
      <c r="W456" t="s">
        <v>29</v>
      </c>
      <c r="X456" t="s">
        <v>9</v>
      </c>
      <c r="Y456">
        <v>24</v>
      </c>
      <c r="Z456">
        <v>4</v>
      </c>
      <c r="AA456">
        <v>3</v>
      </c>
      <c r="AB456">
        <v>80</v>
      </c>
      <c r="AC456">
        <v>0</v>
      </c>
      <c r="AD456">
        <v>3</v>
      </c>
      <c r="AE456">
        <v>3</v>
      </c>
      <c r="AF456">
        <v>2</v>
      </c>
      <c r="AG456">
        <v>3</v>
      </c>
      <c r="AH456">
        <v>2</v>
      </c>
      <c r="AI456">
        <v>2</v>
      </c>
      <c r="AJ456">
        <v>2</v>
      </c>
    </row>
    <row r="457" spans="1:36" x14ac:dyDescent="0.25">
      <c r="A457">
        <v>552</v>
      </c>
      <c r="B457">
        <v>28</v>
      </c>
      <c r="C457" t="s">
        <v>9</v>
      </c>
      <c r="D457" t="s">
        <v>15</v>
      </c>
      <c r="E457">
        <v>1169</v>
      </c>
      <c r="F457" t="s">
        <v>20</v>
      </c>
      <c r="G457">
        <v>8</v>
      </c>
      <c r="H457">
        <v>2</v>
      </c>
      <c r="I457" t="s">
        <v>17</v>
      </c>
      <c r="J457">
        <v>1</v>
      </c>
      <c r="K457">
        <v>869</v>
      </c>
      <c r="L457">
        <v>2</v>
      </c>
      <c r="M457" t="s">
        <v>23</v>
      </c>
      <c r="N457">
        <v>63</v>
      </c>
      <c r="O457">
        <v>2</v>
      </c>
      <c r="P457">
        <v>1</v>
      </c>
      <c r="Q457" t="s">
        <v>20</v>
      </c>
      <c r="R457">
        <v>4</v>
      </c>
      <c r="S457" t="s">
        <v>26</v>
      </c>
      <c r="T457">
        <v>4936</v>
      </c>
      <c r="U457">
        <v>23965</v>
      </c>
      <c r="V457">
        <v>1</v>
      </c>
      <c r="W457" t="s">
        <v>29</v>
      </c>
      <c r="X457" t="s">
        <v>9</v>
      </c>
      <c r="Y457">
        <v>13</v>
      </c>
      <c r="Z457">
        <v>3</v>
      </c>
      <c r="AA457">
        <v>4</v>
      </c>
      <c r="AB457">
        <v>80</v>
      </c>
      <c r="AC457">
        <v>1</v>
      </c>
      <c r="AD457">
        <v>6</v>
      </c>
      <c r="AE457">
        <v>6</v>
      </c>
      <c r="AF457">
        <v>3</v>
      </c>
      <c r="AG457">
        <v>5</v>
      </c>
      <c r="AH457">
        <v>1</v>
      </c>
      <c r="AI457">
        <v>0</v>
      </c>
      <c r="AJ457">
        <v>4</v>
      </c>
    </row>
    <row r="458" spans="1:36" x14ac:dyDescent="0.25">
      <c r="A458" s="15">
        <v>151</v>
      </c>
      <c r="B458" s="15">
        <v>31</v>
      </c>
      <c r="C458" s="15" t="s">
        <v>10</v>
      </c>
      <c r="D458" s="15" t="s">
        <v>15</v>
      </c>
      <c r="E458" s="15">
        <v>1365</v>
      </c>
      <c r="F458" s="15" t="s">
        <v>118</v>
      </c>
      <c r="G458" s="15">
        <v>13</v>
      </c>
      <c r="H458" s="15">
        <v>4</v>
      </c>
      <c r="I458" s="15" t="s">
        <v>17</v>
      </c>
      <c r="J458" s="15">
        <v>1</v>
      </c>
      <c r="K458" s="15">
        <v>650</v>
      </c>
      <c r="L458" s="15">
        <v>2</v>
      </c>
      <c r="M458" s="15" t="s">
        <v>23</v>
      </c>
      <c r="N458" s="15">
        <v>46</v>
      </c>
      <c r="O458" s="15">
        <v>3</v>
      </c>
      <c r="P458" s="15">
        <v>2</v>
      </c>
      <c r="Q458" s="15" t="s">
        <v>25</v>
      </c>
      <c r="R458" s="15">
        <v>1</v>
      </c>
      <c r="S458" s="15" t="s">
        <v>26</v>
      </c>
      <c r="T458" s="15">
        <v>4233</v>
      </c>
      <c r="U458" s="15">
        <v>11512</v>
      </c>
      <c r="V458" s="15">
        <v>2</v>
      </c>
      <c r="W458" s="15" t="s">
        <v>29</v>
      </c>
      <c r="X458" s="15" t="s">
        <v>9</v>
      </c>
      <c r="Y458" s="15">
        <v>17</v>
      </c>
      <c r="Z458" s="15">
        <v>3</v>
      </c>
      <c r="AA458" s="15">
        <v>3</v>
      </c>
      <c r="AB458" s="15">
        <v>80</v>
      </c>
      <c r="AC458" s="15">
        <v>0</v>
      </c>
      <c r="AD458" s="15">
        <v>9</v>
      </c>
      <c r="AE458" s="15">
        <v>2</v>
      </c>
      <c r="AF458" s="15">
        <v>1</v>
      </c>
      <c r="AG458" s="15">
        <v>3</v>
      </c>
      <c r="AH458" s="15">
        <v>1</v>
      </c>
      <c r="AI458" s="15">
        <v>1</v>
      </c>
      <c r="AJ458" s="15">
        <v>2</v>
      </c>
    </row>
    <row r="459" spans="1:36" x14ac:dyDescent="0.25">
      <c r="A459">
        <v>155</v>
      </c>
      <c r="B459">
        <v>34</v>
      </c>
      <c r="C459" t="s">
        <v>9</v>
      </c>
      <c r="D459" t="s">
        <v>15</v>
      </c>
      <c r="E459">
        <v>546</v>
      </c>
      <c r="F459" t="s">
        <v>119</v>
      </c>
      <c r="G459">
        <v>10</v>
      </c>
      <c r="H459">
        <v>3</v>
      </c>
      <c r="I459" t="s">
        <v>21</v>
      </c>
      <c r="J459">
        <v>1</v>
      </c>
      <c r="K459">
        <v>934</v>
      </c>
      <c r="L459">
        <v>2</v>
      </c>
      <c r="M459" t="s">
        <v>23</v>
      </c>
      <c r="N459">
        <v>83</v>
      </c>
      <c r="O459">
        <v>3</v>
      </c>
      <c r="P459">
        <v>1</v>
      </c>
      <c r="Q459" t="s">
        <v>36</v>
      </c>
      <c r="R459">
        <v>2</v>
      </c>
      <c r="S459" t="s">
        <v>26</v>
      </c>
      <c r="T459">
        <v>2008</v>
      </c>
      <c r="U459">
        <v>6896</v>
      </c>
      <c r="V459">
        <v>1</v>
      </c>
      <c r="W459" t="s">
        <v>29</v>
      </c>
      <c r="X459" t="s">
        <v>9</v>
      </c>
      <c r="Y459">
        <v>14</v>
      </c>
      <c r="Z459">
        <v>3</v>
      </c>
      <c r="AA459">
        <v>2</v>
      </c>
      <c r="AB459">
        <v>80</v>
      </c>
      <c r="AC459">
        <v>2</v>
      </c>
      <c r="AD459">
        <v>1</v>
      </c>
      <c r="AE459">
        <v>3</v>
      </c>
      <c r="AF459">
        <v>3</v>
      </c>
      <c r="AG459">
        <v>1</v>
      </c>
      <c r="AH459">
        <v>0</v>
      </c>
      <c r="AI459">
        <v>1</v>
      </c>
      <c r="AJ459">
        <v>0</v>
      </c>
    </row>
    <row r="460" spans="1:36" x14ac:dyDescent="0.25">
      <c r="A460">
        <v>251</v>
      </c>
      <c r="B460">
        <v>33</v>
      </c>
      <c r="C460" t="s">
        <v>9</v>
      </c>
      <c r="D460" t="s">
        <v>16</v>
      </c>
      <c r="E460">
        <v>1313</v>
      </c>
      <c r="F460" t="s">
        <v>119</v>
      </c>
      <c r="G460">
        <v>1</v>
      </c>
      <c r="H460">
        <v>2</v>
      </c>
      <c r="I460" t="s">
        <v>17</v>
      </c>
      <c r="J460">
        <v>1</v>
      </c>
      <c r="K460">
        <v>1994</v>
      </c>
      <c r="L460">
        <v>2</v>
      </c>
      <c r="M460" t="s">
        <v>23</v>
      </c>
      <c r="N460">
        <v>59</v>
      </c>
      <c r="O460">
        <v>2</v>
      </c>
      <c r="P460">
        <v>1</v>
      </c>
      <c r="Q460" t="s">
        <v>36</v>
      </c>
      <c r="R460">
        <v>3</v>
      </c>
      <c r="S460" t="s">
        <v>26</v>
      </c>
      <c r="T460">
        <v>2008</v>
      </c>
      <c r="U460">
        <v>20439</v>
      </c>
      <c r="V460">
        <v>1</v>
      </c>
      <c r="W460" t="s">
        <v>29</v>
      </c>
      <c r="X460" t="s">
        <v>9</v>
      </c>
      <c r="Y460">
        <v>12</v>
      </c>
      <c r="Z460">
        <v>3</v>
      </c>
      <c r="AA460">
        <v>3</v>
      </c>
      <c r="AB460">
        <v>80</v>
      </c>
      <c r="AC460">
        <v>3</v>
      </c>
      <c r="AD460">
        <v>1</v>
      </c>
      <c r="AE460">
        <v>2</v>
      </c>
      <c r="AF460">
        <v>2</v>
      </c>
      <c r="AG460">
        <v>1</v>
      </c>
      <c r="AH460">
        <v>1</v>
      </c>
      <c r="AI460">
        <v>0</v>
      </c>
      <c r="AJ460">
        <v>0</v>
      </c>
    </row>
    <row r="461" spans="1:36" x14ac:dyDescent="0.25">
      <c r="A461">
        <v>288</v>
      </c>
      <c r="B461">
        <v>34</v>
      </c>
      <c r="C461" t="s">
        <v>9</v>
      </c>
      <c r="D461" t="s">
        <v>15</v>
      </c>
      <c r="E461">
        <v>1346</v>
      </c>
      <c r="F461" t="s">
        <v>119</v>
      </c>
      <c r="G461">
        <v>19</v>
      </c>
      <c r="H461">
        <v>2</v>
      </c>
      <c r="I461" t="s">
        <v>17</v>
      </c>
      <c r="J461">
        <v>1</v>
      </c>
      <c r="K461">
        <v>18</v>
      </c>
      <c r="L461">
        <v>2</v>
      </c>
      <c r="M461" t="s">
        <v>23</v>
      </c>
      <c r="N461">
        <v>93</v>
      </c>
      <c r="O461">
        <v>3</v>
      </c>
      <c r="P461">
        <v>1</v>
      </c>
      <c r="Q461" t="s">
        <v>36</v>
      </c>
      <c r="R461">
        <v>4</v>
      </c>
      <c r="S461" t="s">
        <v>26</v>
      </c>
      <c r="T461">
        <v>2661</v>
      </c>
      <c r="U461">
        <v>8758</v>
      </c>
      <c r="V461">
        <v>0</v>
      </c>
      <c r="W461" t="s">
        <v>29</v>
      </c>
      <c r="X461" t="s">
        <v>9</v>
      </c>
      <c r="Y461">
        <v>11</v>
      </c>
      <c r="Z461">
        <v>3</v>
      </c>
      <c r="AA461">
        <v>3</v>
      </c>
      <c r="AB461">
        <v>80</v>
      </c>
      <c r="AC461">
        <v>1</v>
      </c>
      <c r="AD461">
        <v>3</v>
      </c>
      <c r="AE461">
        <v>2</v>
      </c>
      <c r="AF461">
        <v>3</v>
      </c>
      <c r="AG461">
        <v>2</v>
      </c>
      <c r="AH461">
        <v>2</v>
      </c>
      <c r="AI461">
        <v>1</v>
      </c>
      <c r="AJ461">
        <v>2</v>
      </c>
    </row>
    <row r="462" spans="1:36" x14ac:dyDescent="0.25">
      <c r="A462">
        <v>518</v>
      </c>
      <c r="B462">
        <v>42</v>
      </c>
      <c r="C462" t="s">
        <v>9</v>
      </c>
      <c r="D462" t="s">
        <v>15</v>
      </c>
      <c r="E462">
        <v>855</v>
      </c>
      <c r="F462" t="s">
        <v>119</v>
      </c>
      <c r="G462">
        <v>12</v>
      </c>
      <c r="H462">
        <v>3</v>
      </c>
      <c r="I462" t="s">
        <v>17</v>
      </c>
      <c r="J462">
        <v>1</v>
      </c>
      <c r="K462">
        <v>1768</v>
      </c>
      <c r="L462">
        <v>2</v>
      </c>
      <c r="M462" t="s">
        <v>23</v>
      </c>
      <c r="N462">
        <v>57</v>
      </c>
      <c r="O462">
        <v>3</v>
      </c>
      <c r="P462">
        <v>1</v>
      </c>
      <c r="Q462" t="s">
        <v>36</v>
      </c>
      <c r="R462">
        <v>2</v>
      </c>
      <c r="S462" t="s">
        <v>26</v>
      </c>
      <c r="T462">
        <v>2766</v>
      </c>
      <c r="U462">
        <v>8952</v>
      </c>
      <c r="V462">
        <v>8</v>
      </c>
      <c r="W462" t="s">
        <v>29</v>
      </c>
      <c r="X462" t="s">
        <v>9</v>
      </c>
      <c r="Y462">
        <v>22</v>
      </c>
      <c r="Z462">
        <v>4</v>
      </c>
      <c r="AA462">
        <v>2</v>
      </c>
      <c r="AB462">
        <v>80</v>
      </c>
      <c r="AC462">
        <v>3</v>
      </c>
      <c r="AD462">
        <v>7</v>
      </c>
      <c r="AE462">
        <v>6</v>
      </c>
      <c r="AF462">
        <v>2</v>
      </c>
      <c r="AG462">
        <v>5</v>
      </c>
      <c r="AH462">
        <v>3</v>
      </c>
      <c r="AI462">
        <v>0</v>
      </c>
      <c r="AJ462">
        <v>4</v>
      </c>
    </row>
    <row r="463" spans="1:36" x14ac:dyDescent="0.25">
      <c r="A463">
        <v>749</v>
      </c>
      <c r="B463">
        <v>24</v>
      </c>
      <c r="C463" t="s">
        <v>9</v>
      </c>
      <c r="D463" t="s">
        <v>15</v>
      </c>
      <c r="E463">
        <v>506</v>
      </c>
      <c r="F463" t="s">
        <v>119</v>
      </c>
      <c r="G463">
        <v>29</v>
      </c>
      <c r="H463">
        <v>1</v>
      </c>
      <c r="I463" t="s">
        <v>17</v>
      </c>
      <c r="J463">
        <v>1</v>
      </c>
      <c r="K463">
        <v>1725</v>
      </c>
      <c r="L463">
        <v>2</v>
      </c>
      <c r="M463" t="s">
        <v>23</v>
      </c>
      <c r="N463">
        <v>91</v>
      </c>
      <c r="O463">
        <v>3</v>
      </c>
      <c r="P463">
        <v>1</v>
      </c>
      <c r="Q463" t="s">
        <v>36</v>
      </c>
      <c r="R463">
        <v>1</v>
      </c>
      <c r="S463" t="s">
        <v>26</v>
      </c>
      <c r="T463">
        <v>3907</v>
      </c>
      <c r="U463">
        <v>3622</v>
      </c>
      <c r="V463">
        <v>1</v>
      </c>
      <c r="W463" t="s">
        <v>29</v>
      </c>
      <c r="X463" t="s">
        <v>9</v>
      </c>
      <c r="Y463">
        <v>13</v>
      </c>
      <c r="Z463">
        <v>3</v>
      </c>
      <c r="AA463">
        <v>2</v>
      </c>
      <c r="AB463">
        <v>80</v>
      </c>
      <c r="AC463">
        <v>3</v>
      </c>
      <c r="AD463">
        <v>6</v>
      </c>
      <c r="AE463">
        <v>2</v>
      </c>
      <c r="AF463">
        <v>4</v>
      </c>
      <c r="AG463">
        <v>6</v>
      </c>
      <c r="AH463">
        <v>2</v>
      </c>
      <c r="AI463">
        <v>1</v>
      </c>
      <c r="AJ463">
        <v>2</v>
      </c>
    </row>
    <row r="464" spans="1:36" x14ac:dyDescent="0.25">
      <c r="A464">
        <v>664</v>
      </c>
      <c r="B464">
        <v>35</v>
      </c>
      <c r="C464" t="s">
        <v>9</v>
      </c>
      <c r="D464" t="s">
        <v>15</v>
      </c>
      <c r="E464">
        <v>802</v>
      </c>
      <c r="F464" t="s">
        <v>119</v>
      </c>
      <c r="G464">
        <v>10</v>
      </c>
      <c r="H464">
        <v>3</v>
      </c>
      <c r="I464" t="s">
        <v>19</v>
      </c>
      <c r="J464">
        <v>1</v>
      </c>
      <c r="K464">
        <v>1028</v>
      </c>
      <c r="L464">
        <v>2</v>
      </c>
      <c r="M464" t="s">
        <v>23</v>
      </c>
      <c r="N464">
        <v>45</v>
      </c>
      <c r="O464">
        <v>3</v>
      </c>
      <c r="P464">
        <v>1</v>
      </c>
      <c r="Q464" t="s">
        <v>36</v>
      </c>
      <c r="R464">
        <v>4</v>
      </c>
      <c r="S464" t="s">
        <v>26</v>
      </c>
      <c r="T464">
        <v>3917</v>
      </c>
      <c r="U464">
        <v>9541</v>
      </c>
      <c r="V464">
        <v>1</v>
      </c>
      <c r="W464" t="s">
        <v>29</v>
      </c>
      <c r="X464" t="s">
        <v>9</v>
      </c>
      <c r="Y464">
        <v>20</v>
      </c>
      <c r="Z464">
        <v>4</v>
      </c>
      <c r="AA464">
        <v>1</v>
      </c>
      <c r="AB464">
        <v>80</v>
      </c>
      <c r="AC464">
        <v>1</v>
      </c>
      <c r="AD464">
        <v>3</v>
      </c>
      <c r="AE464">
        <v>4</v>
      </c>
      <c r="AF464">
        <v>2</v>
      </c>
      <c r="AG464">
        <v>3</v>
      </c>
      <c r="AH464">
        <v>2</v>
      </c>
      <c r="AI464">
        <v>1</v>
      </c>
      <c r="AJ464">
        <v>2</v>
      </c>
    </row>
    <row r="465" spans="1:36" x14ac:dyDescent="0.25">
      <c r="A465">
        <v>41</v>
      </c>
      <c r="B465">
        <v>58</v>
      </c>
      <c r="C465" t="s">
        <v>9</v>
      </c>
      <c r="D465" t="s">
        <v>16</v>
      </c>
      <c r="E465">
        <v>350</v>
      </c>
      <c r="F465" t="s">
        <v>118</v>
      </c>
      <c r="G465">
        <v>2</v>
      </c>
      <c r="H465">
        <v>3</v>
      </c>
      <c r="I465" t="s">
        <v>17</v>
      </c>
      <c r="J465">
        <v>1</v>
      </c>
      <c r="K465">
        <v>1824</v>
      </c>
      <c r="L465">
        <v>2</v>
      </c>
      <c r="M465" t="s">
        <v>23</v>
      </c>
      <c r="N465">
        <v>52</v>
      </c>
      <c r="O465">
        <v>3</v>
      </c>
      <c r="P465">
        <v>4</v>
      </c>
      <c r="Q465" t="s">
        <v>35</v>
      </c>
      <c r="R465">
        <v>2</v>
      </c>
      <c r="S465" t="s">
        <v>26</v>
      </c>
      <c r="T465">
        <v>16291</v>
      </c>
      <c r="U465">
        <v>22577</v>
      </c>
      <c r="V465">
        <v>4</v>
      </c>
      <c r="W465" t="s">
        <v>29</v>
      </c>
      <c r="X465" t="s">
        <v>9</v>
      </c>
      <c r="Y465">
        <v>22</v>
      </c>
      <c r="Z465">
        <v>4</v>
      </c>
      <c r="AA465">
        <v>4</v>
      </c>
      <c r="AB465">
        <v>80</v>
      </c>
      <c r="AC465">
        <v>1</v>
      </c>
      <c r="AD465">
        <v>37</v>
      </c>
      <c r="AE465">
        <v>0</v>
      </c>
      <c r="AF465">
        <v>2</v>
      </c>
      <c r="AG465">
        <v>16</v>
      </c>
      <c r="AH465">
        <v>9</v>
      </c>
      <c r="AI465">
        <v>14</v>
      </c>
      <c r="AJ465">
        <v>14</v>
      </c>
    </row>
    <row r="466" spans="1:36" x14ac:dyDescent="0.25">
      <c r="A466">
        <v>21</v>
      </c>
      <c r="B466">
        <v>36</v>
      </c>
      <c r="C466" t="s">
        <v>9</v>
      </c>
      <c r="D466" t="s">
        <v>15</v>
      </c>
      <c r="E466">
        <v>913</v>
      </c>
      <c r="F466" t="s">
        <v>119</v>
      </c>
      <c r="G466">
        <v>9</v>
      </c>
      <c r="H466">
        <v>2</v>
      </c>
      <c r="I466" t="s">
        <v>17</v>
      </c>
      <c r="J466">
        <v>1</v>
      </c>
      <c r="K466">
        <v>699</v>
      </c>
      <c r="L466">
        <v>2</v>
      </c>
      <c r="M466" t="s">
        <v>23</v>
      </c>
      <c r="N466">
        <v>48</v>
      </c>
      <c r="O466">
        <v>2</v>
      </c>
      <c r="P466">
        <v>2</v>
      </c>
      <c r="Q466" t="s">
        <v>31</v>
      </c>
      <c r="R466">
        <v>2</v>
      </c>
      <c r="S466" t="s">
        <v>26</v>
      </c>
      <c r="T466">
        <v>8847</v>
      </c>
      <c r="U466">
        <v>13934</v>
      </c>
      <c r="V466">
        <v>2</v>
      </c>
      <c r="W466" t="s">
        <v>29</v>
      </c>
      <c r="X466" t="s">
        <v>10</v>
      </c>
      <c r="Y466">
        <v>11</v>
      </c>
      <c r="Z466">
        <v>3</v>
      </c>
      <c r="AA466">
        <v>3</v>
      </c>
      <c r="AB466">
        <v>80</v>
      </c>
      <c r="AC466">
        <v>1</v>
      </c>
      <c r="AD466">
        <v>13</v>
      </c>
      <c r="AE466">
        <v>2</v>
      </c>
      <c r="AF466">
        <v>3</v>
      </c>
      <c r="AG466">
        <v>3</v>
      </c>
      <c r="AH466">
        <v>2</v>
      </c>
      <c r="AI466">
        <v>0</v>
      </c>
      <c r="AJ466">
        <v>2</v>
      </c>
    </row>
    <row r="467" spans="1:36" x14ac:dyDescent="0.25">
      <c r="A467">
        <v>416</v>
      </c>
      <c r="B467">
        <v>35</v>
      </c>
      <c r="C467" t="s">
        <v>9</v>
      </c>
      <c r="D467" t="s">
        <v>16</v>
      </c>
      <c r="E467">
        <v>1180</v>
      </c>
      <c r="F467" t="s">
        <v>119</v>
      </c>
      <c r="G467">
        <v>2</v>
      </c>
      <c r="H467">
        <v>2</v>
      </c>
      <c r="I467" t="s">
        <v>17</v>
      </c>
      <c r="J467">
        <v>1</v>
      </c>
      <c r="K467">
        <v>1804</v>
      </c>
      <c r="L467">
        <v>2</v>
      </c>
      <c r="M467" t="s">
        <v>23</v>
      </c>
      <c r="N467">
        <v>90</v>
      </c>
      <c r="O467">
        <v>3</v>
      </c>
      <c r="P467">
        <v>2</v>
      </c>
      <c r="Q467" t="s">
        <v>31</v>
      </c>
      <c r="R467">
        <v>4</v>
      </c>
      <c r="S467" t="s">
        <v>26</v>
      </c>
      <c r="T467">
        <v>5762</v>
      </c>
      <c r="U467">
        <v>24442</v>
      </c>
      <c r="V467">
        <v>2</v>
      </c>
      <c r="W467" t="s">
        <v>29</v>
      </c>
      <c r="X467" t="s">
        <v>9</v>
      </c>
      <c r="Y467">
        <v>14</v>
      </c>
      <c r="Z467">
        <v>3</v>
      </c>
      <c r="AA467">
        <v>3</v>
      </c>
      <c r="AB467">
        <v>80</v>
      </c>
      <c r="AC467">
        <v>1</v>
      </c>
      <c r="AD467">
        <v>15</v>
      </c>
      <c r="AE467">
        <v>6</v>
      </c>
      <c r="AF467">
        <v>3</v>
      </c>
      <c r="AG467">
        <v>7</v>
      </c>
      <c r="AH467">
        <v>7</v>
      </c>
      <c r="AI467">
        <v>1</v>
      </c>
      <c r="AJ467">
        <v>7</v>
      </c>
    </row>
    <row r="468" spans="1:36" x14ac:dyDescent="0.25">
      <c r="A468">
        <v>267</v>
      </c>
      <c r="B468">
        <v>34</v>
      </c>
      <c r="C468" t="s">
        <v>9</v>
      </c>
      <c r="D468" t="s">
        <v>11</v>
      </c>
      <c r="E468">
        <v>829</v>
      </c>
      <c r="F468" t="s">
        <v>119</v>
      </c>
      <c r="G468">
        <v>15</v>
      </c>
      <c r="H468">
        <v>3</v>
      </c>
      <c r="I468" t="s">
        <v>17</v>
      </c>
      <c r="J468">
        <v>1</v>
      </c>
      <c r="K468">
        <v>1485</v>
      </c>
      <c r="L468">
        <v>2</v>
      </c>
      <c r="M468" t="s">
        <v>23</v>
      </c>
      <c r="N468">
        <v>71</v>
      </c>
      <c r="O468">
        <v>3</v>
      </c>
      <c r="P468">
        <v>4</v>
      </c>
      <c r="Q468" t="s">
        <v>30</v>
      </c>
      <c r="R468">
        <v>1</v>
      </c>
      <c r="S468" t="s">
        <v>26</v>
      </c>
      <c r="T468">
        <v>17007</v>
      </c>
      <c r="U468">
        <v>11929</v>
      </c>
      <c r="V468">
        <v>7</v>
      </c>
      <c r="W468" t="s">
        <v>29</v>
      </c>
      <c r="X468" t="s">
        <v>9</v>
      </c>
      <c r="Y468">
        <v>14</v>
      </c>
      <c r="Z468">
        <v>3</v>
      </c>
      <c r="AA468">
        <v>4</v>
      </c>
      <c r="AB468">
        <v>80</v>
      </c>
      <c r="AC468">
        <v>2</v>
      </c>
      <c r="AD468">
        <v>16</v>
      </c>
      <c r="AE468">
        <v>3</v>
      </c>
      <c r="AF468">
        <v>2</v>
      </c>
      <c r="AG468">
        <v>14</v>
      </c>
      <c r="AH468">
        <v>8</v>
      </c>
      <c r="AI468">
        <v>6</v>
      </c>
      <c r="AJ468">
        <v>9</v>
      </c>
    </row>
    <row r="469" spans="1:36" x14ac:dyDescent="0.25">
      <c r="A469">
        <v>406</v>
      </c>
      <c r="B469">
        <v>43</v>
      </c>
      <c r="C469" t="s">
        <v>9</v>
      </c>
      <c r="D469" t="s">
        <v>15</v>
      </c>
      <c r="E469">
        <v>782</v>
      </c>
      <c r="F469" t="s">
        <v>119</v>
      </c>
      <c r="G469">
        <v>6</v>
      </c>
      <c r="H469">
        <v>4</v>
      </c>
      <c r="I469" t="s">
        <v>19</v>
      </c>
      <c r="J469">
        <v>1</v>
      </c>
      <c r="K469">
        <v>661</v>
      </c>
      <c r="L469">
        <v>2</v>
      </c>
      <c r="M469" t="s">
        <v>23</v>
      </c>
      <c r="N469">
        <v>50</v>
      </c>
      <c r="O469">
        <v>2</v>
      </c>
      <c r="P469">
        <v>4</v>
      </c>
      <c r="Q469" t="s">
        <v>30</v>
      </c>
      <c r="R469">
        <v>4</v>
      </c>
      <c r="S469" t="s">
        <v>26</v>
      </c>
      <c r="T469">
        <v>16627</v>
      </c>
      <c r="U469">
        <v>2671</v>
      </c>
      <c r="V469">
        <v>4</v>
      </c>
      <c r="W469" t="s">
        <v>29</v>
      </c>
      <c r="X469" t="s">
        <v>10</v>
      </c>
      <c r="Y469">
        <v>14</v>
      </c>
      <c r="Z469">
        <v>3</v>
      </c>
      <c r="AA469">
        <v>3</v>
      </c>
      <c r="AB469">
        <v>80</v>
      </c>
      <c r="AC469">
        <v>1</v>
      </c>
      <c r="AD469">
        <v>21</v>
      </c>
      <c r="AE469">
        <v>3</v>
      </c>
      <c r="AF469">
        <v>2</v>
      </c>
      <c r="AG469">
        <v>1</v>
      </c>
      <c r="AH469">
        <v>0</v>
      </c>
      <c r="AI469">
        <v>0</v>
      </c>
      <c r="AJ469">
        <v>0</v>
      </c>
    </row>
    <row r="470" spans="1:36" x14ac:dyDescent="0.25">
      <c r="A470">
        <v>225</v>
      </c>
      <c r="B470">
        <v>38</v>
      </c>
      <c r="C470" t="s">
        <v>9</v>
      </c>
      <c r="D470" t="s">
        <v>15</v>
      </c>
      <c r="E470">
        <v>1206</v>
      </c>
      <c r="F470" t="s">
        <v>119</v>
      </c>
      <c r="G470">
        <v>9</v>
      </c>
      <c r="H470">
        <v>2</v>
      </c>
      <c r="I470" t="s">
        <v>21</v>
      </c>
      <c r="J470">
        <v>1</v>
      </c>
      <c r="K470">
        <v>1940</v>
      </c>
      <c r="L470">
        <v>2</v>
      </c>
      <c r="M470" t="s">
        <v>23</v>
      </c>
      <c r="N470">
        <v>71</v>
      </c>
      <c r="O470">
        <v>3</v>
      </c>
      <c r="P470">
        <v>1</v>
      </c>
      <c r="Q470" t="s">
        <v>32</v>
      </c>
      <c r="R470">
        <v>4</v>
      </c>
      <c r="S470" t="s">
        <v>26</v>
      </c>
      <c r="T470">
        <v>4771</v>
      </c>
      <c r="U470">
        <v>14293</v>
      </c>
      <c r="V470">
        <v>2</v>
      </c>
      <c r="W470" t="s">
        <v>29</v>
      </c>
      <c r="X470" t="s">
        <v>9</v>
      </c>
      <c r="Y470">
        <v>19</v>
      </c>
      <c r="Z470">
        <v>3</v>
      </c>
      <c r="AA470">
        <v>4</v>
      </c>
      <c r="AB470">
        <v>80</v>
      </c>
      <c r="AC470">
        <v>2</v>
      </c>
      <c r="AD470">
        <v>10</v>
      </c>
      <c r="AE470">
        <v>0</v>
      </c>
      <c r="AF470">
        <v>4</v>
      </c>
      <c r="AG470">
        <v>5</v>
      </c>
      <c r="AH470">
        <v>2</v>
      </c>
      <c r="AI470">
        <v>0</v>
      </c>
      <c r="AJ470">
        <v>3</v>
      </c>
    </row>
    <row r="471" spans="1:36" x14ac:dyDescent="0.25">
      <c r="A471">
        <v>323</v>
      </c>
      <c r="B471">
        <v>30</v>
      </c>
      <c r="C471" t="s">
        <v>9</v>
      </c>
      <c r="D471" t="s">
        <v>11</v>
      </c>
      <c r="E471">
        <v>1012</v>
      </c>
      <c r="F471" t="s">
        <v>119</v>
      </c>
      <c r="G471">
        <v>5</v>
      </c>
      <c r="H471">
        <v>4</v>
      </c>
      <c r="I471" t="s">
        <v>21</v>
      </c>
      <c r="J471">
        <v>1</v>
      </c>
      <c r="K471">
        <v>861</v>
      </c>
      <c r="L471">
        <v>2</v>
      </c>
      <c r="M471" t="s">
        <v>23</v>
      </c>
      <c r="N471">
        <v>75</v>
      </c>
      <c r="O471">
        <v>2</v>
      </c>
      <c r="P471">
        <v>1</v>
      </c>
      <c r="Q471" t="s">
        <v>32</v>
      </c>
      <c r="R471">
        <v>4</v>
      </c>
      <c r="S471" t="s">
        <v>26</v>
      </c>
      <c r="T471">
        <v>3761</v>
      </c>
      <c r="U471">
        <v>2373</v>
      </c>
      <c r="V471">
        <v>9</v>
      </c>
      <c r="W471" t="s">
        <v>29</v>
      </c>
      <c r="X471" t="s">
        <v>9</v>
      </c>
      <c r="Y471">
        <v>12</v>
      </c>
      <c r="Z471">
        <v>3</v>
      </c>
      <c r="AA471">
        <v>2</v>
      </c>
      <c r="AB471">
        <v>80</v>
      </c>
      <c r="AC471">
        <v>1</v>
      </c>
      <c r="AD471">
        <v>10</v>
      </c>
      <c r="AE471">
        <v>3</v>
      </c>
      <c r="AF471">
        <v>2</v>
      </c>
      <c r="AG471">
        <v>5</v>
      </c>
      <c r="AH471">
        <v>4</v>
      </c>
      <c r="AI471">
        <v>0</v>
      </c>
      <c r="AJ471">
        <v>3</v>
      </c>
    </row>
    <row r="472" spans="1:36" x14ac:dyDescent="0.25">
      <c r="A472">
        <v>523</v>
      </c>
      <c r="B472">
        <v>45</v>
      </c>
      <c r="C472" t="s">
        <v>9</v>
      </c>
      <c r="D472" t="s">
        <v>15</v>
      </c>
      <c r="E472">
        <v>1339</v>
      </c>
      <c r="F472" t="s">
        <v>119</v>
      </c>
      <c r="G472">
        <v>7</v>
      </c>
      <c r="H472">
        <v>3</v>
      </c>
      <c r="I472" t="s">
        <v>21</v>
      </c>
      <c r="J472">
        <v>1</v>
      </c>
      <c r="K472">
        <v>86</v>
      </c>
      <c r="L472">
        <v>2</v>
      </c>
      <c r="M472" t="s">
        <v>23</v>
      </c>
      <c r="N472">
        <v>59</v>
      </c>
      <c r="O472">
        <v>3</v>
      </c>
      <c r="P472">
        <v>3</v>
      </c>
      <c r="Q472" t="s">
        <v>32</v>
      </c>
      <c r="R472">
        <v>1</v>
      </c>
      <c r="S472" t="s">
        <v>26</v>
      </c>
      <c r="T472">
        <v>9724</v>
      </c>
      <c r="U472">
        <v>18787</v>
      </c>
      <c r="V472">
        <v>2</v>
      </c>
      <c r="W472" t="s">
        <v>29</v>
      </c>
      <c r="X472" t="s">
        <v>9</v>
      </c>
      <c r="Y472">
        <v>17</v>
      </c>
      <c r="Z472">
        <v>3</v>
      </c>
      <c r="AA472">
        <v>3</v>
      </c>
      <c r="AB472">
        <v>80</v>
      </c>
      <c r="AC472">
        <v>1</v>
      </c>
      <c r="AD472">
        <v>25</v>
      </c>
      <c r="AE472">
        <v>2</v>
      </c>
      <c r="AF472">
        <v>3</v>
      </c>
      <c r="AG472">
        <v>1</v>
      </c>
      <c r="AH472">
        <v>0</v>
      </c>
      <c r="AI472">
        <v>0</v>
      </c>
      <c r="AJ472">
        <v>0</v>
      </c>
    </row>
    <row r="473" spans="1:36" x14ac:dyDescent="0.25">
      <c r="A473">
        <v>1</v>
      </c>
      <c r="B473">
        <v>32</v>
      </c>
      <c r="C473" t="s">
        <v>9</v>
      </c>
      <c r="D473" t="s">
        <v>15</v>
      </c>
      <c r="E473">
        <v>117</v>
      </c>
      <c r="F473" t="s">
        <v>118</v>
      </c>
      <c r="G473">
        <v>13</v>
      </c>
      <c r="H473">
        <v>4</v>
      </c>
      <c r="I473" t="s">
        <v>21</v>
      </c>
      <c r="J473">
        <v>1</v>
      </c>
      <c r="K473">
        <v>859</v>
      </c>
      <c r="L473">
        <v>2</v>
      </c>
      <c r="M473" t="s">
        <v>23</v>
      </c>
      <c r="N473">
        <v>73</v>
      </c>
      <c r="O473">
        <v>3</v>
      </c>
      <c r="P473">
        <v>2</v>
      </c>
      <c r="Q473" t="s">
        <v>25</v>
      </c>
      <c r="R473">
        <v>4</v>
      </c>
      <c r="S473" t="s">
        <v>26</v>
      </c>
      <c r="T473">
        <v>4403</v>
      </c>
      <c r="U473">
        <v>9250</v>
      </c>
      <c r="V473">
        <v>2</v>
      </c>
      <c r="W473" t="s">
        <v>29</v>
      </c>
      <c r="X473" t="s">
        <v>9</v>
      </c>
      <c r="Y473">
        <v>11</v>
      </c>
      <c r="Z473">
        <v>3</v>
      </c>
      <c r="AA473">
        <v>3</v>
      </c>
      <c r="AB473">
        <v>80</v>
      </c>
      <c r="AC473">
        <v>1</v>
      </c>
      <c r="AD473">
        <v>8</v>
      </c>
      <c r="AE473">
        <v>3</v>
      </c>
      <c r="AF473">
        <v>2</v>
      </c>
      <c r="AG473">
        <v>5</v>
      </c>
      <c r="AH473">
        <v>2</v>
      </c>
      <c r="AI473">
        <v>0</v>
      </c>
      <c r="AJ473">
        <v>3</v>
      </c>
    </row>
    <row r="474" spans="1:36" x14ac:dyDescent="0.25">
      <c r="A474" s="15">
        <v>38</v>
      </c>
      <c r="B474" s="15">
        <v>36</v>
      </c>
      <c r="C474" s="15" t="s">
        <v>10</v>
      </c>
      <c r="D474" s="15" t="s">
        <v>15</v>
      </c>
      <c r="E474" s="15">
        <v>1456</v>
      </c>
      <c r="F474" s="15" t="s">
        <v>118</v>
      </c>
      <c r="G474" s="15">
        <v>13</v>
      </c>
      <c r="H474" s="15">
        <v>5</v>
      </c>
      <c r="I474" s="15" t="s">
        <v>18</v>
      </c>
      <c r="J474" s="15">
        <v>1</v>
      </c>
      <c r="K474" s="15">
        <v>1733</v>
      </c>
      <c r="L474" s="15">
        <v>2</v>
      </c>
      <c r="M474" s="15" t="s">
        <v>23</v>
      </c>
      <c r="N474" s="15">
        <v>96</v>
      </c>
      <c r="O474" s="15">
        <v>2</v>
      </c>
      <c r="P474" s="15">
        <v>2</v>
      </c>
      <c r="Q474" s="15" t="s">
        <v>25</v>
      </c>
      <c r="R474" s="15">
        <v>1</v>
      </c>
      <c r="S474" s="15" t="s">
        <v>26</v>
      </c>
      <c r="T474" s="15">
        <v>6134</v>
      </c>
      <c r="U474" s="15">
        <v>8658</v>
      </c>
      <c r="V474" s="15">
        <v>5</v>
      </c>
      <c r="W474" s="15" t="s">
        <v>29</v>
      </c>
      <c r="X474" s="15" t="s">
        <v>10</v>
      </c>
      <c r="Y474" s="15">
        <v>13</v>
      </c>
      <c r="Z474" s="15">
        <v>3</v>
      </c>
      <c r="AA474" s="15">
        <v>2</v>
      </c>
      <c r="AB474" s="15">
        <v>80</v>
      </c>
      <c r="AC474" s="15">
        <v>3</v>
      </c>
      <c r="AD474" s="15">
        <v>16</v>
      </c>
      <c r="AE474" s="15">
        <v>3</v>
      </c>
      <c r="AF474" s="15">
        <v>3</v>
      </c>
      <c r="AG474" s="15">
        <v>2</v>
      </c>
      <c r="AH474" s="15">
        <v>2</v>
      </c>
      <c r="AI474" s="15">
        <v>2</v>
      </c>
      <c r="AJ474" s="15">
        <v>2</v>
      </c>
    </row>
    <row r="475" spans="1:36" x14ac:dyDescent="0.25">
      <c r="A475">
        <v>378</v>
      </c>
      <c r="B475">
        <v>42</v>
      </c>
      <c r="C475" t="s">
        <v>9</v>
      </c>
      <c r="D475" t="s">
        <v>15</v>
      </c>
      <c r="E475">
        <v>419</v>
      </c>
      <c r="F475" t="s">
        <v>118</v>
      </c>
      <c r="G475">
        <v>12</v>
      </c>
      <c r="H475">
        <v>4</v>
      </c>
      <c r="I475" t="s">
        <v>18</v>
      </c>
      <c r="J475">
        <v>1</v>
      </c>
      <c r="K475">
        <v>1943</v>
      </c>
      <c r="L475">
        <v>2</v>
      </c>
      <c r="M475" t="s">
        <v>23</v>
      </c>
      <c r="N475">
        <v>77</v>
      </c>
      <c r="O475">
        <v>3</v>
      </c>
      <c r="P475">
        <v>2</v>
      </c>
      <c r="Q475" t="s">
        <v>25</v>
      </c>
      <c r="R475">
        <v>4</v>
      </c>
      <c r="S475" t="s">
        <v>26</v>
      </c>
      <c r="T475">
        <v>5087</v>
      </c>
      <c r="U475">
        <v>2900</v>
      </c>
      <c r="V475">
        <v>3</v>
      </c>
      <c r="W475" t="s">
        <v>29</v>
      </c>
      <c r="X475" t="s">
        <v>10</v>
      </c>
      <c r="Y475">
        <v>12</v>
      </c>
      <c r="Z475">
        <v>3</v>
      </c>
      <c r="AA475">
        <v>3</v>
      </c>
      <c r="AB475">
        <v>80</v>
      </c>
      <c r="AC475">
        <v>2</v>
      </c>
      <c r="AD475">
        <v>14</v>
      </c>
      <c r="AE475">
        <v>4</v>
      </c>
      <c r="AF475">
        <v>3</v>
      </c>
      <c r="AG475">
        <v>0</v>
      </c>
      <c r="AH475">
        <v>0</v>
      </c>
      <c r="AI475">
        <v>0</v>
      </c>
      <c r="AJ475">
        <v>0</v>
      </c>
    </row>
    <row r="476" spans="1:36" x14ac:dyDescent="0.25">
      <c r="A476">
        <v>652</v>
      </c>
      <c r="B476">
        <v>60</v>
      </c>
      <c r="C476" t="s">
        <v>9</v>
      </c>
      <c r="D476" t="s">
        <v>15</v>
      </c>
      <c r="E476">
        <v>696</v>
      </c>
      <c r="F476" t="s">
        <v>118</v>
      </c>
      <c r="G476">
        <v>7</v>
      </c>
      <c r="H476">
        <v>4</v>
      </c>
      <c r="I476" t="s">
        <v>18</v>
      </c>
      <c r="J476">
        <v>1</v>
      </c>
      <c r="K476">
        <v>1233</v>
      </c>
      <c r="L476">
        <v>2</v>
      </c>
      <c r="M476" t="s">
        <v>23</v>
      </c>
      <c r="N476">
        <v>52</v>
      </c>
      <c r="O476">
        <v>4</v>
      </c>
      <c r="P476">
        <v>2</v>
      </c>
      <c r="Q476" t="s">
        <v>25</v>
      </c>
      <c r="R476">
        <v>4</v>
      </c>
      <c r="S476" t="s">
        <v>26</v>
      </c>
      <c r="T476">
        <v>5220</v>
      </c>
      <c r="U476">
        <v>10893</v>
      </c>
      <c r="V476">
        <v>0</v>
      </c>
      <c r="W476" t="s">
        <v>29</v>
      </c>
      <c r="X476" t="s">
        <v>10</v>
      </c>
      <c r="Y476">
        <v>18</v>
      </c>
      <c r="Z476">
        <v>3</v>
      </c>
      <c r="AA476">
        <v>2</v>
      </c>
      <c r="AB476">
        <v>80</v>
      </c>
      <c r="AC476">
        <v>1</v>
      </c>
      <c r="AD476">
        <v>12</v>
      </c>
      <c r="AE476">
        <v>3</v>
      </c>
      <c r="AF476">
        <v>3</v>
      </c>
      <c r="AG476">
        <v>11</v>
      </c>
      <c r="AH476">
        <v>7</v>
      </c>
      <c r="AI476">
        <v>1</v>
      </c>
      <c r="AJ476">
        <v>9</v>
      </c>
    </row>
    <row r="477" spans="1:36" x14ac:dyDescent="0.25">
      <c r="A477">
        <v>20</v>
      </c>
      <c r="B477">
        <v>44</v>
      </c>
      <c r="C477" t="s">
        <v>9</v>
      </c>
      <c r="D477" t="s">
        <v>15</v>
      </c>
      <c r="E477">
        <v>170</v>
      </c>
      <c r="F477" t="s">
        <v>119</v>
      </c>
      <c r="G477">
        <v>1</v>
      </c>
      <c r="H477">
        <v>4</v>
      </c>
      <c r="I477" t="s">
        <v>21</v>
      </c>
      <c r="J477">
        <v>1</v>
      </c>
      <c r="K477">
        <v>1903</v>
      </c>
      <c r="L477">
        <v>2</v>
      </c>
      <c r="M477" t="s">
        <v>23</v>
      </c>
      <c r="N477">
        <v>78</v>
      </c>
      <c r="O477">
        <v>4</v>
      </c>
      <c r="P477">
        <v>2</v>
      </c>
      <c r="Q477" t="s">
        <v>34</v>
      </c>
      <c r="R477">
        <v>1</v>
      </c>
      <c r="S477" t="s">
        <v>28</v>
      </c>
      <c r="T477">
        <v>5033</v>
      </c>
      <c r="U477">
        <v>9364</v>
      </c>
      <c r="V477">
        <v>2</v>
      </c>
      <c r="W477" t="s">
        <v>29</v>
      </c>
      <c r="X477" t="s">
        <v>9</v>
      </c>
      <c r="Y477">
        <v>15</v>
      </c>
      <c r="Z477">
        <v>3</v>
      </c>
      <c r="AA477">
        <v>4</v>
      </c>
      <c r="AB477">
        <v>80</v>
      </c>
      <c r="AC477">
        <v>1</v>
      </c>
      <c r="AD477">
        <v>10</v>
      </c>
      <c r="AE477">
        <v>5</v>
      </c>
      <c r="AF477">
        <v>3</v>
      </c>
      <c r="AG477">
        <v>2</v>
      </c>
      <c r="AH477">
        <v>0</v>
      </c>
      <c r="AI477">
        <v>2</v>
      </c>
      <c r="AJ477">
        <v>2</v>
      </c>
    </row>
    <row r="478" spans="1:36" x14ac:dyDescent="0.25">
      <c r="A478">
        <v>448</v>
      </c>
      <c r="B478">
        <v>42</v>
      </c>
      <c r="C478" t="s">
        <v>9</v>
      </c>
      <c r="D478" t="s">
        <v>15</v>
      </c>
      <c r="E478">
        <v>1128</v>
      </c>
      <c r="F478" t="s">
        <v>119</v>
      </c>
      <c r="G478">
        <v>13</v>
      </c>
      <c r="H478">
        <v>3</v>
      </c>
      <c r="I478" t="s">
        <v>17</v>
      </c>
      <c r="J478">
        <v>1</v>
      </c>
      <c r="K478">
        <v>1803</v>
      </c>
      <c r="L478">
        <v>2</v>
      </c>
      <c r="M478" t="s">
        <v>23</v>
      </c>
      <c r="N478">
        <v>95</v>
      </c>
      <c r="O478">
        <v>4</v>
      </c>
      <c r="P478">
        <v>2</v>
      </c>
      <c r="Q478" t="s">
        <v>34</v>
      </c>
      <c r="R478">
        <v>1</v>
      </c>
      <c r="S478" t="s">
        <v>28</v>
      </c>
      <c r="T478">
        <v>5538</v>
      </c>
      <c r="U478">
        <v>5696</v>
      </c>
      <c r="V478">
        <v>5</v>
      </c>
      <c r="W478" t="s">
        <v>29</v>
      </c>
      <c r="X478" t="s">
        <v>9</v>
      </c>
      <c r="Y478">
        <v>18</v>
      </c>
      <c r="Z478">
        <v>3</v>
      </c>
      <c r="AA478">
        <v>3</v>
      </c>
      <c r="AB478">
        <v>80</v>
      </c>
      <c r="AC478">
        <v>2</v>
      </c>
      <c r="AD478">
        <v>10</v>
      </c>
      <c r="AE478">
        <v>2</v>
      </c>
      <c r="AF478">
        <v>2</v>
      </c>
      <c r="AG478">
        <v>0</v>
      </c>
      <c r="AH478">
        <v>0</v>
      </c>
      <c r="AI478">
        <v>0</v>
      </c>
      <c r="AJ478">
        <v>0</v>
      </c>
    </row>
    <row r="479" spans="1:36" x14ac:dyDescent="0.25">
      <c r="A479">
        <v>583</v>
      </c>
      <c r="B479">
        <v>38</v>
      </c>
      <c r="C479" t="s">
        <v>9</v>
      </c>
      <c r="D479" t="s">
        <v>15</v>
      </c>
      <c r="E479">
        <v>833</v>
      </c>
      <c r="F479" t="s">
        <v>119</v>
      </c>
      <c r="G479">
        <v>18</v>
      </c>
      <c r="H479">
        <v>3</v>
      </c>
      <c r="I479" t="s">
        <v>17</v>
      </c>
      <c r="J479">
        <v>1</v>
      </c>
      <c r="K479">
        <v>1766</v>
      </c>
      <c r="L479">
        <v>2</v>
      </c>
      <c r="M479" t="s">
        <v>23</v>
      </c>
      <c r="N479">
        <v>60</v>
      </c>
      <c r="O479">
        <v>1</v>
      </c>
      <c r="P479">
        <v>2</v>
      </c>
      <c r="Q479" t="s">
        <v>34</v>
      </c>
      <c r="R479">
        <v>4</v>
      </c>
      <c r="S479" t="s">
        <v>28</v>
      </c>
      <c r="T479">
        <v>5811</v>
      </c>
      <c r="U479">
        <v>24539</v>
      </c>
      <c r="V479">
        <v>3</v>
      </c>
      <c r="W479" t="s">
        <v>29</v>
      </c>
      <c r="X479" t="s">
        <v>10</v>
      </c>
      <c r="Y479">
        <v>16</v>
      </c>
      <c r="Z479">
        <v>3</v>
      </c>
      <c r="AA479">
        <v>3</v>
      </c>
      <c r="AB479">
        <v>80</v>
      </c>
      <c r="AC479">
        <v>1</v>
      </c>
      <c r="AD479">
        <v>15</v>
      </c>
      <c r="AE479">
        <v>2</v>
      </c>
      <c r="AF479">
        <v>3</v>
      </c>
      <c r="AG479">
        <v>1</v>
      </c>
      <c r="AH479">
        <v>0</v>
      </c>
      <c r="AI479">
        <v>1</v>
      </c>
      <c r="AJ479">
        <v>0</v>
      </c>
    </row>
    <row r="480" spans="1:36" x14ac:dyDescent="0.25">
      <c r="A480">
        <v>753</v>
      </c>
      <c r="B480">
        <v>50</v>
      </c>
      <c r="C480" t="s">
        <v>9</v>
      </c>
      <c r="D480" t="s">
        <v>11</v>
      </c>
      <c r="E480">
        <v>1234</v>
      </c>
      <c r="F480" t="s">
        <v>119</v>
      </c>
      <c r="G480">
        <v>20</v>
      </c>
      <c r="H480">
        <v>5</v>
      </c>
      <c r="I480" t="s">
        <v>17</v>
      </c>
      <c r="J480">
        <v>1</v>
      </c>
      <c r="K480">
        <v>1606</v>
      </c>
      <c r="L480">
        <v>2</v>
      </c>
      <c r="M480" t="s">
        <v>23</v>
      </c>
      <c r="N480">
        <v>41</v>
      </c>
      <c r="O480">
        <v>3</v>
      </c>
      <c r="P480">
        <v>4</v>
      </c>
      <c r="Q480" t="s">
        <v>34</v>
      </c>
      <c r="R480">
        <v>3</v>
      </c>
      <c r="S480" t="s">
        <v>28</v>
      </c>
      <c r="T480">
        <v>11245</v>
      </c>
      <c r="U480">
        <v>20689</v>
      </c>
      <c r="V480">
        <v>2</v>
      </c>
      <c r="W480" t="s">
        <v>29</v>
      </c>
      <c r="X480" t="s">
        <v>10</v>
      </c>
      <c r="Y480">
        <v>15</v>
      </c>
      <c r="Z480">
        <v>3</v>
      </c>
      <c r="AA480">
        <v>3</v>
      </c>
      <c r="AB480">
        <v>80</v>
      </c>
      <c r="AC480">
        <v>1</v>
      </c>
      <c r="AD480">
        <v>32</v>
      </c>
      <c r="AE480">
        <v>3</v>
      </c>
      <c r="AF480">
        <v>3</v>
      </c>
      <c r="AG480">
        <v>30</v>
      </c>
      <c r="AH480">
        <v>8</v>
      </c>
      <c r="AI480">
        <v>12</v>
      </c>
      <c r="AJ480">
        <v>13</v>
      </c>
    </row>
    <row r="481" spans="1:36" x14ac:dyDescent="0.25">
      <c r="A481">
        <v>705</v>
      </c>
      <c r="B481">
        <v>59</v>
      </c>
      <c r="C481" t="s">
        <v>9</v>
      </c>
      <c r="D481" t="s">
        <v>15</v>
      </c>
      <c r="E481">
        <v>818</v>
      </c>
      <c r="F481" t="s">
        <v>20</v>
      </c>
      <c r="G481">
        <v>6</v>
      </c>
      <c r="H481">
        <v>2</v>
      </c>
      <c r="I481" t="s">
        <v>17</v>
      </c>
      <c r="J481">
        <v>1</v>
      </c>
      <c r="K481">
        <v>321</v>
      </c>
      <c r="L481">
        <v>2</v>
      </c>
      <c r="M481" t="s">
        <v>23</v>
      </c>
      <c r="N481">
        <v>52</v>
      </c>
      <c r="O481">
        <v>3</v>
      </c>
      <c r="P481">
        <v>1</v>
      </c>
      <c r="Q481" t="s">
        <v>20</v>
      </c>
      <c r="R481">
        <v>3</v>
      </c>
      <c r="S481" t="s">
        <v>28</v>
      </c>
      <c r="T481">
        <v>2267</v>
      </c>
      <c r="U481">
        <v>25657</v>
      </c>
      <c r="V481">
        <v>8</v>
      </c>
      <c r="W481" t="s">
        <v>29</v>
      </c>
      <c r="X481" t="s">
        <v>9</v>
      </c>
      <c r="Y481">
        <v>17</v>
      </c>
      <c r="Z481">
        <v>3</v>
      </c>
      <c r="AA481">
        <v>4</v>
      </c>
      <c r="AB481">
        <v>80</v>
      </c>
      <c r="AC481">
        <v>0</v>
      </c>
      <c r="AD481">
        <v>7</v>
      </c>
      <c r="AE481">
        <v>2</v>
      </c>
      <c r="AF481">
        <v>2</v>
      </c>
      <c r="AG481">
        <v>2</v>
      </c>
      <c r="AH481">
        <v>2</v>
      </c>
      <c r="AI481">
        <v>2</v>
      </c>
      <c r="AJ481">
        <v>2</v>
      </c>
    </row>
    <row r="482" spans="1:36" x14ac:dyDescent="0.25">
      <c r="A482" s="15">
        <v>535</v>
      </c>
      <c r="B482" s="15">
        <v>29</v>
      </c>
      <c r="C482" s="15" t="s">
        <v>10</v>
      </c>
      <c r="D482" s="15" t="s">
        <v>15</v>
      </c>
      <c r="E482" s="15">
        <v>318</v>
      </c>
      <c r="F482" s="15" t="s">
        <v>119</v>
      </c>
      <c r="G482" s="15">
        <v>8</v>
      </c>
      <c r="H482" s="15">
        <v>4</v>
      </c>
      <c r="I482" s="15" t="s">
        <v>19</v>
      </c>
      <c r="J482" s="15">
        <v>1</v>
      </c>
      <c r="K482" s="15">
        <v>454</v>
      </c>
      <c r="L482" s="15">
        <v>2</v>
      </c>
      <c r="M482" s="15" t="s">
        <v>23</v>
      </c>
      <c r="N482" s="15">
        <v>77</v>
      </c>
      <c r="O482" s="15">
        <v>1</v>
      </c>
      <c r="P482" s="15">
        <v>1</v>
      </c>
      <c r="Q482" s="15" t="s">
        <v>36</v>
      </c>
      <c r="R482" s="15">
        <v>1</v>
      </c>
      <c r="S482" s="15" t="s">
        <v>28</v>
      </c>
      <c r="T482" s="15">
        <v>2119</v>
      </c>
      <c r="U482" s="15">
        <v>4759</v>
      </c>
      <c r="V482" s="15">
        <v>1</v>
      </c>
      <c r="W482" s="15" t="s">
        <v>29</v>
      </c>
      <c r="X482" s="15" t="s">
        <v>10</v>
      </c>
      <c r="Y482" s="15">
        <v>11</v>
      </c>
      <c r="Z482" s="15">
        <v>3</v>
      </c>
      <c r="AA482" s="15">
        <v>4</v>
      </c>
      <c r="AB482" s="15">
        <v>80</v>
      </c>
      <c r="AC482" s="15">
        <v>0</v>
      </c>
      <c r="AD482" s="15">
        <v>7</v>
      </c>
      <c r="AE482" s="15">
        <v>4</v>
      </c>
      <c r="AF482" s="15">
        <v>2</v>
      </c>
      <c r="AG482" s="15">
        <v>7</v>
      </c>
      <c r="AH482" s="15">
        <v>7</v>
      </c>
      <c r="AI482" s="15">
        <v>0</v>
      </c>
      <c r="AJ482" s="15">
        <v>7</v>
      </c>
    </row>
    <row r="483" spans="1:36" x14ac:dyDescent="0.25">
      <c r="A483" s="15">
        <v>600</v>
      </c>
      <c r="B483" s="15">
        <v>24</v>
      </c>
      <c r="C483" s="15" t="s">
        <v>10</v>
      </c>
      <c r="D483" s="15" t="s">
        <v>15</v>
      </c>
      <c r="E483" s="15">
        <v>813</v>
      </c>
      <c r="F483" s="15" t="s">
        <v>119</v>
      </c>
      <c r="G483" s="15">
        <v>1</v>
      </c>
      <c r="H483" s="15">
        <v>3</v>
      </c>
      <c r="I483" s="15" t="s">
        <v>17</v>
      </c>
      <c r="J483" s="15">
        <v>1</v>
      </c>
      <c r="K483" s="15">
        <v>45</v>
      </c>
      <c r="L483" s="15">
        <v>2</v>
      </c>
      <c r="M483" s="15" t="s">
        <v>23</v>
      </c>
      <c r="N483" s="15">
        <v>61</v>
      </c>
      <c r="O483" s="15">
        <v>3</v>
      </c>
      <c r="P483" s="15">
        <v>1</v>
      </c>
      <c r="Q483" s="15" t="s">
        <v>32</v>
      </c>
      <c r="R483" s="15">
        <v>4</v>
      </c>
      <c r="S483" s="15" t="s">
        <v>28</v>
      </c>
      <c r="T483" s="15">
        <v>2293</v>
      </c>
      <c r="U483" s="15">
        <v>3020</v>
      </c>
      <c r="V483" s="15">
        <v>2</v>
      </c>
      <c r="W483" s="15" t="s">
        <v>29</v>
      </c>
      <c r="X483" s="15" t="s">
        <v>10</v>
      </c>
      <c r="Y483" s="15">
        <v>16</v>
      </c>
      <c r="Z483" s="15">
        <v>3</v>
      </c>
      <c r="AA483" s="15">
        <v>1</v>
      </c>
      <c r="AB483" s="15">
        <v>80</v>
      </c>
      <c r="AC483" s="15">
        <v>1</v>
      </c>
      <c r="AD483" s="15">
        <v>6</v>
      </c>
      <c r="AE483" s="15">
        <v>2</v>
      </c>
      <c r="AF483" s="15">
        <v>2</v>
      </c>
      <c r="AG483" s="15">
        <v>2</v>
      </c>
      <c r="AH483" s="15">
        <v>0</v>
      </c>
      <c r="AI483" s="15">
        <v>2</v>
      </c>
      <c r="AJ483" s="15">
        <v>0</v>
      </c>
    </row>
    <row r="484" spans="1:36" x14ac:dyDescent="0.25">
      <c r="A484">
        <v>36</v>
      </c>
      <c r="B484">
        <v>32</v>
      </c>
      <c r="C484" t="s">
        <v>9</v>
      </c>
      <c r="D484" t="s">
        <v>11</v>
      </c>
      <c r="E484">
        <v>1311</v>
      </c>
      <c r="F484" t="s">
        <v>119</v>
      </c>
      <c r="G484">
        <v>7</v>
      </c>
      <c r="H484">
        <v>3</v>
      </c>
      <c r="I484" t="s">
        <v>21</v>
      </c>
      <c r="J484">
        <v>1</v>
      </c>
      <c r="K484">
        <v>359</v>
      </c>
      <c r="L484">
        <v>2</v>
      </c>
      <c r="M484" t="s">
        <v>23</v>
      </c>
      <c r="N484">
        <v>100</v>
      </c>
      <c r="O484">
        <v>4</v>
      </c>
      <c r="P484">
        <v>1</v>
      </c>
      <c r="Q484" t="s">
        <v>36</v>
      </c>
      <c r="R484">
        <v>2</v>
      </c>
      <c r="S484" t="s">
        <v>28</v>
      </c>
      <c r="T484">
        <v>2794</v>
      </c>
      <c r="U484">
        <v>26062</v>
      </c>
      <c r="V484">
        <v>1</v>
      </c>
      <c r="W484" t="s">
        <v>29</v>
      </c>
      <c r="X484" t="s">
        <v>9</v>
      </c>
      <c r="Y484">
        <v>20</v>
      </c>
      <c r="Z484">
        <v>4</v>
      </c>
      <c r="AA484">
        <v>3</v>
      </c>
      <c r="AB484">
        <v>80</v>
      </c>
      <c r="AC484">
        <v>0</v>
      </c>
      <c r="AD484">
        <v>5</v>
      </c>
      <c r="AE484">
        <v>3</v>
      </c>
      <c r="AF484">
        <v>1</v>
      </c>
      <c r="AG484">
        <v>5</v>
      </c>
      <c r="AH484">
        <v>1</v>
      </c>
      <c r="AI484">
        <v>0</v>
      </c>
      <c r="AJ484">
        <v>3</v>
      </c>
    </row>
    <row r="485" spans="1:36" x14ac:dyDescent="0.25">
      <c r="A485">
        <v>74</v>
      </c>
      <c r="B485">
        <v>41</v>
      </c>
      <c r="C485" t="s">
        <v>9</v>
      </c>
      <c r="D485" t="s">
        <v>15</v>
      </c>
      <c r="E485">
        <v>167</v>
      </c>
      <c r="F485" t="s">
        <v>119</v>
      </c>
      <c r="G485">
        <v>12</v>
      </c>
      <c r="H485">
        <v>4</v>
      </c>
      <c r="I485" t="s">
        <v>21</v>
      </c>
      <c r="J485">
        <v>1</v>
      </c>
      <c r="K485">
        <v>1158</v>
      </c>
      <c r="L485">
        <v>2</v>
      </c>
      <c r="M485" t="s">
        <v>23</v>
      </c>
      <c r="N485">
        <v>46</v>
      </c>
      <c r="O485">
        <v>3</v>
      </c>
      <c r="P485">
        <v>1</v>
      </c>
      <c r="Q485" t="s">
        <v>36</v>
      </c>
      <c r="R485">
        <v>4</v>
      </c>
      <c r="S485" t="s">
        <v>28</v>
      </c>
      <c r="T485">
        <v>4766</v>
      </c>
      <c r="U485">
        <v>9051</v>
      </c>
      <c r="V485">
        <v>3</v>
      </c>
      <c r="W485" t="s">
        <v>29</v>
      </c>
      <c r="X485" t="s">
        <v>10</v>
      </c>
      <c r="Y485">
        <v>11</v>
      </c>
      <c r="Z485">
        <v>3</v>
      </c>
      <c r="AA485">
        <v>1</v>
      </c>
      <c r="AB485">
        <v>80</v>
      </c>
      <c r="AC485">
        <v>1</v>
      </c>
      <c r="AD485">
        <v>6</v>
      </c>
      <c r="AE485">
        <v>4</v>
      </c>
      <c r="AF485">
        <v>3</v>
      </c>
      <c r="AG485">
        <v>1</v>
      </c>
      <c r="AH485">
        <v>0</v>
      </c>
      <c r="AI485">
        <v>0</v>
      </c>
      <c r="AJ485">
        <v>0</v>
      </c>
    </row>
    <row r="486" spans="1:36" x14ac:dyDescent="0.25">
      <c r="A486">
        <v>101</v>
      </c>
      <c r="B486">
        <v>27</v>
      </c>
      <c r="C486" t="s">
        <v>9</v>
      </c>
      <c r="D486" t="s">
        <v>15</v>
      </c>
      <c r="E486">
        <v>1377</v>
      </c>
      <c r="F486" t="s">
        <v>119</v>
      </c>
      <c r="G486">
        <v>11</v>
      </c>
      <c r="H486">
        <v>1</v>
      </c>
      <c r="I486" t="s">
        <v>21</v>
      </c>
      <c r="J486">
        <v>1</v>
      </c>
      <c r="K486">
        <v>1434</v>
      </c>
      <c r="L486">
        <v>2</v>
      </c>
      <c r="M486" t="s">
        <v>23</v>
      </c>
      <c r="N486">
        <v>91</v>
      </c>
      <c r="O486">
        <v>3</v>
      </c>
      <c r="P486">
        <v>1</v>
      </c>
      <c r="Q486" t="s">
        <v>36</v>
      </c>
      <c r="R486">
        <v>1</v>
      </c>
      <c r="S486" t="s">
        <v>28</v>
      </c>
      <c r="T486">
        <v>2099</v>
      </c>
      <c r="U486">
        <v>7679</v>
      </c>
      <c r="V486">
        <v>0</v>
      </c>
      <c r="W486" t="s">
        <v>29</v>
      </c>
      <c r="X486" t="s">
        <v>9</v>
      </c>
      <c r="Y486">
        <v>14</v>
      </c>
      <c r="Z486">
        <v>3</v>
      </c>
      <c r="AA486">
        <v>2</v>
      </c>
      <c r="AB486">
        <v>80</v>
      </c>
      <c r="AC486">
        <v>0</v>
      </c>
      <c r="AD486">
        <v>6</v>
      </c>
      <c r="AE486">
        <v>3</v>
      </c>
      <c r="AF486">
        <v>4</v>
      </c>
      <c r="AG486">
        <v>5</v>
      </c>
      <c r="AH486">
        <v>0</v>
      </c>
      <c r="AI486">
        <v>1</v>
      </c>
      <c r="AJ486">
        <v>4</v>
      </c>
    </row>
    <row r="487" spans="1:36" x14ac:dyDescent="0.25">
      <c r="A487">
        <v>265</v>
      </c>
      <c r="B487">
        <v>24</v>
      </c>
      <c r="C487" t="s">
        <v>9</v>
      </c>
      <c r="D487" t="s">
        <v>15</v>
      </c>
      <c r="E487">
        <v>1127</v>
      </c>
      <c r="F487" t="s">
        <v>119</v>
      </c>
      <c r="G487">
        <v>18</v>
      </c>
      <c r="H487">
        <v>1</v>
      </c>
      <c r="I487" t="s">
        <v>21</v>
      </c>
      <c r="J487">
        <v>1</v>
      </c>
      <c r="K487">
        <v>150</v>
      </c>
      <c r="L487">
        <v>2</v>
      </c>
      <c r="M487" t="s">
        <v>23</v>
      </c>
      <c r="N487">
        <v>52</v>
      </c>
      <c r="O487">
        <v>3</v>
      </c>
      <c r="P487">
        <v>1</v>
      </c>
      <c r="Q487" t="s">
        <v>36</v>
      </c>
      <c r="R487">
        <v>3</v>
      </c>
      <c r="S487" t="s">
        <v>28</v>
      </c>
      <c r="T487">
        <v>2774</v>
      </c>
      <c r="U487">
        <v>13257</v>
      </c>
      <c r="V487">
        <v>0</v>
      </c>
      <c r="W487" t="s">
        <v>29</v>
      </c>
      <c r="X487" t="s">
        <v>9</v>
      </c>
      <c r="Y487">
        <v>12</v>
      </c>
      <c r="Z487">
        <v>3</v>
      </c>
      <c r="AA487">
        <v>3</v>
      </c>
      <c r="AB487">
        <v>80</v>
      </c>
      <c r="AC487">
        <v>1</v>
      </c>
      <c r="AD487">
        <v>6</v>
      </c>
      <c r="AE487">
        <v>2</v>
      </c>
      <c r="AF487">
        <v>3</v>
      </c>
      <c r="AG487">
        <v>5</v>
      </c>
      <c r="AH487">
        <v>3</v>
      </c>
      <c r="AI487">
        <v>1</v>
      </c>
      <c r="AJ487">
        <v>2</v>
      </c>
    </row>
    <row r="488" spans="1:36" x14ac:dyDescent="0.25">
      <c r="A488">
        <v>286</v>
      </c>
      <c r="B488">
        <v>33</v>
      </c>
      <c r="C488" t="s">
        <v>9</v>
      </c>
      <c r="D488" t="s">
        <v>15</v>
      </c>
      <c r="E488">
        <v>589</v>
      </c>
      <c r="F488" t="s">
        <v>119</v>
      </c>
      <c r="G488">
        <v>28</v>
      </c>
      <c r="H488">
        <v>4</v>
      </c>
      <c r="I488" t="s">
        <v>21</v>
      </c>
      <c r="J488">
        <v>1</v>
      </c>
      <c r="K488">
        <v>1549</v>
      </c>
      <c r="L488">
        <v>2</v>
      </c>
      <c r="M488" t="s">
        <v>23</v>
      </c>
      <c r="N488">
        <v>79</v>
      </c>
      <c r="O488">
        <v>3</v>
      </c>
      <c r="P488">
        <v>2</v>
      </c>
      <c r="Q488" t="s">
        <v>36</v>
      </c>
      <c r="R488">
        <v>3</v>
      </c>
      <c r="S488" t="s">
        <v>28</v>
      </c>
      <c r="T488">
        <v>5207</v>
      </c>
      <c r="U488">
        <v>22949</v>
      </c>
      <c r="V488">
        <v>1</v>
      </c>
      <c r="W488" t="s">
        <v>29</v>
      </c>
      <c r="X488" t="s">
        <v>10</v>
      </c>
      <c r="Y488">
        <v>12</v>
      </c>
      <c r="Z488">
        <v>3</v>
      </c>
      <c r="AA488">
        <v>2</v>
      </c>
      <c r="AB488">
        <v>80</v>
      </c>
      <c r="AC488">
        <v>1</v>
      </c>
      <c r="AD488">
        <v>15</v>
      </c>
      <c r="AE488">
        <v>3</v>
      </c>
      <c r="AF488">
        <v>3</v>
      </c>
      <c r="AG488">
        <v>15</v>
      </c>
      <c r="AH488">
        <v>14</v>
      </c>
      <c r="AI488">
        <v>5</v>
      </c>
      <c r="AJ488">
        <v>7</v>
      </c>
    </row>
    <row r="489" spans="1:36" x14ac:dyDescent="0.25">
      <c r="A489" s="15">
        <v>423</v>
      </c>
      <c r="B489" s="15">
        <v>31</v>
      </c>
      <c r="C489" s="15" t="s">
        <v>10</v>
      </c>
      <c r="D489" s="15" t="s">
        <v>15</v>
      </c>
      <c r="E489" s="15">
        <v>249</v>
      </c>
      <c r="F489" s="15" t="s">
        <v>118</v>
      </c>
      <c r="G489" s="15">
        <v>6</v>
      </c>
      <c r="H489" s="15">
        <v>4</v>
      </c>
      <c r="I489" s="15" t="s">
        <v>21</v>
      </c>
      <c r="J489" s="15">
        <v>1</v>
      </c>
      <c r="K489" s="15">
        <v>163</v>
      </c>
      <c r="L489" s="15">
        <v>2</v>
      </c>
      <c r="M489" s="15" t="s">
        <v>23</v>
      </c>
      <c r="N489" s="15">
        <v>76</v>
      </c>
      <c r="O489" s="15">
        <v>1</v>
      </c>
      <c r="P489" s="15">
        <v>2</v>
      </c>
      <c r="Q489" s="15" t="s">
        <v>25</v>
      </c>
      <c r="R489" s="15">
        <v>3</v>
      </c>
      <c r="S489" s="15" t="s">
        <v>28</v>
      </c>
      <c r="T489" s="15">
        <v>6172</v>
      </c>
      <c r="U489" s="15">
        <v>20739</v>
      </c>
      <c r="V489" s="15">
        <v>4</v>
      </c>
      <c r="W489" s="15" t="s">
        <v>29</v>
      </c>
      <c r="X489" s="15" t="s">
        <v>10</v>
      </c>
      <c r="Y489" s="15">
        <v>18</v>
      </c>
      <c r="Z489" s="15">
        <v>3</v>
      </c>
      <c r="AA489" s="15">
        <v>2</v>
      </c>
      <c r="AB489" s="15">
        <v>80</v>
      </c>
      <c r="AC489" s="15">
        <v>0</v>
      </c>
      <c r="AD489" s="15">
        <v>12</v>
      </c>
      <c r="AE489" s="15">
        <v>3</v>
      </c>
      <c r="AF489" s="15">
        <v>2</v>
      </c>
      <c r="AG489" s="15">
        <v>7</v>
      </c>
      <c r="AH489" s="15">
        <v>7</v>
      </c>
      <c r="AI489" s="15">
        <v>7</v>
      </c>
      <c r="AJ489" s="15">
        <v>7</v>
      </c>
    </row>
    <row r="490" spans="1:36" x14ac:dyDescent="0.25">
      <c r="A490">
        <v>32</v>
      </c>
      <c r="B490">
        <v>33</v>
      </c>
      <c r="C490" t="s">
        <v>9</v>
      </c>
      <c r="D490" t="s">
        <v>15</v>
      </c>
      <c r="E490">
        <v>267</v>
      </c>
      <c r="F490" t="s">
        <v>119</v>
      </c>
      <c r="G490">
        <v>21</v>
      </c>
      <c r="H490">
        <v>3</v>
      </c>
      <c r="I490" t="s">
        <v>17</v>
      </c>
      <c r="J490">
        <v>1</v>
      </c>
      <c r="K490">
        <v>1698</v>
      </c>
      <c r="L490">
        <v>2</v>
      </c>
      <c r="M490" t="s">
        <v>23</v>
      </c>
      <c r="N490">
        <v>79</v>
      </c>
      <c r="O490">
        <v>4</v>
      </c>
      <c r="P490">
        <v>1</v>
      </c>
      <c r="Q490" t="s">
        <v>36</v>
      </c>
      <c r="R490">
        <v>2</v>
      </c>
      <c r="S490" t="s">
        <v>28</v>
      </c>
      <c r="T490">
        <v>2028</v>
      </c>
      <c r="U490">
        <v>13637</v>
      </c>
      <c r="V490">
        <v>1</v>
      </c>
      <c r="W490" t="s">
        <v>29</v>
      </c>
      <c r="X490" t="s">
        <v>9</v>
      </c>
      <c r="Y490">
        <v>18</v>
      </c>
      <c r="Z490">
        <v>3</v>
      </c>
      <c r="AA490">
        <v>4</v>
      </c>
      <c r="AB490">
        <v>80</v>
      </c>
      <c r="AC490">
        <v>3</v>
      </c>
      <c r="AD490">
        <v>14</v>
      </c>
      <c r="AE490">
        <v>6</v>
      </c>
      <c r="AF490">
        <v>3</v>
      </c>
      <c r="AG490">
        <v>14</v>
      </c>
      <c r="AH490">
        <v>11</v>
      </c>
      <c r="AI490">
        <v>2</v>
      </c>
      <c r="AJ490">
        <v>13</v>
      </c>
    </row>
    <row r="491" spans="1:36" x14ac:dyDescent="0.25">
      <c r="A491">
        <v>616</v>
      </c>
      <c r="B491">
        <v>34</v>
      </c>
      <c r="C491" t="s">
        <v>9</v>
      </c>
      <c r="D491" t="s">
        <v>15</v>
      </c>
      <c r="E491">
        <v>1157</v>
      </c>
      <c r="F491" t="s">
        <v>119</v>
      </c>
      <c r="G491">
        <v>5</v>
      </c>
      <c r="H491">
        <v>2</v>
      </c>
      <c r="I491" t="s">
        <v>17</v>
      </c>
      <c r="J491">
        <v>1</v>
      </c>
      <c r="K491">
        <v>1696</v>
      </c>
      <c r="L491">
        <v>2</v>
      </c>
      <c r="M491" t="s">
        <v>23</v>
      </c>
      <c r="N491">
        <v>57</v>
      </c>
      <c r="O491">
        <v>2</v>
      </c>
      <c r="P491">
        <v>2</v>
      </c>
      <c r="Q491" t="s">
        <v>36</v>
      </c>
      <c r="R491">
        <v>4</v>
      </c>
      <c r="S491" t="s">
        <v>28</v>
      </c>
      <c r="T491">
        <v>3986</v>
      </c>
      <c r="U491">
        <v>11912</v>
      </c>
      <c r="V491">
        <v>1</v>
      </c>
      <c r="W491" t="s">
        <v>29</v>
      </c>
      <c r="X491" t="s">
        <v>9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15</v>
      </c>
      <c r="AE491">
        <v>3</v>
      </c>
      <c r="AF491">
        <v>4</v>
      </c>
      <c r="AG491">
        <v>15</v>
      </c>
      <c r="AH491">
        <v>10</v>
      </c>
      <c r="AI491">
        <v>4</v>
      </c>
      <c r="AJ491">
        <v>13</v>
      </c>
    </row>
    <row r="492" spans="1:36" x14ac:dyDescent="0.25">
      <c r="A492">
        <v>805</v>
      </c>
      <c r="B492">
        <v>44</v>
      </c>
      <c r="C492" t="s">
        <v>9</v>
      </c>
      <c r="D492" t="s">
        <v>16</v>
      </c>
      <c r="E492">
        <v>489</v>
      </c>
      <c r="F492" t="s">
        <v>119</v>
      </c>
      <c r="G492">
        <v>23</v>
      </c>
      <c r="H492">
        <v>3</v>
      </c>
      <c r="I492" t="s">
        <v>17</v>
      </c>
      <c r="J492">
        <v>1</v>
      </c>
      <c r="K492">
        <v>132</v>
      </c>
      <c r="L492">
        <v>2</v>
      </c>
      <c r="M492" t="s">
        <v>23</v>
      </c>
      <c r="N492">
        <v>67</v>
      </c>
      <c r="O492">
        <v>3</v>
      </c>
      <c r="P492">
        <v>2</v>
      </c>
      <c r="Q492" t="s">
        <v>36</v>
      </c>
      <c r="R492">
        <v>2</v>
      </c>
      <c r="S492" t="s">
        <v>28</v>
      </c>
      <c r="T492">
        <v>2042</v>
      </c>
      <c r="U492">
        <v>25043</v>
      </c>
      <c r="V492">
        <v>4</v>
      </c>
      <c r="W492" t="s">
        <v>29</v>
      </c>
      <c r="X492" t="s">
        <v>9</v>
      </c>
      <c r="Y492">
        <v>12</v>
      </c>
      <c r="Z492">
        <v>3</v>
      </c>
      <c r="AA492">
        <v>3</v>
      </c>
      <c r="AB492">
        <v>80</v>
      </c>
      <c r="AC492">
        <v>1</v>
      </c>
      <c r="AD492">
        <v>17</v>
      </c>
      <c r="AE492">
        <v>3</v>
      </c>
      <c r="AF492">
        <v>4</v>
      </c>
      <c r="AG492">
        <v>3</v>
      </c>
      <c r="AH492">
        <v>2</v>
      </c>
      <c r="AI492">
        <v>1</v>
      </c>
      <c r="AJ492">
        <v>2</v>
      </c>
    </row>
    <row r="493" spans="1:36" x14ac:dyDescent="0.25">
      <c r="A493">
        <v>461</v>
      </c>
      <c r="B493">
        <v>42</v>
      </c>
      <c r="C493" t="s">
        <v>9</v>
      </c>
      <c r="D493" t="s">
        <v>11</v>
      </c>
      <c r="E493">
        <v>1474</v>
      </c>
      <c r="F493" t="s">
        <v>119</v>
      </c>
      <c r="G493">
        <v>5</v>
      </c>
      <c r="H493">
        <v>2</v>
      </c>
      <c r="I493" t="s">
        <v>19</v>
      </c>
      <c r="J493">
        <v>1</v>
      </c>
      <c r="K493">
        <v>591</v>
      </c>
      <c r="L493">
        <v>2</v>
      </c>
      <c r="M493" t="s">
        <v>23</v>
      </c>
      <c r="N493">
        <v>97</v>
      </c>
      <c r="O493">
        <v>3</v>
      </c>
      <c r="P493">
        <v>1</v>
      </c>
      <c r="Q493" t="s">
        <v>36</v>
      </c>
      <c r="R493">
        <v>3</v>
      </c>
      <c r="S493" t="s">
        <v>28</v>
      </c>
      <c r="T493">
        <v>2093</v>
      </c>
      <c r="U493">
        <v>9260</v>
      </c>
      <c r="V493">
        <v>4</v>
      </c>
      <c r="W493" t="s">
        <v>29</v>
      </c>
      <c r="X493" t="s">
        <v>9</v>
      </c>
      <c r="Y493">
        <v>17</v>
      </c>
      <c r="Z493">
        <v>3</v>
      </c>
      <c r="AA493">
        <v>4</v>
      </c>
      <c r="AB493">
        <v>80</v>
      </c>
      <c r="AC493">
        <v>1</v>
      </c>
      <c r="AD493">
        <v>8</v>
      </c>
      <c r="AE493">
        <v>4</v>
      </c>
      <c r="AF493">
        <v>3</v>
      </c>
      <c r="AG493">
        <v>2</v>
      </c>
      <c r="AH493">
        <v>2</v>
      </c>
      <c r="AI493">
        <v>2</v>
      </c>
      <c r="AJ493">
        <v>0</v>
      </c>
    </row>
    <row r="494" spans="1:36" x14ac:dyDescent="0.25">
      <c r="A494">
        <v>26</v>
      </c>
      <c r="B494">
        <v>44</v>
      </c>
      <c r="C494" t="s">
        <v>9</v>
      </c>
      <c r="D494" t="s">
        <v>15</v>
      </c>
      <c r="E494">
        <v>1099</v>
      </c>
      <c r="F494" t="s">
        <v>118</v>
      </c>
      <c r="G494">
        <v>5</v>
      </c>
      <c r="H494">
        <v>3</v>
      </c>
      <c r="I494" t="s">
        <v>18</v>
      </c>
      <c r="J494">
        <v>1</v>
      </c>
      <c r="K494">
        <v>1267</v>
      </c>
      <c r="L494">
        <v>2</v>
      </c>
      <c r="M494" t="s">
        <v>23</v>
      </c>
      <c r="N494">
        <v>88</v>
      </c>
      <c r="O494">
        <v>3</v>
      </c>
      <c r="P494">
        <v>5</v>
      </c>
      <c r="Q494" t="s">
        <v>35</v>
      </c>
      <c r="R494">
        <v>2</v>
      </c>
      <c r="S494" t="s">
        <v>28</v>
      </c>
      <c r="T494">
        <v>18213</v>
      </c>
      <c r="U494">
        <v>8751</v>
      </c>
      <c r="V494">
        <v>7</v>
      </c>
      <c r="W494" t="s">
        <v>29</v>
      </c>
      <c r="X494" t="s">
        <v>9</v>
      </c>
      <c r="Y494">
        <v>11</v>
      </c>
      <c r="Z494">
        <v>3</v>
      </c>
      <c r="AA494">
        <v>3</v>
      </c>
      <c r="AB494">
        <v>80</v>
      </c>
      <c r="AC494">
        <v>1</v>
      </c>
      <c r="AD494">
        <v>26</v>
      </c>
      <c r="AE494">
        <v>5</v>
      </c>
      <c r="AF494">
        <v>3</v>
      </c>
      <c r="AG494">
        <v>22</v>
      </c>
      <c r="AH494">
        <v>9</v>
      </c>
      <c r="AI494">
        <v>3</v>
      </c>
      <c r="AJ494">
        <v>10</v>
      </c>
    </row>
    <row r="495" spans="1:36" x14ac:dyDescent="0.25">
      <c r="A495" s="15">
        <v>208</v>
      </c>
      <c r="B495" s="15">
        <v>38</v>
      </c>
      <c r="C495" s="15" t="s">
        <v>10</v>
      </c>
      <c r="D495" s="15" t="s">
        <v>15</v>
      </c>
      <c r="E495" s="15">
        <v>1180</v>
      </c>
      <c r="F495" s="15" t="s">
        <v>119</v>
      </c>
      <c r="G495" s="15">
        <v>29</v>
      </c>
      <c r="H495" s="15">
        <v>1</v>
      </c>
      <c r="I495" s="15" t="s">
        <v>17</v>
      </c>
      <c r="J495" s="15">
        <v>1</v>
      </c>
      <c r="K495" s="15">
        <v>282</v>
      </c>
      <c r="L495" s="15">
        <v>2</v>
      </c>
      <c r="M495" s="15" t="s">
        <v>23</v>
      </c>
      <c r="N495" s="15">
        <v>70</v>
      </c>
      <c r="O495" s="15">
        <v>3</v>
      </c>
      <c r="P495" s="15">
        <v>2</v>
      </c>
      <c r="Q495" s="15" t="s">
        <v>34</v>
      </c>
      <c r="R495" s="15">
        <v>1</v>
      </c>
      <c r="S495" s="15" t="s">
        <v>28</v>
      </c>
      <c r="T495" s="15">
        <v>6673</v>
      </c>
      <c r="U495" s="15">
        <v>11354</v>
      </c>
      <c r="V495" s="15">
        <v>7</v>
      </c>
      <c r="W495" s="15" t="s">
        <v>29</v>
      </c>
      <c r="X495" s="15" t="s">
        <v>10</v>
      </c>
      <c r="Y495" s="15">
        <v>19</v>
      </c>
      <c r="Z495" s="15">
        <v>3</v>
      </c>
      <c r="AA495" s="15">
        <v>2</v>
      </c>
      <c r="AB495" s="15">
        <v>80</v>
      </c>
      <c r="AC495" s="15">
        <v>0</v>
      </c>
      <c r="AD495" s="15">
        <v>17</v>
      </c>
      <c r="AE495" s="15">
        <v>2</v>
      </c>
      <c r="AF495" s="15">
        <v>3</v>
      </c>
      <c r="AG495" s="15">
        <v>1</v>
      </c>
      <c r="AH495" s="15">
        <v>0</v>
      </c>
      <c r="AI495" s="15">
        <v>0</v>
      </c>
      <c r="AJ495" s="15">
        <v>0</v>
      </c>
    </row>
    <row r="496" spans="1:36" x14ac:dyDescent="0.25">
      <c r="A496">
        <v>559</v>
      </c>
      <c r="B496">
        <v>42</v>
      </c>
      <c r="C496" t="s">
        <v>9</v>
      </c>
      <c r="D496" t="s">
        <v>15</v>
      </c>
      <c r="E496">
        <v>933</v>
      </c>
      <c r="F496" t="s">
        <v>119</v>
      </c>
      <c r="G496">
        <v>29</v>
      </c>
      <c r="H496">
        <v>3</v>
      </c>
      <c r="I496" t="s">
        <v>21</v>
      </c>
      <c r="J496">
        <v>1</v>
      </c>
      <c r="K496">
        <v>836</v>
      </c>
      <c r="L496">
        <v>2</v>
      </c>
      <c r="M496" t="s">
        <v>23</v>
      </c>
      <c r="N496">
        <v>98</v>
      </c>
      <c r="O496">
        <v>3</v>
      </c>
      <c r="P496">
        <v>2</v>
      </c>
      <c r="Q496" t="s">
        <v>31</v>
      </c>
      <c r="R496">
        <v>2</v>
      </c>
      <c r="S496" t="s">
        <v>28</v>
      </c>
      <c r="T496">
        <v>4434</v>
      </c>
      <c r="U496">
        <v>11806</v>
      </c>
      <c r="V496">
        <v>1</v>
      </c>
      <c r="W496" t="s">
        <v>29</v>
      </c>
      <c r="X496" t="s">
        <v>9</v>
      </c>
      <c r="Y496">
        <v>13</v>
      </c>
      <c r="Z496">
        <v>3</v>
      </c>
      <c r="AA496">
        <v>4</v>
      </c>
      <c r="AB496">
        <v>80</v>
      </c>
      <c r="AC496">
        <v>1</v>
      </c>
      <c r="AD496">
        <v>10</v>
      </c>
      <c r="AE496">
        <v>3</v>
      </c>
      <c r="AF496">
        <v>2</v>
      </c>
      <c r="AG496">
        <v>9</v>
      </c>
      <c r="AH496">
        <v>8</v>
      </c>
      <c r="AI496">
        <v>7</v>
      </c>
      <c r="AJ496">
        <v>8</v>
      </c>
    </row>
    <row r="497" spans="1:36" x14ac:dyDescent="0.25">
      <c r="A497">
        <v>599</v>
      </c>
      <c r="B497">
        <v>27</v>
      </c>
      <c r="C497" t="s">
        <v>9</v>
      </c>
      <c r="D497" t="s">
        <v>15</v>
      </c>
      <c r="E497">
        <v>155</v>
      </c>
      <c r="F497" t="s">
        <v>119</v>
      </c>
      <c r="G497">
        <v>4</v>
      </c>
      <c r="H497">
        <v>3</v>
      </c>
      <c r="I497" t="s">
        <v>21</v>
      </c>
      <c r="J497">
        <v>1</v>
      </c>
      <c r="K497">
        <v>2064</v>
      </c>
      <c r="L497">
        <v>2</v>
      </c>
      <c r="M497" t="s">
        <v>23</v>
      </c>
      <c r="N497">
        <v>87</v>
      </c>
      <c r="O497">
        <v>4</v>
      </c>
      <c r="P497">
        <v>2</v>
      </c>
      <c r="Q497" t="s">
        <v>31</v>
      </c>
      <c r="R497">
        <v>2</v>
      </c>
      <c r="S497" t="s">
        <v>28</v>
      </c>
      <c r="T497">
        <v>6142</v>
      </c>
      <c r="U497">
        <v>5174</v>
      </c>
      <c r="V497">
        <v>1</v>
      </c>
      <c r="W497" t="s">
        <v>29</v>
      </c>
      <c r="X497" t="s">
        <v>10</v>
      </c>
      <c r="Y497">
        <v>20</v>
      </c>
      <c r="Z497">
        <v>4</v>
      </c>
      <c r="AA497">
        <v>2</v>
      </c>
      <c r="AB497">
        <v>80</v>
      </c>
      <c r="AC497">
        <v>1</v>
      </c>
      <c r="AD497">
        <v>6</v>
      </c>
      <c r="AE497">
        <v>0</v>
      </c>
      <c r="AF497">
        <v>3</v>
      </c>
      <c r="AG497">
        <v>6</v>
      </c>
      <c r="AH497">
        <v>2</v>
      </c>
      <c r="AI497">
        <v>0</v>
      </c>
      <c r="AJ497">
        <v>3</v>
      </c>
    </row>
    <row r="498" spans="1:36" x14ac:dyDescent="0.25">
      <c r="A498">
        <v>245</v>
      </c>
      <c r="B498">
        <v>29</v>
      </c>
      <c r="C498" t="s">
        <v>9</v>
      </c>
      <c r="D498" t="s">
        <v>15</v>
      </c>
      <c r="E498">
        <v>718</v>
      </c>
      <c r="F498" t="s">
        <v>119</v>
      </c>
      <c r="G498">
        <v>8</v>
      </c>
      <c r="H498">
        <v>1</v>
      </c>
      <c r="I498" t="s">
        <v>17</v>
      </c>
      <c r="J498">
        <v>1</v>
      </c>
      <c r="K498">
        <v>1150</v>
      </c>
      <c r="L498">
        <v>2</v>
      </c>
      <c r="M498" t="s">
        <v>23</v>
      </c>
      <c r="N498">
        <v>79</v>
      </c>
      <c r="O498">
        <v>2</v>
      </c>
      <c r="P498">
        <v>2</v>
      </c>
      <c r="Q498" t="s">
        <v>31</v>
      </c>
      <c r="R498">
        <v>4</v>
      </c>
      <c r="S498" t="s">
        <v>28</v>
      </c>
      <c r="T498">
        <v>5056</v>
      </c>
      <c r="U498">
        <v>17689</v>
      </c>
      <c r="V498">
        <v>1</v>
      </c>
      <c r="W498" t="s">
        <v>29</v>
      </c>
      <c r="X498" t="s">
        <v>10</v>
      </c>
      <c r="Y498">
        <v>15</v>
      </c>
      <c r="Z498">
        <v>3</v>
      </c>
      <c r="AA498">
        <v>3</v>
      </c>
      <c r="AB498">
        <v>80</v>
      </c>
      <c r="AC498">
        <v>1</v>
      </c>
      <c r="AD498">
        <v>10</v>
      </c>
      <c r="AE498">
        <v>2</v>
      </c>
      <c r="AF498">
        <v>2</v>
      </c>
      <c r="AG498">
        <v>10</v>
      </c>
      <c r="AH498">
        <v>7</v>
      </c>
      <c r="AI498">
        <v>1</v>
      </c>
      <c r="AJ498">
        <v>2</v>
      </c>
    </row>
    <row r="499" spans="1:36" x14ac:dyDescent="0.25">
      <c r="A499">
        <v>314</v>
      </c>
      <c r="B499">
        <v>51</v>
      </c>
      <c r="C499" t="s">
        <v>9</v>
      </c>
      <c r="D499" t="s">
        <v>15</v>
      </c>
      <c r="E499">
        <v>1169</v>
      </c>
      <c r="F499" t="s">
        <v>119</v>
      </c>
      <c r="G499">
        <v>7</v>
      </c>
      <c r="H499">
        <v>4</v>
      </c>
      <c r="I499" t="s">
        <v>17</v>
      </c>
      <c r="J499">
        <v>1</v>
      </c>
      <c r="K499">
        <v>211</v>
      </c>
      <c r="L499">
        <v>2</v>
      </c>
      <c r="M499" t="s">
        <v>23</v>
      </c>
      <c r="N499">
        <v>34</v>
      </c>
      <c r="O499">
        <v>2</v>
      </c>
      <c r="P499">
        <v>2</v>
      </c>
      <c r="Q499" t="s">
        <v>31</v>
      </c>
      <c r="R499">
        <v>3</v>
      </c>
      <c r="S499" t="s">
        <v>28</v>
      </c>
      <c r="T499">
        <v>6132</v>
      </c>
      <c r="U499">
        <v>13983</v>
      </c>
      <c r="V499">
        <v>2</v>
      </c>
      <c r="W499" t="s">
        <v>29</v>
      </c>
      <c r="X499" t="s">
        <v>9</v>
      </c>
      <c r="Y499">
        <v>17</v>
      </c>
      <c r="Z499">
        <v>3</v>
      </c>
      <c r="AA499">
        <v>3</v>
      </c>
      <c r="AB499">
        <v>80</v>
      </c>
      <c r="AC499">
        <v>0</v>
      </c>
      <c r="AD499">
        <v>10</v>
      </c>
      <c r="AE499">
        <v>2</v>
      </c>
      <c r="AF499">
        <v>3</v>
      </c>
      <c r="AG499">
        <v>1</v>
      </c>
      <c r="AH499">
        <v>0</v>
      </c>
      <c r="AI499">
        <v>0</v>
      </c>
      <c r="AJ499">
        <v>0</v>
      </c>
    </row>
    <row r="500" spans="1:36" x14ac:dyDescent="0.25">
      <c r="A500">
        <v>865</v>
      </c>
      <c r="B500">
        <v>45</v>
      </c>
      <c r="C500" t="s">
        <v>9</v>
      </c>
      <c r="D500" t="s">
        <v>15</v>
      </c>
      <c r="E500">
        <v>1448</v>
      </c>
      <c r="F500" t="s">
        <v>119</v>
      </c>
      <c r="G500">
        <v>29</v>
      </c>
      <c r="H500">
        <v>3</v>
      </c>
      <c r="I500" t="s">
        <v>22</v>
      </c>
      <c r="J500">
        <v>1</v>
      </c>
      <c r="K500">
        <v>1465</v>
      </c>
      <c r="L500">
        <v>2</v>
      </c>
      <c r="M500" t="s">
        <v>23</v>
      </c>
      <c r="N500">
        <v>55</v>
      </c>
      <c r="O500">
        <v>3</v>
      </c>
      <c r="P500">
        <v>3</v>
      </c>
      <c r="Q500" t="s">
        <v>31</v>
      </c>
      <c r="R500">
        <v>4</v>
      </c>
      <c r="S500" t="s">
        <v>28</v>
      </c>
      <c r="T500">
        <v>9380</v>
      </c>
      <c r="U500">
        <v>14720</v>
      </c>
      <c r="V500">
        <v>4</v>
      </c>
      <c r="W500" t="s">
        <v>29</v>
      </c>
      <c r="X500" t="s">
        <v>10</v>
      </c>
      <c r="Y500">
        <v>18</v>
      </c>
      <c r="Z500">
        <v>3</v>
      </c>
      <c r="AA500">
        <v>4</v>
      </c>
      <c r="AB500">
        <v>80</v>
      </c>
      <c r="AC500">
        <v>2</v>
      </c>
      <c r="AD500">
        <v>10</v>
      </c>
      <c r="AE500">
        <v>4</v>
      </c>
      <c r="AF500">
        <v>4</v>
      </c>
      <c r="AG500">
        <v>3</v>
      </c>
      <c r="AH500">
        <v>1</v>
      </c>
      <c r="AI500">
        <v>1</v>
      </c>
      <c r="AJ500">
        <v>2</v>
      </c>
    </row>
    <row r="501" spans="1:36" x14ac:dyDescent="0.25">
      <c r="A501">
        <v>410</v>
      </c>
      <c r="B501">
        <v>43</v>
      </c>
      <c r="C501" t="s">
        <v>9</v>
      </c>
      <c r="D501" t="s">
        <v>15</v>
      </c>
      <c r="E501">
        <v>589</v>
      </c>
      <c r="F501" t="s">
        <v>119</v>
      </c>
      <c r="G501">
        <v>14</v>
      </c>
      <c r="H501">
        <v>2</v>
      </c>
      <c r="I501" t="s">
        <v>21</v>
      </c>
      <c r="J501">
        <v>1</v>
      </c>
      <c r="K501">
        <v>843</v>
      </c>
      <c r="L501">
        <v>2</v>
      </c>
      <c r="M501" t="s">
        <v>23</v>
      </c>
      <c r="N501">
        <v>94</v>
      </c>
      <c r="O501">
        <v>3</v>
      </c>
      <c r="P501">
        <v>4</v>
      </c>
      <c r="Q501" t="s">
        <v>30</v>
      </c>
      <c r="R501">
        <v>1</v>
      </c>
      <c r="S501" t="s">
        <v>28</v>
      </c>
      <c r="T501">
        <v>17159</v>
      </c>
      <c r="U501">
        <v>5200</v>
      </c>
      <c r="V501">
        <v>6</v>
      </c>
      <c r="W501" t="s">
        <v>29</v>
      </c>
      <c r="X501" t="s">
        <v>9</v>
      </c>
      <c r="Y501">
        <v>24</v>
      </c>
      <c r="Z501">
        <v>4</v>
      </c>
      <c r="AA501">
        <v>3</v>
      </c>
      <c r="AB501">
        <v>80</v>
      </c>
      <c r="AC501">
        <v>1</v>
      </c>
      <c r="AD501">
        <v>22</v>
      </c>
      <c r="AE501">
        <v>3</v>
      </c>
      <c r="AF501">
        <v>3</v>
      </c>
      <c r="AG501">
        <v>4</v>
      </c>
      <c r="AH501">
        <v>1</v>
      </c>
      <c r="AI501">
        <v>1</v>
      </c>
      <c r="AJ501">
        <v>0</v>
      </c>
    </row>
    <row r="502" spans="1:36" x14ac:dyDescent="0.25">
      <c r="A502">
        <v>657</v>
      </c>
      <c r="B502">
        <v>51</v>
      </c>
      <c r="C502" t="s">
        <v>9</v>
      </c>
      <c r="D502" t="s">
        <v>15</v>
      </c>
      <c r="E502">
        <v>1469</v>
      </c>
      <c r="F502" t="s">
        <v>119</v>
      </c>
      <c r="G502">
        <v>8</v>
      </c>
      <c r="H502">
        <v>4</v>
      </c>
      <c r="I502" t="s">
        <v>21</v>
      </c>
      <c r="J502">
        <v>1</v>
      </c>
      <c r="K502">
        <v>296</v>
      </c>
      <c r="L502">
        <v>2</v>
      </c>
      <c r="M502" t="s">
        <v>23</v>
      </c>
      <c r="N502">
        <v>81</v>
      </c>
      <c r="O502">
        <v>2</v>
      </c>
      <c r="P502">
        <v>3</v>
      </c>
      <c r="Q502" t="s">
        <v>30</v>
      </c>
      <c r="R502">
        <v>2</v>
      </c>
      <c r="S502" t="s">
        <v>28</v>
      </c>
      <c r="T502">
        <v>12490</v>
      </c>
      <c r="U502">
        <v>15736</v>
      </c>
      <c r="V502">
        <v>5</v>
      </c>
      <c r="W502" t="s">
        <v>29</v>
      </c>
      <c r="X502" t="s">
        <v>9</v>
      </c>
      <c r="Y502">
        <v>16</v>
      </c>
      <c r="Z502">
        <v>3</v>
      </c>
      <c r="AA502">
        <v>4</v>
      </c>
      <c r="AB502">
        <v>80</v>
      </c>
      <c r="AC502">
        <v>2</v>
      </c>
      <c r="AD502">
        <v>16</v>
      </c>
      <c r="AE502">
        <v>5</v>
      </c>
      <c r="AF502">
        <v>1</v>
      </c>
      <c r="AG502">
        <v>10</v>
      </c>
      <c r="AH502">
        <v>9</v>
      </c>
      <c r="AI502">
        <v>4</v>
      </c>
      <c r="AJ502">
        <v>7</v>
      </c>
    </row>
    <row r="503" spans="1:36" x14ac:dyDescent="0.25">
      <c r="A503">
        <v>420</v>
      </c>
      <c r="B503">
        <v>29</v>
      </c>
      <c r="C503" t="s">
        <v>9</v>
      </c>
      <c r="D503" t="s">
        <v>15</v>
      </c>
      <c r="E503">
        <v>986</v>
      </c>
      <c r="F503" t="s">
        <v>119</v>
      </c>
      <c r="G503">
        <v>3</v>
      </c>
      <c r="H503">
        <v>4</v>
      </c>
      <c r="I503" t="s">
        <v>17</v>
      </c>
      <c r="J503">
        <v>1</v>
      </c>
      <c r="K503">
        <v>564</v>
      </c>
      <c r="L503">
        <v>2</v>
      </c>
      <c r="M503" t="s">
        <v>23</v>
      </c>
      <c r="N503">
        <v>93</v>
      </c>
      <c r="O503">
        <v>2</v>
      </c>
      <c r="P503">
        <v>3</v>
      </c>
      <c r="Q503" t="s">
        <v>30</v>
      </c>
      <c r="R503">
        <v>3</v>
      </c>
      <c r="S503" t="s">
        <v>28</v>
      </c>
      <c r="T503">
        <v>11935</v>
      </c>
      <c r="U503">
        <v>21526</v>
      </c>
      <c r="V503">
        <v>1</v>
      </c>
      <c r="W503" t="s">
        <v>29</v>
      </c>
      <c r="X503" t="s">
        <v>9</v>
      </c>
      <c r="Y503">
        <v>18</v>
      </c>
      <c r="Z503">
        <v>3</v>
      </c>
      <c r="AA503">
        <v>3</v>
      </c>
      <c r="AB503">
        <v>80</v>
      </c>
      <c r="AC503">
        <v>0</v>
      </c>
      <c r="AD503">
        <v>10</v>
      </c>
      <c r="AE503">
        <v>2</v>
      </c>
      <c r="AF503">
        <v>3</v>
      </c>
      <c r="AG503">
        <v>10</v>
      </c>
      <c r="AH503">
        <v>2</v>
      </c>
      <c r="AI503">
        <v>0</v>
      </c>
      <c r="AJ503">
        <v>7</v>
      </c>
    </row>
    <row r="504" spans="1:36" x14ac:dyDescent="0.25">
      <c r="A504">
        <v>202</v>
      </c>
      <c r="B504">
        <v>32</v>
      </c>
      <c r="C504" t="s">
        <v>9</v>
      </c>
      <c r="D504" t="s">
        <v>15</v>
      </c>
      <c r="E504">
        <v>548</v>
      </c>
      <c r="F504" t="s">
        <v>119</v>
      </c>
      <c r="G504">
        <v>1</v>
      </c>
      <c r="H504">
        <v>3</v>
      </c>
      <c r="I504" t="s">
        <v>21</v>
      </c>
      <c r="J504">
        <v>1</v>
      </c>
      <c r="K504">
        <v>96</v>
      </c>
      <c r="L504">
        <v>2</v>
      </c>
      <c r="M504" t="s">
        <v>23</v>
      </c>
      <c r="N504">
        <v>66</v>
      </c>
      <c r="O504">
        <v>3</v>
      </c>
      <c r="P504">
        <v>2</v>
      </c>
      <c r="Q504" t="s">
        <v>32</v>
      </c>
      <c r="R504">
        <v>2</v>
      </c>
      <c r="S504" t="s">
        <v>28</v>
      </c>
      <c r="T504">
        <v>6220</v>
      </c>
      <c r="U504">
        <v>7346</v>
      </c>
      <c r="V504">
        <v>1</v>
      </c>
      <c r="W504" t="s">
        <v>29</v>
      </c>
      <c r="X504" t="s">
        <v>9</v>
      </c>
      <c r="Y504">
        <v>17</v>
      </c>
      <c r="Z504">
        <v>3</v>
      </c>
      <c r="AA504">
        <v>2</v>
      </c>
      <c r="AB504">
        <v>80</v>
      </c>
      <c r="AC504">
        <v>2</v>
      </c>
      <c r="AD504">
        <v>10</v>
      </c>
      <c r="AE504">
        <v>3</v>
      </c>
      <c r="AF504">
        <v>3</v>
      </c>
      <c r="AG504">
        <v>10</v>
      </c>
      <c r="AH504">
        <v>4</v>
      </c>
      <c r="AI504">
        <v>0</v>
      </c>
      <c r="AJ504">
        <v>9</v>
      </c>
    </row>
    <row r="505" spans="1:36" x14ac:dyDescent="0.25">
      <c r="A505">
        <v>206</v>
      </c>
      <c r="B505">
        <v>44</v>
      </c>
      <c r="C505" t="s">
        <v>9</v>
      </c>
      <c r="D505" t="s">
        <v>15</v>
      </c>
      <c r="E505">
        <v>661</v>
      </c>
      <c r="F505" t="s">
        <v>119</v>
      </c>
      <c r="G505">
        <v>9</v>
      </c>
      <c r="H505">
        <v>2</v>
      </c>
      <c r="I505" t="s">
        <v>21</v>
      </c>
      <c r="J505">
        <v>1</v>
      </c>
      <c r="K505">
        <v>913</v>
      </c>
      <c r="L505">
        <v>2</v>
      </c>
      <c r="M505" t="s">
        <v>23</v>
      </c>
      <c r="N505">
        <v>61</v>
      </c>
      <c r="O505">
        <v>3</v>
      </c>
      <c r="P505">
        <v>1</v>
      </c>
      <c r="Q505" t="s">
        <v>32</v>
      </c>
      <c r="R505">
        <v>1</v>
      </c>
      <c r="S505" t="s">
        <v>28</v>
      </c>
      <c r="T505">
        <v>2559</v>
      </c>
      <c r="U505">
        <v>7508</v>
      </c>
      <c r="V505">
        <v>1</v>
      </c>
      <c r="W505" t="s">
        <v>29</v>
      </c>
      <c r="X505" t="s">
        <v>10</v>
      </c>
      <c r="Y505">
        <v>13</v>
      </c>
      <c r="Z505">
        <v>3</v>
      </c>
      <c r="AA505">
        <v>4</v>
      </c>
      <c r="AB505">
        <v>80</v>
      </c>
      <c r="AC505">
        <v>0</v>
      </c>
      <c r="AD505">
        <v>8</v>
      </c>
      <c r="AE505">
        <v>0</v>
      </c>
      <c r="AF505">
        <v>3</v>
      </c>
      <c r="AG505">
        <v>8</v>
      </c>
      <c r="AH505">
        <v>7</v>
      </c>
      <c r="AI505">
        <v>7</v>
      </c>
      <c r="AJ505">
        <v>1</v>
      </c>
    </row>
    <row r="506" spans="1:36" x14ac:dyDescent="0.25">
      <c r="A506">
        <v>311</v>
      </c>
      <c r="B506">
        <v>34</v>
      </c>
      <c r="C506" t="s">
        <v>9</v>
      </c>
      <c r="D506" t="s">
        <v>15</v>
      </c>
      <c r="E506">
        <v>1351</v>
      </c>
      <c r="F506" t="s">
        <v>119</v>
      </c>
      <c r="G506">
        <v>1</v>
      </c>
      <c r="H506">
        <v>4</v>
      </c>
      <c r="I506" t="s">
        <v>21</v>
      </c>
      <c r="J506">
        <v>1</v>
      </c>
      <c r="K506">
        <v>1580</v>
      </c>
      <c r="L506">
        <v>2</v>
      </c>
      <c r="M506" t="s">
        <v>23</v>
      </c>
      <c r="N506">
        <v>45</v>
      </c>
      <c r="O506">
        <v>3</v>
      </c>
      <c r="P506">
        <v>2</v>
      </c>
      <c r="Q506" t="s">
        <v>32</v>
      </c>
      <c r="R506">
        <v>4</v>
      </c>
      <c r="S506" t="s">
        <v>28</v>
      </c>
      <c r="T506">
        <v>5484</v>
      </c>
      <c r="U506">
        <v>13008</v>
      </c>
      <c r="V506">
        <v>9</v>
      </c>
      <c r="W506" t="s">
        <v>29</v>
      </c>
      <c r="X506" t="s">
        <v>9</v>
      </c>
      <c r="Y506">
        <v>17</v>
      </c>
      <c r="Z506">
        <v>3</v>
      </c>
      <c r="AA506">
        <v>2</v>
      </c>
      <c r="AB506">
        <v>80</v>
      </c>
      <c r="AC506">
        <v>1</v>
      </c>
      <c r="AD506">
        <v>9</v>
      </c>
      <c r="AE506">
        <v>3</v>
      </c>
      <c r="AF506">
        <v>2</v>
      </c>
      <c r="AG506">
        <v>2</v>
      </c>
      <c r="AH506">
        <v>2</v>
      </c>
      <c r="AI506">
        <v>2</v>
      </c>
      <c r="AJ506">
        <v>1</v>
      </c>
    </row>
    <row r="507" spans="1:36" x14ac:dyDescent="0.25">
      <c r="A507">
        <v>322</v>
      </c>
      <c r="B507">
        <v>34</v>
      </c>
      <c r="C507" t="s">
        <v>9</v>
      </c>
      <c r="D507" t="s">
        <v>15</v>
      </c>
      <c r="E507">
        <v>1397</v>
      </c>
      <c r="F507" t="s">
        <v>119</v>
      </c>
      <c r="G507">
        <v>1</v>
      </c>
      <c r="H507">
        <v>5</v>
      </c>
      <c r="I507" t="s">
        <v>21</v>
      </c>
      <c r="J507">
        <v>1</v>
      </c>
      <c r="K507">
        <v>683</v>
      </c>
      <c r="L507">
        <v>2</v>
      </c>
      <c r="M507" t="s">
        <v>23</v>
      </c>
      <c r="N507">
        <v>42</v>
      </c>
      <c r="O507">
        <v>3</v>
      </c>
      <c r="P507">
        <v>1</v>
      </c>
      <c r="Q507" t="s">
        <v>32</v>
      </c>
      <c r="R507">
        <v>4</v>
      </c>
      <c r="S507" t="s">
        <v>28</v>
      </c>
      <c r="T507">
        <v>2691</v>
      </c>
      <c r="U507">
        <v>7660</v>
      </c>
      <c r="V507">
        <v>1</v>
      </c>
      <c r="W507" t="s">
        <v>29</v>
      </c>
      <c r="X507" t="s">
        <v>9</v>
      </c>
      <c r="Y507">
        <v>12</v>
      </c>
      <c r="Z507">
        <v>3</v>
      </c>
      <c r="AA507">
        <v>4</v>
      </c>
      <c r="AB507">
        <v>80</v>
      </c>
      <c r="AC507">
        <v>1</v>
      </c>
      <c r="AD507">
        <v>10</v>
      </c>
      <c r="AE507">
        <v>4</v>
      </c>
      <c r="AF507">
        <v>2</v>
      </c>
      <c r="AG507">
        <v>10</v>
      </c>
      <c r="AH507">
        <v>9</v>
      </c>
      <c r="AI507">
        <v>8</v>
      </c>
      <c r="AJ507">
        <v>8</v>
      </c>
    </row>
    <row r="508" spans="1:36" x14ac:dyDescent="0.25">
      <c r="A508">
        <v>413</v>
      </c>
      <c r="B508">
        <v>37</v>
      </c>
      <c r="C508" t="s">
        <v>9</v>
      </c>
      <c r="D508" t="s">
        <v>15</v>
      </c>
      <c r="E508">
        <v>408</v>
      </c>
      <c r="F508" t="s">
        <v>119</v>
      </c>
      <c r="G508">
        <v>19</v>
      </c>
      <c r="H508">
        <v>2</v>
      </c>
      <c r="I508" t="s">
        <v>21</v>
      </c>
      <c r="J508">
        <v>1</v>
      </c>
      <c r="K508">
        <v>61</v>
      </c>
      <c r="L508">
        <v>2</v>
      </c>
      <c r="M508" t="s">
        <v>23</v>
      </c>
      <c r="N508">
        <v>73</v>
      </c>
      <c r="O508">
        <v>3</v>
      </c>
      <c r="P508">
        <v>1</v>
      </c>
      <c r="Q508" t="s">
        <v>32</v>
      </c>
      <c r="R508">
        <v>2</v>
      </c>
      <c r="S508" t="s">
        <v>28</v>
      </c>
      <c r="T508">
        <v>3022</v>
      </c>
      <c r="U508">
        <v>10227</v>
      </c>
      <c r="V508">
        <v>4</v>
      </c>
      <c r="W508" t="s">
        <v>29</v>
      </c>
      <c r="X508" t="s">
        <v>9</v>
      </c>
      <c r="Y508">
        <v>21</v>
      </c>
      <c r="Z508">
        <v>4</v>
      </c>
      <c r="AA508">
        <v>1</v>
      </c>
      <c r="AB508">
        <v>80</v>
      </c>
      <c r="AC508">
        <v>0</v>
      </c>
      <c r="AD508">
        <v>8</v>
      </c>
      <c r="AE508">
        <v>1</v>
      </c>
      <c r="AF508">
        <v>3</v>
      </c>
      <c r="AG508">
        <v>1</v>
      </c>
      <c r="AH508">
        <v>0</v>
      </c>
      <c r="AI508">
        <v>0</v>
      </c>
      <c r="AJ508">
        <v>0</v>
      </c>
    </row>
    <row r="509" spans="1:36" x14ac:dyDescent="0.25">
      <c r="A509">
        <v>558</v>
      </c>
      <c r="B509">
        <v>34</v>
      </c>
      <c r="C509" t="s">
        <v>9</v>
      </c>
      <c r="D509" t="s">
        <v>15</v>
      </c>
      <c r="E509">
        <v>254</v>
      </c>
      <c r="F509" t="s">
        <v>119</v>
      </c>
      <c r="G509">
        <v>1</v>
      </c>
      <c r="H509">
        <v>2</v>
      </c>
      <c r="I509" t="s">
        <v>21</v>
      </c>
      <c r="J509">
        <v>1</v>
      </c>
      <c r="K509">
        <v>649</v>
      </c>
      <c r="L509">
        <v>2</v>
      </c>
      <c r="M509" t="s">
        <v>23</v>
      </c>
      <c r="N509">
        <v>83</v>
      </c>
      <c r="O509">
        <v>2</v>
      </c>
      <c r="P509">
        <v>1</v>
      </c>
      <c r="Q509" t="s">
        <v>32</v>
      </c>
      <c r="R509">
        <v>4</v>
      </c>
      <c r="S509" t="s">
        <v>28</v>
      </c>
      <c r="T509">
        <v>3622</v>
      </c>
      <c r="U509">
        <v>22794</v>
      </c>
      <c r="V509">
        <v>1</v>
      </c>
      <c r="W509" t="s">
        <v>29</v>
      </c>
      <c r="X509" t="s">
        <v>10</v>
      </c>
      <c r="Y509">
        <v>13</v>
      </c>
      <c r="Z509">
        <v>3</v>
      </c>
      <c r="AA509">
        <v>4</v>
      </c>
      <c r="AB509">
        <v>80</v>
      </c>
      <c r="AC509">
        <v>1</v>
      </c>
      <c r="AD509">
        <v>6</v>
      </c>
      <c r="AE509">
        <v>3</v>
      </c>
      <c r="AF509">
        <v>3</v>
      </c>
      <c r="AG509">
        <v>6</v>
      </c>
      <c r="AH509">
        <v>5</v>
      </c>
      <c r="AI509">
        <v>1</v>
      </c>
      <c r="AJ509">
        <v>3</v>
      </c>
    </row>
    <row r="510" spans="1:36" x14ac:dyDescent="0.25">
      <c r="A510">
        <v>809</v>
      </c>
      <c r="B510">
        <v>30</v>
      </c>
      <c r="C510" t="s">
        <v>9</v>
      </c>
      <c r="D510" t="s">
        <v>15</v>
      </c>
      <c r="E510">
        <v>793</v>
      </c>
      <c r="F510" t="s">
        <v>119</v>
      </c>
      <c r="G510">
        <v>16</v>
      </c>
      <c r="H510">
        <v>1</v>
      </c>
      <c r="I510" t="s">
        <v>21</v>
      </c>
      <c r="J510">
        <v>1</v>
      </c>
      <c r="K510">
        <v>1729</v>
      </c>
      <c r="L510">
        <v>2</v>
      </c>
      <c r="M510" t="s">
        <v>23</v>
      </c>
      <c r="N510">
        <v>33</v>
      </c>
      <c r="O510">
        <v>3</v>
      </c>
      <c r="P510">
        <v>1</v>
      </c>
      <c r="Q510" t="s">
        <v>32</v>
      </c>
      <c r="R510">
        <v>4</v>
      </c>
      <c r="S510" t="s">
        <v>28</v>
      </c>
      <c r="T510">
        <v>2862</v>
      </c>
      <c r="U510">
        <v>3811</v>
      </c>
      <c r="V510">
        <v>1</v>
      </c>
      <c r="W510" t="s">
        <v>29</v>
      </c>
      <c r="X510" t="s">
        <v>9</v>
      </c>
      <c r="Y510">
        <v>12</v>
      </c>
      <c r="Z510">
        <v>3</v>
      </c>
      <c r="AA510">
        <v>2</v>
      </c>
      <c r="AB510">
        <v>80</v>
      </c>
      <c r="AC510">
        <v>1</v>
      </c>
      <c r="AD510">
        <v>10</v>
      </c>
      <c r="AE510">
        <v>2</v>
      </c>
      <c r="AF510">
        <v>2</v>
      </c>
      <c r="AG510">
        <v>10</v>
      </c>
      <c r="AH510">
        <v>0</v>
      </c>
      <c r="AI510">
        <v>0</v>
      </c>
      <c r="AJ510">
        <v>8</v>
      </c>
    </row>
    <row r="511" spans="1:36" x14ac:dyDescent="0.25">
      <c r="A511">
        <v>7</v>
      </c>
      <c r="B511">
        <v>41</v>
      </c>
      <c r="C511" t="s">
        <v>9</v>
      </c>
      <c r="D511" t="s">
        <v>15</v>
      </c>
      <c r="E511">
        <v>1283</v>
      </c>
      <c r="F511" t="s">
        <v>119</v>
      </c>
      <c r="G511">
        <v>5</v>
      </c>
      <c r="H511">
        <v>5</v>
      </c>
      <c r="I511" t="s">
        <v>17</v>
      </c>
      <c r="J511">
        <v>1</v>
      </c>
      <c r="K511">
        <v>1448</v>
      </c>
      <c r="L511">
        <v>2</v>
      </c>
      <c r="M511" t="s">
        <v>23</v>
      </c>
      <c r="N511">
        <v>90</v>
      </c>
      <c r="O511">
        <v>4</v>
      </c>
      <c r="P511">
        <v>1</v>
      </c>
      <c r="Q511" t="s">
        <v>32</v>
      </c>
      <c r="R511">
        <v>3</v>
      </c>
      <c r="S511" t="s">
        <v>28</v>
      </c>
      <c r="T511">
        <v>2127</v>
      </c>
      <c r="U511">
        <v>5561</v>
      </c>
      <c r="V511">
        <v>2</v>
      </c>
      <c r="W511" t="s">
        <v>29</v>
      </c>
      <c r="X511" t="s">
        <v>10</v>
      </c>
      <c r="Y511">
        <v>12</v>
      </c>
      <c r="Z511">
        <v>3</v>
      </c>
      <c r="AA511">
        <v>1</v>
      </c>
      <c r="AB511">
        <v>80</v>
      </c>
      <c r="AC511">
        <v>0</v>
      </c>
      <c r="AD511">
        <v>7</v>
      </c>
      <c r="AE511">
        <v>5</v>
      </c>
      <c r="AF511">
        <v>2</v>
      </c>
      <c r="AG511">
        <v>4</v>
      </c>
      <c r="AH511">
        <v>2</v>
      </c>
      <c r="AI511">
        <v>0</v>
      </c>
      <c r="AJ511">
        <v>3</v>
      </c>
    </row>
    <row r="512" spans="1:36" x14ac:dyDescent="0.25">
      <c r="A512">
        <v>69</v>
      </c>
      <c r="B512">
        <v>35</v>
      </c>
      <c r="C512" t="s">
        <v>9</v>
      </c>
      <c r="D512" t="s">
        <v>11</v>
      </c>
      <c r="E512">
        <v>664</v>
      </c>
      <c r="F512" t="s">
        <v>119</v>
      </c>
      <c r="G512">
        <v>1</v>
      </c>
      <c r="H512">
        <v>3</v>
      </c>
      <c r="I512" t="s">
        <v>17</v>
      </c>
      <c r="J512">
        <v>1</v>
      </c>
      <c r="K512">
        <v>88</v>
      </c>
      <c r="L512">
        <v>2</v>
      </c>
      <c r="M512" t="s">
        <v>23</v>
      </c>
      <c r="N512">
        <v>79</v>
      </c>
      <c r="O512">
        <v>3</v>
      </c>
      <c r="P512">
        <v>1</v>
      </c>
      <c r="Q512" t="s">
        <v>32</v>
      </c>
      <c r="R512">
        <v>1</v>
      </c>
      <c r="S512" t="s">
        <v>28</v>
      </c>
      <c r="T512">
        <v>2194</v>
      </c>
      <c r="U512">
        <v>5868</v>
      </c>
      <c r="V512">
        <v>4</v>
      </c>
      <c r="W512" t="s">
        <v>29</v>
      </c>
      <c r="X512" t="s">
        <v>9</v>
      </c>
      <c r="Y512">
        <v>13</v>
      </c>
      <c r="Z512">
        <v>3</v>
      </c>
      <c r="AA512">
        <v>4</v>
      </c>
      <c r="AB512">
        <v>80</v>
      </c>
      <c r="AC512">
        <v>1</v>
      </c>
      <c r="AD512">
        <v>5</v>
      </c>
      <c r="AE512">
        <v>2</v>
      </c>
      <c r="AF512">
        <v>2</v>
      </c>
      <c r="AG512">
        <v>3</v>
      </c>
      <c r="AH512">
        <v>2</v>
      </c>
      <c r="AI512">
        <v>1</v>
      </c>
      <c r="AJ512">
        <v>2</v>
      </c>
    </row>
    <row r="513" spans="1:36" x14ac:dyDescent="0.25">
      <c r="A513">
        <v>498</v>
      </c>
      <c r="B513">
        <v>37</v>
      </c>
      <c r="C513" t="s">
        <v>9</v>
      </c>
      <c r="D513" t="s">
        <v>11</v>
      </c>
      <c r="E513">
        <v>889</v>
      </c>
      <c r="F513" t="s">
        <v>119</v>
      </c>
      <c r="G513">
        <v>9</v>
      </c>
      <c r="H513">
        <v>3</v>
      </c>
      <c r="I513" t="s">
        <v>17</v>
      </c>
      <c r="J513">
        <v>1</v>
      </c>
      <c r="K513">
        <v>403</v>
      </c>
      <c r="L513">
        <v>2</v>
      </c>
      <c r="M513" t="s">
        <v>23</v>
      </c>
      <c r="N513">
        <v>53</v>
      </c>
      <c r="O513">
        <v>3</v>
      </c>
      <c r="P513">
        <v>1</v>
      </c>
      <c r="Q513" t="s">
        <v>32</v>
      </c>
      <c r="R513">
        <v>4</v>
      </c>
      <c r="S513" t="s">
        <v>28</v>
      </c>
      <c r="T513">
        <v>2326</v>
      </c>
      <c r="U513">
        <v>11411</v>
      </c>
      <c r="V513">
        <v>1</v>
      </c>
      <c r="W513" t="s">
        <v>29</v>
      </c>
      <c r="X513" t="s">
        <v>10</v>
      </c>
      <c r="Y513">
        <v>12</v>
      </c>
      <c r="Z513">
        <v>3</v>
      </c>
      <c r="AA513">
        <v>3</v>
      </c>
      <c r="AB513">
        <v>80</v>
      </c>
      <c r="AC513">
        <v>3</v>
      </c>
      <c r="AD513">
        <v>4</v>
      </c>
      <c r="AE513">
        <v>3</v>
      </c>
      <c r="AF513">
        <v>2</v>
      </c>
      <c r="AG513">
        <v>4</v>
      </c>
      <c r="AH513">
        <v>2</v>
      </c>
      <c r="AI513">
        <v>1</v>
      </c>
      <c r="AJ513">
        <v>2</v>
      </c>
    </row>
    <row r="514" spans="1:36" x14ac:dyDescent="0.25">
      <c r="A514">
        <v>639</v>
      </c>
      <c r="B514">
        <v>24</v>
      </c>
      <c r="C514" t="s">
        <v>9</v>
      </c>
      <c r="D514" t="s">
        <v>15</v>
      </c>
      <c r="E514">
        <v>691</v>
      </c>
      <c r="F514" t="s">
        <v>119</v>
      </c>
      <c r="G514">
        <v>23</v>
      </c>
      <c r="H514">
        <v>3</v>
      </c>
      <c r="I514" t="s">
        <v>17</v>
      </c>
      <c r="J514">
        <v>1</v>
      </c>
      <c r="K514">
        <v>639</v>
      </c>
      <c r="L514">
        <v>2</v>
      </c>
      <c r="M514" t="s">
        <v>23</v>
      </c>
      <c r="N514">
        <v>89</v>
      </c>
      <c r="O514">
        <v>4</v>
      </c>
      <c r="P514">
        <v>1</v>
      </c>
      <c r="Q514" t="s">
        <v>32</v>
      </c>
      <c r="R514">
        <v>4</v>
      </c>
      <c r="S514" t="s">
        <v>28</v>
      </c>
      <c r="T514">
        <v>2725</v>
      </c>
      <c r="U514">
        <v>21630</v>
      </c>
      <c r="V514">
        <v>1</v>
      </c>
      <c r="W514" t="s">
        <v>29</v>
      </c>
      <c r="X514" t="s">
        <v>10</v>
      </c>
      <c r="Y514">
        <v>11</v>
      </c>
      <c r="Z514">
        <v>3</v>
      </c>
      <c r="AA514">
        <v>2</v>
      </c>
      <c r="AB514">
        <v>80</v>
      </c>
      <c r="AC514">
        <v>2</v>
      </c>
      <c r="AD514">
        <v>6</v>
      </c>
      <c r="AE514">
        <v>3</v>
      </c>
      <c r="AF514">
        <v>3</v>
      </c>
      <c r="AG514">
        <v>6</v>
      </c>
      <c r="AH514">
        <v>5</v>
      </c>
      <c r="AI514">
        <v>1</v>
      </c>
      <c r="AJ514">
        <v>4</v>
      </c>
    </row>
    <row r="515" spans="1:36" x14ac:dyDescent="0.25">
      <c r="A515" s="15">
        <v>73</v>
      </c>
      <c r="B515" s="15">
        <v>35</v>
      </c>
      <c r="C515" s="15" t="s">
        <v>10</v>
      </c>
      <c r="D515" s="15" t="s">
        <v>15</v>
      </c>
      <c r="E515" s="15">
        <v>556</v>
      </c>
      <c r="F515" s="15" t="s">
        <v>119</v>
      </c>
      <c r="G515" s="15">
        <v>23</v>
      </c>
      <c r="H515" s="15">
        <v>2</v>
      </c>
      <c r="I515" s="15" t="s">
        <v>21</v>
      </c>
      <c r="J515" s="15">
        <v>1</v>
      </c>
      <c r="K515" s="15">
        <v>261</v>
      </c>
      <c r="L515" s="15">
        <v>2</v>
      </c>
      <c r="M515" s="15" t="s">
        <v>23</v>
      </c>
      <c r="N515" s="15">
        <v>50</v>
      </c>
      <c r="O515" s="15">
        <v>2</v>
      </c>
      <c r="P515" s="15">
        <v>2</v>
      </c>
      <c r="Q515" s="15" t="s">
        <v>31</v>
      </c>
      <c r="R515" s="15">
        <v>3</v>
      </c>
      <c r="S515" s="15" t="s">
        <v>28</v>
      </c>
      <c r="T515" s="15">
        <v>5916</v>
      </c>
      <c r="U515" s="15">
        <v>15497</v>
      </c>
      <c r="V515" s="15">
        <v>3</v>
      </c>
      <c r="W515" s="15" t="s">
        <v>29</v>
      </c>
      <c r="X515" s="15" t="s">
        <v>10</v>
      </c>
      <c r="Y515" s="15">
        <v>13</v>
      </c>
      <c r="Z515" s="15">
        <v>3</v>
      </c>
      <c r="AA515" s="15">
        <v>1</v>
      </c>
      <c r="AB515" s="15">
        <v>80</v>
      </c>
      <c r="AC515" s="15">
        <v>0</v>
      </c>
      <c r="AD515" s="15">
        <v>8</v>
      </c>
      <c r="AE515" s="15">
        <v>1</v>
      </c>
      <c r="AF515" s="15">
        <v>3</v>
      </c>
      <c r="AG515" s="15">
        <v>1</v>
      </c>
      <c r="AH515" s="15">
        <v>0</v>
      </c>
      <c r="AI515" s="15">
        <v>0</v>
      </c>
      <c r="AJ515" s="15">
        <v>1</v>
      </c>
    </row>
    <row r="516" spans="1:36" x14ac:dyDescent="0.25">
      <c r="A516">
        <v>471</v>
      </c>
      <c r="B516">
        <v>27</v>
      </c>
      <c r="C516" t="s">
        <v>9</v>
      </c>
      <c r="D516" t="s">
        <v>15</v>
      </c>
      <c r="E516">
        <v>1354</v>
      </c>
      <c r="F516" t="s">
        <v>119</v>
      </c>
      <c r="G516">
        <v>2</v>
      </c>
      <c r="H516">
        <v>4</v>
      </c>
      <c r="I516" t="s">
        <v>22</v>
      </c>
      <c r="J516">
        <v>1</v>
      </c>
      <c r="K516">
        <v>1931</v>
      </c>
      <c r="L516">
        <v>2</v>
      </c>
      <c r="M516" t="s">
        <v>23</v>
      </c>
      <c r="N516">
        <v>41</v>
      </c>
      <c r="O516">
        <v>3</v>
      </c>
      <c r="P516">
        <v>1</v>
      </c>
      <c r="Q516" t="s">
        <v>32</v>
      </c>
      <c r="R516">
        <v>2</v>
      </c>
      <c r="S516" t="s">
        <v>28</v>
      </c>
      <c r="T516">
        <v>2226</v>
      </c>
      <c r="U516">
        <v>6073</v>
      </c>
      <c r="V516">
        <v>1</v>
      </c>
      <c r="W516" t="s">
        <v>29</v>
      </c>
      <c r="X516" t="s">
        <v>9</v>
      </c>
      <c r="Y516">
        <v>11</v>
      </c>
      <c r="Z516">
        <v>3</v>
      </c>
      <c r="AA516">
        <v>3</v>
      </c>
      <c r="AB516">
        <v>80</v>
      </c>
      <c r="AC516">
        <v>1</v>
      </c>
      <c r="AD516">
        <v>6</v>
      </c>
      <c r="AE516">
        <v>3</v>
      </c>
      <c r="AF516">
        <v>2</v>
      </c>
      <c r="AG516">
        <v>5</v>
      </c>
      <c r="AH516">
        <v>3</v>
      </c>
      <c r="AI516">
        <v>1</v>
      </c>
      <c r="AJ516">
        <v>2</v>
      </c>
    </row>
    <row r="517" spans="1:36" x14ac:dyDescent="0.25">
      <c r="A517">
        <v>631</v>
      </c>
      <c r="B517">
        <v>55</v>
      </c>
      <c r="C517" t="s">
        <v>9</v>
      </c>
      <c r="D517" t="s">
        <v>15</v>
      </c>
      <c r="E517">
        <v>836</v>
      </c>
      <c r="F517" t="s">
        <v>119</v>
      </c>
      <c r="G517">
        <v>2</v>
      </c>
      <c r="H517">
        <v>4</v>
      </c>
      <c r="I517" t="s">
        <v>22</v>
      </c>
      <c r="J517">
        <v>1</v>
      </c>
      <c r="K517">
        <v>1873</v>
      </c>
      <c r="L517">
        <v>2</v>
      </c>
      <c r="M517" t="s">
        <v>23</v>
      </c>
      <c r="N517">
        <v>98</v>
      </c>
      <c r="O517">
        <v>2</v>
      </c>
      <c r="P517">
        <v>1</v>
      </c>
      <c r="Q517" t="s">
        <v>32</v>
      </c>
      <c r="R517">
        <v>4</v>
      </c>
      <c r="S517" t="s">
        <v>28</v>
      </c>
      <c r="T517">
        <v>2662</v>
      </c>
      <c r="U517">
        <v>7975</v>
      </c>
      <c r="V517">
        <v>8</v>
      </c>
      <c r="W517" t="s">
        <v>29</v>
      </c>
      <c r="X517" t="s">
        <v>9</v>
      </c>
      <c r="Y517">
        <v>20</v>
      </c>
      <c r="Z517">
        <v>4</v>
      </c>
      <c r="AA517">
        <v>2</v>
      </c>
      <c r="AB517">
        <v>80</v>
      </c>
      <c r="AC517">
        <v>1</v>
      </c>
      <c r="AD517">
        <v>19</v>
      </c>
      <c r="AE517">
        <v>2</v>
      </c>
      <c r="AF517">
        <v>4</v>
      </c>
      <c r="AG517">
        <v>5</v>
      </c>
      <c r="AH517">
        <v>2</v>
      </c>
      <c r="AI517">
        <v>0</v>
      </c>
      <c r="AJ517">
        <v>4</v>
      </c>
    </row>
    <row r="518" spans="1:36" x14ac:dyDescent="0.25">
      <c r="A518">
        <v>96</v>
      </c>
      <c r="B518">
        <v>42</v>
      </c>
      <c r="C518" t="s">
        <v>9</v>
      </c>
      <c r="D518" t="s">
        <v>15</v>
      </c>
      <c r="E518">
        <v>635</v>
      </c>
      <c r="F518" t="s">
        <v>118</v>
      </c>
      <c r="G518">
        <v>1</v>
      </c>
      <c r="H518">
        <v>1</v>
      </c>
      <c r="I518" t="s">
        <v>21</v>
      </c>
      <c r="J518">
        <v>1</v>
      </c>
      <c r="K518">
        <v>387</v>
      </c>
      <c r="L518">
        <v>2</v>
      </c>
      <c r="M518" t="s">
        <v>23</v>
      </c>
      <c r="N518">
        <v>99</v>
      </c>
      <c r="O518">
        <v>3</v>
      </c>
      <c r="P518">
        <v>2</v>
      </c>
      <c r="Q518" t="s">
        <v>25</v>
      </c>
      <c r="R518">
        <v>3</v>
      </c>
      <c r="S518" t="s">
        <v>28</v>
      </c>
      <c r="T518">
        <v>4907</v>
      </c>
      <c r="U518">
        <v>24532</v>
      </c>
      <c r="V518">
        <v>1</v>
      </c>
      <c r="W518" t="s">
        <v>29</v>
      </c>
      <c r="X518" t="s">
        <v>9</v>
      </c>
      <c r="Y518">
        <v>25</v>
      </c>
      <c r="Z518">
        <v>4</v>
      </c>
      <c r="AA518">
        <v>3</v>
      </c>
      <c r="AB518">
        <v>80</v>
      </c>
      <c r="AC518">
        <v>0</v>
      </c>
      <c r="AD518">
        <v>20</v>
      </c>
      <c r="AE518">
        <v>3</v>
      </c>
      <c r="AF518">
        <v>3</v>
      </c>
      <c r="AG518">
        <v>20</v>
      </c>
      <c r="AH518">
        <v>16</v>
      </c>
      <c r="AI518">
        <v>11</v>
      </c>
      <c r="AJ518">
        <v>6</v>
      </c>
    </row>
    <row r="519" spans="1:36" x14ac:dyDescent="0.25">
      <c r="A519">
        <v>301</v>
      </c>
      <c r="B519">
        <v>32</v>
      </c>
      <c r="C519" t="s">
        <v>9</v>
      </c>
      <c r="D519" t="s">
        <v>11</v>
      </c>
      <c r="E519">
        <v>379</v>
      </c>
      <c r="F519" t="s">
        <v>118</v>
      </c>
      <c r="G519">
        <v>5</v>
      </c>
      <c r="H519">
        <v>2</v>
      </c>
      <c r="I519" t="s">
        <v>21</v>
      </c>
      <c r="J519">
        <v>1</v>
      </c>
      <c r="K519">
        <v>889</v>
      </c>
      <c r="L519">
        <v>2</v>
      </c>
      <c r="M519" t="s">
        <v>23</v>
      </c>
      <c r="N519">
        <v>48</v>
      </c>
      <c r="O519">
        <v>3</v>
      </c>
      <c r="P519">
        <v>2</v>
      </c>
      <c r="Q519" t="s">
        <v>25</v>
      </c>
      <c r="R519">
        <v>2</v>
      </c>
      <c r="S519" t="s">
        <v>28</v>
      </c>
      <c r="T519">
        <v>6524</v>
      </c>
      <c r="U519">
        <v>8891</v>
      </c>
      <c r="V519">
        <v>1</v>
      </c>
      <c r="W519" t="s">
        <v>29</v>
      </c>
      <c r="X519" t="s">
        <v>9</v>
      </c>
      <c r="Y519">
        <v>14</v>
      </c>
      <c r="Z519">
        <v>3</v>
      </c>
      <c r="AA519">
        <v>4</v>
      </c>
      <c r="AB519">
        <v>80</v>
      </c>
      <c r="AC519">
        <v>1</v>
      </c>
      <c r="AD519">
        <v>10</v>
      </c>
      <c r="AE519">
        <v>3</v>
      </c>
      <c r="AF519">
        <v>3</v>
      </c>
      <c r="AG519">
        <v>10</v>
      </c>
      <c r="AH519">
        <v>8</v>
      </c>
      <c r="AI519">
        <v>5</v>
      </c>
      <c r="AJ519">
        <v>3</v>
      </c>
    </row>
    <row r="520" spans="1:36" x14ac:dyDescent="0.25">
      <c r="A520">
        <v>302</v>
      </c>
      <c r="B520">
        <v>35</v>
      </c>
      <c r="C520" t="s">
        <v>9</v>
      </c>
      <c r="D520" t="s">
        <v>11</v>
      </c>
      <c r="E520">
        <v>853</v>
      </c>
      <c r="F520" t="s">
        <v>118</v>
      </c>
      <c r="G520">
        <v>18</v>
      </c>
      <c r="H520">
        <v>5</v>
      </c>
      <c r="I520" t="s">
        <v>21</v>
      </c>
      <c r="J520">
        <v>1</v>
      </c>
      <c r="K520">
        <v>74</v>
      </c>
      <c r="L520">
        <v>2</v>
      </c>
      <c r="M520" t="s">
        <v>23</v>
      </c>
      <c r="N520">
        <v>71</v>
      </c>
      <c r="O520">
        <v>3</v>
      </c>
      <c r="P520">
        <v>3</v>
      </c>
      <c r="Q520" t="s">
        <v>25</v>
      </c>
      <c r="R520">
        <v>1</v>
      </c>
      <c r="S520" t="s">
        <v>28</v>
      </c>
      <c r="T520">
        <v>9069</v>
      </c>
      <c r="U520">
        <v>11031</v>
      </c>
      <c r="V520">
        <v>1</v>
      </c>
      <c r="W520" t="s">
        <v>29</v>
      </c>
      <c r="X520" t="s">
        <v>9</v>
      </c>
      <c r="Y520">
        <v>22</v>
      </c>
      <c r="Z520">
        <v>4</v>
      </c>
      <c r="AA520">
        <v>4</v>
      </c>
      <c r="AB520">
        <v>80</v>
      </c>
      <c r="AC520">
        <v>1</v>
      </c>
      <c r="AD520">
        <v>9</v>
      </c>
      <c r="AE520">
        <v>3</v>
      </c>
      <c r="AF520">
        <v>2</v>
      </c>
      <c r="AG520">
        <v>9</v>
      </c>
      <c r="AH520">
        <v>8</v>
      </c>
      <c r="AI520">
        <v>1</v>
      </c>
      <c r="AJ520">
        <v>8</v>
      </c>
    </row>
    <row r="521" spans="1:36" x14ac:dyDescent="0.25">
      <c r="A521" s="15">
        <v>568</v>
      </c>
      <c r="B521" s="15">
        <v>30</v>
      </c>
      <c r="C521" s="15" t="s">
        <v>10</v>
      </c>
      <c r="D521" s="15" t="s">
        <v>15</v>
      </c>
      <c r="E521" s="15">
        <v>740</v>
      </c>
      <c r="F521" s="15" t="s">
        <v>118</v>
      </c>
      <c r="G521" s="15">
        <v>1</v>
      </c>
      <c r="H521" s="15">
        <v>3</v>
      </c>
      <c r="I521" s="15" t="s">
        <v>21</v>
      </c>
      <c r="J521" s="15">
        <v>1</v>
      </c>
      <c r="K521" s="15">
        <v>1562</v>
      </c>
      <c r="L521" s="15">
        <v>2</v>
      </c>
      <c r="M521" s="15" t="s">
        <v>23</v>
      </c>
      <c r="N521" s="15">
        <v>64</v>
      </c>
      <c r="O521" s="15">
        <v>2</v>
      </c>
      <c r="P521" s="15">
        <v>2</v>
      </c>
      <c r="Q521" s="15" t="s">
        <v>25</v>
      </c>
      <c r="R521" s="15">
        <v>1</v>
      </c>
      <c r="S521" s="15" t="s">
        <v>28</v>
      </c>
      <c r="T521" s="15">
        <v>9714</v>
      </c>
      <c r="U521" s="15">
        <v>5323</v>
      </c>
      <c r="V521" s="15">
        <v>1</v>
      </c>
      <c r="W521" s="15" t="s">
        <v>29</v>
      </c>
      <c r="X521" s="15" t="s">
        <v>9</v>
      </c>
      <c r="Y521" s="15">
        <v>11</v>
      </c>
      <c r="Z521" s="15">
        <v>3</v>
      </c>
      <c r="AA521" s="15">
        <v>4</v>
      </c>
      <c r="AB521" s="15">
        <v>80</v>
      </c>
      <c r="AC521" s="15">
        <v>1</v>
      </c>
      <c r="AD521" s="15">
        <v>10</v>
      </c>
      <c r="AE521" s="15">
        <v>4</v>
      </c>
      <c r="AF521" s="15">
        <v>3</v>
      </c>
      <c r="AG521" s="15">
        <v>10</v>
      </c>
      <c r="AH521" s="15">
        <v>8</v>
      </c>
      <c r="AI521" s="15">
        <v>6</v>
      </c>
      <c r="AJ521" s="15">
        <v>7</v>
      </c>
    </row>
    <row r="522" spans="1:36" x14ac:dyDescent="0.25">
      <c r="A522">
        <v>22</v>
      </c>
      <c r="B522">
        <v>48</v>
      </c>
      <c r="C522" t="s">
        <v>9</v>
      </c>
      <c r="D522" t="s">
        <v>15</v>
      </c>
      <c r="E522">
        <v>817</v>
      </c>
      <c r="F522" t="s">
        <v>118</v>
      </c>
      <c r="G522">
        <v>2</v>
      </c>
      <c r="H522">
        <v>1</v>
      </c>
      <c r="I522" t="s">
        <v>18</v>
      </c>
      <c r="J522">
        <v>1</v>
      </c>
      <c r="K522">
        <v>712</v>
      </c>
      <c r="L522">
        <v>2</v>
      </c>
      <c r="M522" t="s">
        <v>23</v>
      </c>
      <c r="N522">
        <v>56</v>
      </c>
      <c r="O522">
        <v>4</v>
      </c>
      <c r="P522">
        <v>2</v>
      </c>
      <c r="Q522" t="s">
        <v>25</v>
      </c>
      <c r="R522">
        <v>2</v>
      </c>
      <c r="S522" t="s">
        <v>28</v>
      </c>
      <c r="T522">
        <v>8120</v>
      </c>
      <c r="U522">
        <v>18597</v>
      </c>
      <c r="V522">
        <v>3</v>
      </c>
      <c r="W522" t="s">
        <v>29</v>
      </c>
      <c r="X522" t="s">
        <v>9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25">
      <c r="A523">
        <v>508</v>
      </c>
      <c r="B523">
        <v>51</v>
      </c>
      <c r="C523" t="s">
        <v>9</v>
      </c>
      <c r="D523" t="s">
        <v>11</v>
      </c>
      <c r="E523">
        <v>541</v>
      </c>
      <c r="F523" t="s">
        <v>118</v>
      </c>
      <c r="G523">
        <v>2</v>
      </c>
      <c r="H523">
        <v>3</v>
      </c>
      <c r="I523" t="s">
        <v>18</v>
      </c>
      <c r="J523">
        <v>1</v>
      </c>
      <c r="K523">
        <v>1391</v>
      </c>
      <c r="L523">
        <v>2</v>
      </c>
      <c r="M523" t="s">
        <v>23</v>
      </c>
      <c r="N523">
        <v>52</v>
      </c>
      <c r="O523">
        <v>3</v>
      </c>
      <c r="P523">
        <v>3</v>
      </c>
      <c r="Q523" t="s">
        <v>25</v>
      </c>
      <c r="R523">
        <v>2</v>
      </c>
      <c r="S523" t="s">
        <v>28</v>
      </c>
      <c r="T523">
        <v>10596</v>
      </c>
      <c r="U523">
        <v>15395</v>
      </c>
      <c r="V523">
        <v>2</v>
      </c>
      <c r="W523" t="s">
        <v>29</v>
      </c>
      <c r="X523" t="s">
        <v>9</v>
      </c>
      <c r="Y523">
        <v>11</v>
      </c>
      <c r="Z523">
        <v>3</v>
      </c>
      <c r="AA523">
        <v>2</v>
      </c>
      <c r="AB523">
        <v>80</v>
      </c>
      <c r="AC523">
        <v>0</v>
      </c>
      <c r="AD523">
        <v>14</v>
      </c>
      <c r="AE523">
        <v>5</v>
      </c>
      <c r="AF523">
        <v>3</v>
      </c>
      <c r="AG523">
        <v>4</v>
      </c>
      <c r="AH523">
        <v>2</v>
      </c>
      <c r="AI523">
        <v>3</v>
      </c>
      <c r="AJ523">
        <v>2</v>
      </c>
    </row>
    <row r="524" spans="1:36" x14ac:dyDescent="0.25">
      <c r="A524">
        <v>190</v>
      </c>
      <c r="B524">
        <v>28</v>
      </c>
      <c r="C524" t="s">
        <v>9</v>
      </c>
      <c r="D524" t="s">
        <v>16</v>
      </c>
      <c r="E524">
        <v>120</v>
      </c>
      <c r="F524" t="s">
        <v>118</v>
      </c>
      <c r="G524">
        <v>4</v>
      </c>
      <c r="H524">
        <v>3</v>
      </c>
      <c r="I524" t="s">
        <v>17</v>
      </c>
      <c r="J524">
        <v>1</v>
      </c>
      <c r="K524">
        <v>129</v>
      </c>
      <c r="L524">
        <v>2</v>
      </c>
      <c r="M524" t="s">
        <v>23</v>
      </c>
      <c r="N524">
        <v>43</v>
      </c>
      <c r="O524">
        <v>3</v>
      </c>
      <c r="P524">
        <v>2</v>
      </c>
      <c r="Q524" t="s">
        <v>25</v>
      </c>
      <c r="R524">
        <v>3</v>
      </c>
      <c r="S524" t="s">
        <v>28</v>
      </c>
      <c r="T524">
        <v>4221</v>
      </c>
      <c r="U524">
        <v>8863</v>
      </c>
      <c r="V524">
        <v>1</v>
      </c>
      <c r="W524" t="s">
        <v>29</v>
      </c>
      <c r="X524" t="s">
        <v>9</v>
      </c>
      <c r="Y524">
        <v>15</v>
      </c>
      <c r="Z524">
        <v>3</v>
      </c>
      <c r="AA524">
        <v>2</v>
      </c>
      <c r="AB524">
        <v>80</v>
      </c>
      <c r="AC524">
        <v>0</v>
      </c>
      <c r="AD524">
        <v>5</v>
      </c>
      <c r="AE524">
        <v>3</v>
      </c>
      <c r="AF524">
        <v>4</v>
      </c>
      <c r="AG524">
        <v>5</v>
      </c>
      <c r="AH524">
        <v>4</v>
      </c>
      <c r="AI524">
        <v>0</v>
      </c>
      <c r="AJ524">
        <v>4</v>
      </c>
    </row>
    <row r="525" spans="1:36" x14ac:dyDescent="0.25">
      <c r="A525">
        <v>352</v>
      </c>
      <c r="B525">
        <v>31</v>
      </c>
      <c r="C525" t="s">
        <v>9</v>
      </c>
      <c r="D525" t="s">
        <v>15</v>
      </c>
      <c r="E525">
        <v>218</v>
      </c>
      <c r="F525" t="s">
        <v>118</v>
      </c>
      <c r="G525">
        <v>7</v>
      </c>
      <c r="H525">
        <v>3</v>
      </c>
      <c r="I525" t="s">
        <v>22</v>
      </c>
      <c r="J525">
        <v>1</v>
      </c>
      <c r="K525">
        <v>416</v>
      </c>
      <c r="L525">
        <v>2</v>
      </c>
      <c r="M525" t="s">
        <v>23</v>
      </c>
      <c r="N525">
        <v>100</v>
      </c>
      <c r="O525">
        <v>4</v>
      </c>
      <c r="P525">
        <v>2</v>
      </c>
      <c r="Q525" t="s">
        <v>25</v>
      </c>
      <c r="R525">
        <v>4</v>
      </c>
      <c r="S525" t="s">
        <v>28</v>
      </c>
      <c r="T525">
        <v>6929</v>
      </c>
      <c r="U525">
        <v>12241</v>
      </c>
      <c r="V525">
        <v>4</v>
      </c>
      <c r="W525" t="s">
        <v>29</v>
      </c>
      <c r="X525" t="s">
        <v>9</v>
      </c>
      <c r="Y525">
        <v>11</v>
      </c>
      <c r="Z525">
        <v>3</v>
      </c>
      <c r="AA525">
        <v>2</v>
      </c>
      <c r="AB525">
        <v>80</v>
      </c>
      <c r="AC525">
        <v>1</v>
      </c>
      <c r="AD525">
        <v>10</v>
      </c>
      <c r="AE525">
        <v>3</v>
      </c>
      <c r="AF525">
        <v>2</v>
      </c>
      <c r="AG525">
        <v>8</v>
      </c>
      <c r="AH525">
        <v>7</v>
      </c>
      <c r="AI525">
        <v>7</v>
      </c>
      <c r="AJ525">
        <v>7</v>
      </c>
    </row>
    <row r="526" spans="1:36" x14ac:dyDescent="0.25">
      <c r="A526">
        <v>574</v>
      </c>
      <c r="B526">
        <v>34</v>
      </c>
      <c r="C526" t="s">
        <v>9</v>
      </c>
      <c r="D526" t="s">
        <v>15</v>
      </c>
      <c r="E526">
        <v>810</v>
      </c>
      <c r="F526" t="s">
        <v>118</v>
      </c>
      <c r="G526">
        <v>8</v>
      </c>
      <c r="H526">
        <v>2</v>
      </c>
      <c r="I526" t="s">
        <v>22</v>
      </c>
      <c r="J526">
        <v>1</v>
      </c>
      <c r="K526">
        <v>1823</v>
      </c>
      <c r="L526">
        <v>2</v>
      </c>
      <c r="M526" t="s">
        <v>23</v>
      </c>
      <c r="N526">
        <v>92</v>
      </c>
      <c r="O526">
        <v>4</v>
      </c>
      <c r="P526">
        <v>2</v>
      </c>
      <c r="Q526" t="s">
        <v>25</v>
      </c>
      <c r="R526">
        <v>3</v>
      </c>
      <c r="S526" t="s">
        <v>28</v>
      </c>
      <c r="T526">
        <v>6799</v>
      </c>
      <c r="U526">
        <v>22128</v>
      </c>
      <c r="V526">
        <v>1</v>
      </c>
      <c r="W526" t="s">
        <v>29</v>
      </c>
      <c r="X526" t="s">
        <v>9</v>
      </c>
      <c r="Y526">
        <v>21</v>
      </c>
      <c r="Z526">
        <v>4</v>
      </c>
      <c r="AA526">
        <v>3</v>
      </c>
      <c r="AB526">
        <v>80</v>
      </c>
      <c r="AC526">
        <v>2</v>
      </c>
      <c r="AD526">
        <v>10</v>
      </c>
      <c r="AE526">
        <v>5</v>
      </c>
      <c r="AF526">
        <v>3</v>
      </c>
      <c r="AG526">
        <v>10</v>
      </c>
      <c r="AH526">
        <v>8</v>
      </c>
      <c r="AI526">
        <v>4</v>
      </c>
      <c r="AJ526">
        <v>8</v>
      </c>
    </row>
    <row r="527" spans="1:36" x14ac:dyDescent="0.25">
      <c r="A527">
        <v>680</v>
      </c>
      <c r="B527">
        <v>31</v>
      </c>
      <c r="C527" t="s">
        <v>9</v>
      </c>
      <c r="D527" t="s">
        <v>15</v>
      </c>
      <c r="E527">
        <v>154</v>
      </c>
      <c r="F527" t="s">
        <v>118</v>
      </c>
      <c r="G527">
        <v>7</v>
      </c>
      <c r="H527">
        <v>4</v>
      </c>
      <c r="I527" t="s">
        <v>21</v>
      </c>
      <c r="J527">
        <v>1</v>
      </c>
      <c r="K527">
        <v>941</v>
      </c>
      <c r="L527">
        <v>2</v>
      </c>
      <c r="M527" t="s">
        <v>23</v>
      </c>
      <c r="N527">
        <v>41</v>
      </c>
      <c r="O527">
        <v>2</v>
      </c>
      <c r="P527">
        <v>1</v>
      </c>
      <c r="Q527" t="s">
        <v>33</v>
      </c>
      <c r="R527">
        <v>3</v>
      </c>
      <c r="S527" t="s">
        <v>28</v>
      </c>
      <c r="T527">
        <v>2329</v>
      </c>
      <c r="U527">
        <v>11737</v>
      </c>
      <c r="V527">
        <v>3</v>
      </c>
      <c r="W527" t="s">
        <v>29</v>
      </c>
      <c r="X527" t="s">
        <v>9</v>
      </c>
      <c r="Y527">
        <v>15</v>
      </c>
      <c r="Z527">
        <v>3</v>
      </c>
      <c r="AA527">
        <v>2</v>
      </c>
      <c r="AB527">
        <v>80</v>
      </c>
      <c r="AC527">
        <v>0</v>
      </c>
      <c r="AD527">
        <v>13</v>
      </c>
      <c r="AE527">
        <v>2</v>
      </c>
      <c r="AF527">
        <v>4</v>
      </c>
      <c r="AG527">
        <v>7</v>
      </c>
      <c r="AH527">
        <v>7</v>
      </c>
      <c r="AI527">
        <v>5</v>
      </c>
      <c r="AJ527">
        <v>2</v>
      </c>
    </row>
    <row r="528" spans="1:36" x14ac:dyDescent="0.25">
      <c r="A528">
        <v>815</v>
      </c>
      <c r="B528">
        <v>38</v>
      </c>
      <c r="C528" t="s">
        <v>9</v>
      </c>
      <c r="D528" t="s">
        <v>15</v>
      </c>
      <c r="E528">
        <v>395</v>
      </c>
      <c r="F528" t="s">
        <v>118</v>
      </c>
      <c r="G528">
        <v>9</v>
      </c>
      <c r="H528">
        <v>3</v>
      </c>
      <c r="I528" t="s">
        <v>18</v>
      </c>
      <c r="J528">
        <v>1</v>
      </c>
      <c r="K528">
        <v>893</v>
      </c>
      <c r="L528">
        <v>2</v>
      </c>
      <c r="M528" t="s">
        <v>23</v>
      </c>
      <c r="N528">
        <v>98</v>
      </c>
      <c r="O528">
        <v>2</v>
      </c>
      <c r="P528">
        <v>1</v>
      </c>
      <c r="Q528" t="s">
        <v>33</v>
      </c>
      <c r="R528">
        <v>2</v>
      </c>
      <c r="S528" t="s">
        <v>28</v>
      </c>
      <c r="T528">
        <v>2899</v>
      </c>
      <c r="U528">
        <v>12102</v>
      </c>
      <c r="V528">
        <v>0</v>
      </c>
      <c r="W528" t="s">
        <v>29</v>
      </c>
      <c r="X528" t="s">
        <v>9</v>
      </c>
      <c r="Y528">
        <v>19</v>
      </c>
      <c r="Z528">
        <v>3</v>
      </c>
      <c r="AA528">
        <v>4</v>
      </c>
      <c r="AB528">
        <v>80</v>
      </c>
      <c r="AC528">
        <v>1</v>
      </c>
      <c r="AD528">
        <v>3</v>
      </c>
      <c r="AE528">
        <v>3</v>
      </c>
      <c r="AF528">
        <v>3</v>
      </c>
      <c r="AG528">
        <v>2</v>
      </c>
      <c r="AH528">
        <v>2</v>
      </c>
      <c r="AI528">
        <v>1</v>
      </c>
      <c r="AJ528">
        <v>2</v>
      </c>
    </row>
    <row r="529" spans="1:36" x14ac:dyDescent="0.25">
      <c r="A529">
        <v>248</v>
      </c>
      <c r="B529">
        <v>32</v>
      </c>
      <c r="C529" t="s">
        <v>9</v>
      </c>
      <c r="D529" t="s">
        <v>15</v>
      </c>
      <c r="E529">
        <v>234</v>
      </c>
      <c r="F529" t="s">
        <v>118</v>
      </c>
      <c r="G529">
        <v>1</v>
      </c>
      <c r="H529">
        <v>4</v>
      </c>
      <c r="I529" t="s">
        <v>17</v>
      </c>
      <c r="J529">
        <v>1</v>
      </c>
      <c r="K529">
        <v>2013</v>
      </c>
      <c r="L529">
        <v>2</v>
      </c>
      <c r="M529" t="s">
        <v>23</v>
      </c>
      <c r="N529">
        <v>68</v>
      </c>
      <c r="O529">
        <v>2</v>
      </c>
      <c r="P529">
        <v>1</v>
      </c>
      <c r="Q529" t="s">
        <v>33</v>
      </c>
      <c r="R529">
        <v>2</v>
      </c>
      <c r="S529" t="s">
        <v>28</v>
      </c>
      <c r="T529">
        <v>2269</v>
      </c>
      <c r="U529">
        <v>18024</v>
      </c>
      <c r="V529">
        <v>0</v>
      </c>
      <c r="W529" t="s">
        <v>29</v>
      </c>
      <c r="X529" t="s">
        <v>9</v>
      </c>
      <c r="Y529">
        <v>14</v>
      </c>
      <c r="Z529">
        <v>3</v>
      </c>
      <c r="AA529">
        <v>2</v>
      </c>
      <c r="AB529">
        <v>80</v>
      </c>
      <c r="AC529">
        <v>1</v>
      </c>
      <c r="AD529">
        <v>3</v>
      </c>
      <c r="AE529">
        <v>2</v>
      </c>
      <c r="AF529">
        <v>3</v>
      </c>
      <c r="AG529">
        <v>2</v>
      </c>
      <c r="AH529">
        <v>2</v>
      </c>
      <c r="AI529">
        <v>2</v>
      </c>
      <c r="AJ529">
        <v>2</v>
      </c>
    </row>
    <row r="530" spans="1:36" x14ac:dyDescent="0.25">
      <c r="A530">
        <v>113</v>
      </c>
      <c r="B530">
        <v>52</v>
      </c>
      <c r="C530" t="s">
        <v>9</v>
      </c>
      <c r="D530" t="s">
        <v>15</v>
      </c>
      <c r="E530">
        <v>994</v>
      </c>
      <c r="F530" t="s">
        <v>119</v>
      </c>
      <c r="G530">
        <v>7</v>
      </c>
      <c r="H530">
        <v>4</v>
      </c>
      <c r="I530" t="s">
        <v>21</v>
      </c>
      <c r="J530">
        <v>1</v>
      </c>
      <c r="K530">
        <v>1118</v>
      </c>
      <c r="L530">
        <v>2</v>
      </c>
      <c r="M530" t="s">
        <v>23</v>
      </c>
      <c r="N530">
        <v>87</v>
      </c>
      <c r="O530">
        <v>3</v>
      </c>
      <c r="P530">
        <v>3</v>
      </c>
      <c r="Q530" t="s">
        <v>34</v>
      </c>
      <c r="R530">
        <v>2</v>
      </c>
      <c r="S530" t="s">
        <v>27</v>
      </c>
      <c r="T530">
        <v>10445</v>
      </c>
      <c r="U530">
        <v>15322</v>
      </c>
      <c r="V530">
        <v>7</v>
      </c>
      <c r="W530" t="s">
        <v>29</v>
      </c>
      <c r="X530" t="s">
        <v>9</v>
      </c>
      <c r="Y530">
        <v>19</v>
      </c>
      <c r="Z530">
        <v>3</v>
      </c>
      <c r="AA530">
        <v>4</v>
      </c>
      <c r="AB530">
        <v>80</v>
      </c>
      <c r="AC530">
        <v>0</v>
      </c>
      <c r="AD530">
        <v>18</v>
      </c>
      <c r="AE530">
        <v>4</v>
      </c>
      <c r="AF530">
        <v>3</v>
      </c>
      <c r="AG530">
        <v>8</v>
      </c>
      <c r="AH530">
        <v>6</v>
      </c>
      <c r="AI530">
        <v>4</v>
      </c>
      <c r="AJ530">
        <v>0</v>
      </c>
    </row>
    <row r="531" spans="1:36" x14ac:dyDescent="0.25">
      <c r="A531">
        <v>154</v>
      </c>
      <c r="B531">
        <v>41</v>
      </c>
      <c r="C531" t="s">
        <v>9</v>
      </c>
      <c r="D531" t="s">
        <v>15</v>
      </c>
      <c r="E531">
        <v>447</v>
      </c>
      <c r="F531" t="s">
        <v>119</v>
      </c>
      <c r="G531">
        <v>5</v>
      </c>
      <c r="H531">
        <v>3</v>
      </c>
      <c r="I531" t="s">
        <v>21</v>
      </c>
      <c r="J531">
        <v>1</v>
      </c>
      <c r="K531">
        <v>1814</v>
      </c>
      <c r="L531">
        <v>2</v>
      </c>
      <c r="M531" t="s">
        <v>23</v>
      </c>
      <c r="N531">
        <v>85</v>
      </c>
      <c r="O531">
        <v>4</v>
      </c>
      <c r="P531">
        <v>2</v>
      </c>
      <c r="Q531" t="s">
        <v>34</v>
      </c>
      <c r="R531">
        <v>2</v>
      </c>
      <c r="S531" t="s">
        <v>27</v>
      </c>
      <c r="T531">
        <v>6870</v>
      </c>
      <c r="U531">
        <v>15530</v>
      </c>
      <c r="V531">
        <v>3</v>
      </c>
      <c r="W531" t="s">
        <v>29</v>
      </c>
      <c r="X531" t="s">
        <v>9</v>
      </c>
      <c r="Y531">
        <v>12</v>
      </c>
      <c r="Z531">
        <v>3</v>
      </c>
      <c r="AA531">
        <v>1</v>
      </c>
      <c r="AB531">
        <v>80</v>
      </c>
      <c r="AC531">
        <v>0</v>
      </c>
      <c r="AD531">
        <v>11</v>
      </c>
      <c r="AE531">
        <v>3</v>
      </c>
      <c r="AF531">
        <v>1</v>
      </c>
      <c r="AG531">
        <v>3</v>
      </c>
      <c r="AH531">
        <v>2</v>
      </c>
      <c r="AI531">
        <v>1</v>
      </c>
      <c r="AJ531">
        <v>2</v>
      </c>
    </row>
    <row r="532" spans="1:36" x14ac:dyDescent="0.25">
      <c r="A532">
        <v>318</v>
      </c>
      <c r="B532">
        <v>24</v>
      </c>
      <c r="C532" t="s">
        <v>9</v>
      </c>
      <c r="D532" t="s">
        <v>15</v>
      </c>
      <c r="E532">
        <v>771</v>
      </c>
      <c r="F532" t="s">
        <v>119</v>
      </c>
      <c r="G532">
        <v>1</v>
      </c>
      <c r="H532">
        <v>2</v>
      </c>
      <c r="I532" t="s">
        <v>21</v>
      </c>
      <c r="J532">
        <v>1</v>
      </c>
      <c r="K532">
        <v>1981</v>
      </c>
      <c r="L532">
        <v>2</v>
      </c>
      <c r="M532" t="s">
        <v>23</v>
      </c>
      <c r="N532">
        <v>45</v>
      </c>
      <c r="O532">
        <v>2</v>
      </c>
      <c r="P532">
        <v>2</v>
      </c>
      <c r="Q532" t="s">
        <v>34</v>
      </c>
      <c r="R532">
        <v>3</v>
      </c>
      <c r="S532" t="s">
        <v>27</v>
      </c>
      <c r="T532">
        <v>4617</v>
      </c>
      <c r="U532">
        <v>14120</v>
      </c>
      <c r="V532">
        <v>1</v>
      </c>
      <c r="W532" t="s">
        <v>29</v>
      </c>
      <c r="X532" t="s">
        <v>9</v>
      </c>
      <c r="Y532">
        <v>12</v>
      </c>
      <c r="Z532">
        <v>3</v>
      </c>
      <c r="AA532">
        <v>2</v>
      </c>
      <c r="AB532">
        <v>80</v>
      </c>
      <c r="AC532">
        <v>0</v>
      </c>
      <c r="AD532">
        <v>4</v>
      </c>
      <c r="AE532">
        <v>2</v>
      </c>
      <c r="AF532">
        <v>2</v>
      </c>
      <c r="AG532">
        <v>4</v>
      </c>
      <c r="AH532">
        <v>3</v>
      </c>
      <c r="AI532">
        <v>1</v>
      </c>
      <c r="AJ532">
        <v>2</v>
      </c>
    </row>
    <row r="533" spans="1:36" x14ac:dyDescent="0.25">
      <c r="A533">
        <v>854</v>
      </c>
      <c r="B533">
        <v>28</v>
      </c>
      <c r="C533" t="s">
        <v>9</v>
      </c>
      <c r="D533" t="s">
        <v>15</v>
      </c>
      <c r="E533">
        <v>1476</v>
      </c>
      <c r="F533" t="s">
        <v>119</v>
      </c>
      <c r="G533">
        <v>16</v>
      </c>
      <c r="H533">
        <v>2</v>
      </c>
      <c r="I533" t="s">
        <v>17</v>
      </c>
      <c r="J533">
        <v>1</v>
      </c>
      <c r="K533">
        <v>412</v>
      </c>
      <c r="L533">
        <v>2</v>
      </c>
      <c r="M533" t="s">
        <v>23</v>
      </c>
      <c r="N533">
        <v>68</v>
      </c>
      <c r="O533">
        <v>4</v>
      </c>
      <c r="P533">
        <v>2</v>
      </c>
      <c r="Q533" t="s">
        <v>34</v>
      </c>
      <c r="R533">
        <v>1</v>
      </c>
      <c r="S533" t="s">
        <v>27</v>
      </c>
      <c r="T533">
        <v>5661</v>
      </c>
      <c r="U533">
        <v>4824</v>
      </c>
      <c r="V533">
        <v>0</v>
      </c>
      <c r="W533" t="s">
        <v>29</v>
      </c>
      <c r="X533" t="s">
        <v>9</v>
      </c>
      <c r="Y533">
        <v>19</v>
      </c>
      <c r="Z533">
        <v>3</v>
      </c>
      <c r="AA533">
        <v>3</v>
      </c>
      <c r="AB533">
        <v>80</v>
      </c>
      <c r="AC533">
        <v>0</v>
      </c>
      <c r="AD533">
        <v>9</v>
      </c>
      <c r="AE533">
        <v>2</v>
      </c>
      <c r="AF533">
        <v>3</v>
      </c>
      <c r="AG533">
        <v>8</v>
      </c>
      <c r="AH533">
        <v>3</v>
      </c>
      <c r="AI533">
        <v>0</v>
      </c>
      <c r="AJ533">
        <v>7</v>
      </c>
    </row>
    <row r="534" spans="1:36" x14ac:dyDescent="0.25">
      <c r="A534">
        <v>553</v>
      </c>
      <c r="B534">
        <v>36</v>
      </c>
      <c r="C534" t="s">
        <v>9</v>
      </c>
      <c r="D534" t="s">
        <v>11</v>
      </c>
      <c r="E534">
        <v>1213</v>
      </c>
      <c r="F534" t="s">
        <v>20</v>
      </c>
      <c r="G534">
        <v>2</v>
      </c>
      <c r="H534">
        <v>1</v>
      </c>
      <c r="I534" t="s">
        <v>20</v>
      </c>
      <c r="J534">
        <v>1</v>
      </c>
      <c r="K534">
        <v>1890</v>
      </c>
      <c r="L534">
        <v>2</v>
      </c>
      <c r="M534" t="s">
        <v>23</v>
      </c>
      <c r="N534">
        <v>94</v>
      </c>
      <c r="O534">
        <v>2</v>
      </c>
      <c r="P534">
        <v>2</v>
      </c>
      <c r="Q534" t="s">
        <v>20</v>
      </c>
      <c r="R534">
        <v>4</v>
      </c>
      <c r="S534" t="s">
        <v>27</v>
      </c>
      <c r="T534">
        <v>3886</v>
      </c>
      <c r="U534">
        <v>4223</v>
      </c>
      <c r="V534">
        <v>1</v>
      </c>
      <c r="W534" t="s">
        <v>29</v>
      </c>
      <c r="X534" t="s">
        <v>9</v>
      </c>
      <c r="Y534">
        <v>21</v>
      </c>
      <c r="Z534">
        <v>4</v>
      </c>
      <c r="AA534">
        <v>4</v>
      </c>
      <c r="AB534">
        <v>80</v>
      </c>
      <c r="AC534">
        <v>0</v>
      </c>
      <c r="AD534">
        <v>10</v>
      </c>
      <c r="AE534">
        <v>2</v>
      </c>
      <c r="AF534">
        <v>2</v>
      </c>
      <c r="AG534">
        <v>10</v>
      </c>
      <c r="AH534">
        <v>1</v>
      </c>
      <c r="AI534">
        <v>0</v>
      </c>
      <c r="AJ534">
        <v>8</v>
      </c>
    </row>
    <row r="535" spans="1:36" x14ac:dyDescent="0.25">
      <c r="A535">
        <v>550</v>
      </c>
      <c r="B535">
        <v>45</v>
      </c>
      <c r="C535" t="s">
        <v>9</v>
      </c>
      <c r="D535" t="s">
        <v>15</v>
      </c>
      <c r="E535">
        <v>788</v>
      </c>
      <c r="F535" t="s">
        <v>20</v>
      </c>
      <c r="G535">
        <v>24</v>
      </c>
      <c r="H535">
        <v>4</v>
      </c>
      <c r="I535" t="s">
        <v>17</v>
      </c>
      <c r="J535">
        <v>1</v>
      </c>
      <c r="K535">
        <v>1049</v>
      </c>
      <c r="L535">
        <v>2</v>
      </c>
      <c r="M535" t="s">
        <v>23</v>
      </c>
      <c r="N535">
        <v>36</v>
      </c>
      <c r="O535">
        <v>3</v>
      </c>
      <c r="P535">
        <v>1</v>
      </c>
      <c r="Q535" t="s">
        <v>20</v>
      </c>
      <c r="R535">
        <v>2</v>
      </c>
      <c r="S535" t="s">
        <v>27</v>
      </c>
      <c r="T535">
        <v>2177</v>
      </c>
      <c r="U535">
        <v>8318</v>
      </c>
      <c r="V535">
        <v>1</v>
      </c>
      <c r="W535" t="s">
        <v>29</v>
      </c>
      <c r="X535" t="s">
        <v>9</v>
      </c>
      <c r="Y535">
        <v>16</v>
      </c>
      <c r="Z535">
        <v>3</v>
      </c>
      <c r="AA535">
        <v>1</v>
      </c>
      <c r="AB535">
        <v>80</v>
      </c>
      <c r="AC535">
        <v>0</v>
      </c>
      <c r="AD535">
        <v>6</v>
      </c>
      <c r="AE535">
        <v>3</v>
      </c>
      <c r="AF535">
        <v>3</v>
      </c>
      <c r="AG535">
        <v>6</v>
      </c>
      <c r="AH535">
        <v>3</v>
      </c>
      <c r="AI535">
        <v>0</v>
      </c>
      <c r="AJ535">
        <v>4</v>
      </c>
    </row>
    <row r="536" spans="1:36" x14ac:dyDescent="0.25">
      <c r="A536">
        <v>842</v>
      </c>
      <c r="B536">
        <v>29</v>
      </c>
      <c r="C536" t="s">
        <v>9</v>
      </c>
      <c r="D536" t="s">
        <v>15</v>
      </c>
      <c r="E536">
        <v>332</v>
      </c>
      <c r="F536" t="s">
        <v>20</v>
      </c>
      <c r="G536">
        <v>17</v>
      </c>
      <c r="H536">
        <v>3</v>
      </c>
      <c r="I536" t="s">
        <v>19</v>
      </c>
      <c r="J536">
        <v>1</v>
      </c>
      <c r="K536">
        <v>1419</v>
      </c>
      <c r="L536">
        <v>2</v>
      </c>
      <c r="M536" t="s">
        <v>23</v>
      </c>
      <c r="N536">
        <v>51</v>
      </c>
      <c r="O536">
        <v>2</v>
      </c>
      <c r="P536">
        <v>3</v>
      </c>
      <c r="Q536" t="s">
        <v>20</v>
      </c>
      <c r="R536">
        <v>1</v>
      </c>
      <c r="S536" t="s">
        <v>27</v>
      </c>
      <c r="T536">
        <v>7988</v>
      </c>
      <c r="U536">
        <v>9769</v>
      </c>
      <c r="V536">
        <v>1</v>
      </c>
      <c r="W536" t="s">
        <v>29</v>
      </c>
      <c r="X536" t="s">
        <v>9</v>
      </c>
      <c r="Y536">
        <v>13</v>
      </c>
      <c r="Z536">
        <v>3</v>
      </c>
      <c r="AA536">
        <v>1</v>
      </c>
      <c r="AB536">
        <v>80</v>
      </c>
      <c r="AC536">
        <v>0</v>
      </c>
      <c r="AD536">
        <v>10</v>
      </c>
      <c r="AE536">
        <v>3</v>
      </c>
      <c r="AF536">
        <v>2</v>
      </c>
      <c r="AG536">
        <v>10</v>
      </c>
      <c r="AH536">
        <v>9</v>
      </c>
      <c r="AI536">
        <v>0</v>
      </c>
      <c r="AJ536">
        <v>9</v>
      </c>
    </row>
    <row r="537" spans="1:36" x14ac:dyDescent="0.25">
      <c r="A537" s="15">
        <v>162</v>
      </c>
      <c r="B537" s="15">
        <v>28</v>
      </c>
      <c r="C537" s="15" t="s">
        <v>10</v>
      </c>
      <c r="D537" s="15" t="s">
        <v>16</v>
      </c>
      <c r="E537" s="15">
        <v>1366</v>
      </c>
      <c r="F537" s="15" t="s">
        <v>119</v>
      </c>
      <c r="G537" s="15">
        <v>24</v>
      </c>
      <c r="H537" s="15">
        <v>2</v>
      </c>
      <c r="I537" s="15" t="s">
        <v>22</v>
      </c>
      <c r="J537" s="15">
        <v>1</v>
      </c>
      <c r="K537" s="15">
        <v>1082</v>
      </c>
      <c r="L537" s="15">
        <v>2</v>
      </c>
      <c r="M537" s="15" t="s">
        <v>23</v>
      </c>
      <c r="N537" s="15">
        <v>72</v>
      </c>
      <c r="O537" s="15">
        <v>2</v>
      </c>
      <c r="P537" s="15">
        <v>3</v>
      </c>
      <c r="Q537" s="15" t="s">
        <v>34</v>
      </c>
      <c r="R537" s="15">
        <v>1</v>
      </c>
      <c r="S537" s="15" t="s">
        <v>27</v>
      </c>
      <c r="T537" s="15">
        <v>8722</v>
      </c>
      <c r="U537" s="15">
        <v>12355</v>
      </c>
      <c r="V537" s="15">
        <v>1</v>
      </c>
      <c r="W537" s="15" t="s">
        <v>29</v>
      </c>
      <c r="X537" s="15" t="s">
        <v>9</v>
      </c>
      <c r="Y537" s="15">
        <v>12</v>
      </c>
      <c r="Z537" s="15">
        <v>3</v>
      </c>
      <c r="AA537" s="15">
        <v>1</v>
      </c>
      <c r="AB537" s="15">
        <v>80</v>
      </c>
      <c r="AC537" s="15">
        <v>0</v>
      </c>
      <c r="AD537" s="15">
        <v>10</v>
      </c>
      <c r="AE537" s="15">
        <v>2</v>
      </c>
      <c r="AF537" s="15">
        <v>2</v>
      </c>
      <c r="AG537" s="15">
        <v>10</v>
      </c>
      <c r="AH537" s="15">
        <v>7</v>
      </c>
      <c r="AI537" s="15">
        <v>1</v>
      </c>
      <c r="AJ537" s="15">
        <v>9</v>
      </c>
    </row>
    <row r="538" spans="1:36" x14ac:dyDescent="0.25">
      <c r="A538" s="15">
        <v>689</v>
      </c>
      <c r="B538" s="15">
        <v>19</v>
      </c>
      <c r="C538" s="15" t="s">
        <v>10</v>
      </c>
      <c r="D538" s="15" t="s">
        <v>15</v>
      </c>
      <c r="E538" s="15">
        <v>303</v>
      </c>
      <c r="F538" s="15" t="s">
        <v>119</v>
      </c>
      <c r="G538" s="15">
        <v>2</v>
      </c>
      <c r="H538" s="15">
        <v>3</v>
      </c>
      <c r="I538" s="15" t="s">
        <v>21</v>
      </c>
      <c r="J538" s="15">
        <v>1</v>
      </c>
      <c r="K538" s="15">
        <v>243</v>
      </c>
      <c r="L538" s="15">
        <v>2</v>
      </c>
      <c r="M538" s="15" t="s">
        <v>23</v>
      </c>
      <c r="N538" s="15">
        <v>47</v>
      </c>
      <c r="O538" s="15">
        <v>2</v>
      </c>
      <c r="P538" s="15">
        <v>1</v>
      </c>
      <c r="Q538" s="15" t="s">
        <v>36</v>
      </c>
      <c r="R538" s="15">
        <v>4</v>
      </c>
      <c r="S538" s="15" t="s">
        <v>27</v>
      </c>
      <c r="T538" s="15">
        <v>1102</v>
      </c>
      <c r="U538" s="15">
        <v>9241</v>
      </c>
      <c r="V538" s="15">
        <v>1</v>
      </c>
      <c r="W538" s="15" t="s">
        <v>29</v>
      </c>
      <c r="X538" s="15" t="s">
        <v>9</v>
      </c>
      <c r="Y538" s="15">
        <v>22</v>
      </c>
      <c r="Z538" s="15">
        <v>4</v>
      </c>
      <c r="AA538" s="15">
        <v>3</v>
      </c>
      <c r="AB538" s="15">
        <v>80</v>
      </c>
      <c r="AC538" s="15">
        <v>0</v>
      </c>
      <c r="AD538" s="15">
        <v>1</v>
      </c>
      <c r="AE538" s="15">
        <v>3</v>
      </c>
      <c r="AF538" s="15">
        <v>2</v>
      </c>
      <c r="AG538" s="15">
        <v>1</v>
      </c>
      <c r="AH538" s="15">
        <v>0</v>
      </c>
      <c r="AI538" s="15">
        <v>1</v>
      </c>
      <c r="AJ538" s="15">
        <v>0</v>
      </c>
    </row>
    <row r="539" spans="1:36" x14ac:dyDescent="0.25">
      <c r="A539" s="15">
        <v>75</v>
      </c>
      <c r="B539" s="15">
        <v>52</v>
      </c>
      <c r="C539" s="15" t="s">
        <v>10</v>
      </c>
      <c r="D539" s="15" t="s">
        <v>15</v>
      </c>
      <c r="E539" s="15">
        <v>1030</v>
      </c>
      <c r="F539" s="15" t="s">
        <v>118</v>
      </c>
      <c r="G539" s="15">
        <v>5</v>
      </c>
      <c r="H539" s="15">
        <v>3</v>
      </c>
      <c r="I539" s="15" t="s">
        <v>21</v>
      </c>
      <c r="J539" s="15">
        <v>1</v>
      </c>
      <c r="K539" s="15">
        <v>1319</v>
      </c>
      <c r="L539" s="15">
        <v>2</v>
      </c>
      <c r="M539" s="15" t="s">
        <v>23</v>
      </c>
      <c r="N539" s="15">
        <v>64</v>
      </c>
      <c r="O539" s="15">
        <v>3</v>
      </c>
      <c r="P539" s="15">
        <v>3</v>
      </c>
      <c r="Q539" s="15" t="s">
        <v>25</v>
      </c>
      <c r="R539" s="15">
        <v>2</v>
      </c>
      <c r="S539" s="15" t="s">
        <v>27</v>
      </c>
      <c r="T539" s="15">
        <v>8446</v>
      </c>
      <c r="U539" s="15">
        <v>21534</v>
      </c>
      <c r="V539" s="15">
        <v>9</v>
      </c>
      <c r="W539" s="15" t="s">
        <v>29</v>
      </c>
      <c r="X539" s="15" t="s">
        <v>10</v>
      </c>
      <c r="Y539" s="15">
        <v>19</v>
      </c>
      <c r="Z539" s="15">
        <v>3</v>
      </c>
      <c r="AA539" s="15">
        <v>3</v>
      </c>
      <c r="AB539" s="15">
        <v>80</v>
      </c>
      <c r="AC539" s="15">
        <v>0</v>
      </c>
      <c r="AD539" s="15">
        <v>10</v>
      </c>
      <c r="AE539" s="15">
        <v>2</v>
      </c>
      <c r="AF539" s="15">
        <v>2</v>
      </c>
      <c r="AG539" s="15">
        <v>8</v>
      </c>
      <c r="AH539" s="15">
        <v>7</v>
      </c>
      <c r="AI539" s="15">
        <v>7</v>
      </c>
      <c r="AJ539" s="15">
        <v>7</v>
      </c>
    </row>
    <row r="540" spans="1:36" x14ac:dyDescent="0.25">
      <c r="A540">
        <v>58</v>
      </c>
      <c r="B540">
        <v>29</v>
      </c>
      <c r="C540" t="s">
        <v>9</v>
      </c>
      <c r="D540" t="s">
        <v>15</v>
      </c>
      <c r="E540">
        <v>1370</v>
      </c>
      <c r="F540" t="s">
        <v>119</v>
      </c>
      <c r="G540">
        <v>3</v>
      </c>
      <c r="H540">
        <v>1</v>
      </c>
      <c r="I540" t="s">
        <v>17</v>
      </c>
      <c r="J540">
        <v>1</v>
      </c>
      <c r="K540">
        <v>1586</v>
      </c>
      <c r="L540">
        <v>2</v>
      </c>
      <c r="M540" t="s">
        <v>23</v>
      </c>
      <c r="N540">
        <v>87</v>
      </c>
      <c r="O540">
        <v>3</v>
      </c>
      <c r="P540">
        <v>1</v>
      </c>
      <c r="Q540" t="s">
        <v>36</v>
      </c>
      <c r="R540">
        <v>1</v>
      </c>
      <c r="S540" t="s">
        <v>27</v>
      </c>
      <c r="T540">
        <v>4723</v>
      </c>
      <c r="U540">
        <v>16213</v>
      </c>
      <c r="V540">
        <v>1</v>
      </c>
      <c r="W540" t="s">
        <v>29</v>
      </c>
      <c r="X540" t="s">
        <v>10</v>
      </c>
      <c r="Y540">
        <v>18</v>
      </c>
      <c r="Z540">
        <v>3</v>
      </c>
      <c r="AA540">
        <v>4</v>
      </c>
      <c r="AB540">
        <v>80</v>
      </c>
      <c r="AC540">
        <v>0</v>
      </c>
      <c r="AD540">
        <v>10</v>
      </c>
      <c r="AE540">
        <v>3</v>
      </c>
      <c r="AF540">
        <v>3</v>
      </c>
      <c r="AG540">
        <v>10</v>
      </c>
      <c r="AH540">
        <v>9</v>
      </c>
      <c r="AI540">
        <v>1</v>
      </c>
      <c r="AJ540">
        <v>5</v>
      </c>
    </row>
    <row r="541" spans="1:36" x14ac:dyDescent="0.25">
      <c r="A541">
        <v>819</v>
      </c>
      <c r="B541">
        <v>30</v>
      </c>
      <c r="C541" t="s">
        <v>9</v>
      </c>
      <c r="D541" t="s">
        <v>15</v>
      </c>
      <c r="E541">
        <v>1427</v>
      </c>
      <c r="F541" t="s">
        <v>119</v>
      </c>
      <c r="G541">
        <v>2</v>
      </c>
      <c r="H541">
        <v>1</v>
      </c>
      <c r="I541" t="s">
        <v>17</v>
      </c>
      <c r="J541">
        <v>1</v>
      </c>
      <c r="K541">
        <v>198</v>
      </c>
      <c r="L541">
        <v>2</v>
      </c>
      <c r="M541" t="s">
        <v>23</v>
      </c>
      <c r="N541">
        <v>35</v>
      </c>
      <c r="O541">
        <v>2</v>
      </c>
      <c r="P541">
        <v>1</v>
      </c>
      <c r="Q541" t="s">
        <v>36</v>
      </c>
      <c r="R541">
        <v>4</v>
      </c>
      <c r="S541" t="s">
        <v>27</v>
      </c>
      <c r="T541">
        <v>2720</v>
      </c>
      <c r="U541">
        <v>11162</v>
      </c>
      <c r="V541">
        <v>0</v>
      </c>
      <c r="W541" t="s">
        <v>29</v>
      </c>
      <c r="X541" t="s">
        <v>9</v>
      </c>
      <c r="Y541">
        <v>13</v>
      </c>
      <c r="Z541">
        <v>3</v>
      </c>
      <c r="AA541">
        <v>4</v>
      </c>
      <c r="AB541">
        <v>80</v>
      </c>
      <c r="AC541">
        <v>0</v>
      </c>
      <c r="AD541">
        <v>6</v>
      </c>
      <c r="AE541">
        <v>3</v>
      </c>
      <c r="AF541">
        <v>3</v>
      </c>
      <c r="AG541">
        <v>5</v>
      </c>
      <c r="AH541">
        <v>3</v>
      </c>
      <c r="AI541">
        <v>1</v>
      </c>
      <c r="AJ541">
        <v>2</v>
      </c>
    </row>
    <row r="542" spans="1:36" x14ac:dyDescent="0.25">
      <c r="A542" s="15">
        <v>487</v>
      </c>
      <c r="B542" s="15">
        <v>30</v>
      </c>
      <c r="C542" s="15" t="s">
        <v>10</v>
      </c>
      <c r="D542" s="15" t="s">
        <v>15</v>
      </c>
      <c r="E542" s="15">
        <v>945</v>
      </c>
      <c r="F542" s="15" t="s">
        <v>118</v>
      </c>
      <c r="G542" s="15">
        <v>9</v>
      </c>
      <c r="H542" s="15">
        <v>3</v>
      </c>
      <c r="I542" s="15" t="s">
        <v>17</v>
      </c>
      <c r="J542" s="15">
        <v>1</v>
      </c>
      <c r="K542" s="15">
        <v>1876</v>
      </c>
      <c r="L542" s="15">
        <v>2</v>
      </c>
      <c r="M542" s="15" t="s">
        <v>23</v>
      </c>
      <c r="N542" s="15">
        <v>89</v>
      </c>
      <c r="O542" s="15">
        <v>3</v>
      </c>
      <c r="P542" s="15">
        <v>1</v>
      </c>
      <c r="Q542" s="15" t="s">
        <v>33</v>
      </c>
      <c r="R542" s="15">
        <v>4</v>
      </c>
      <c r="S542" s="15" t="s">
        <v>27</v>
      </c>
      <c r="T542" s="15">
        <v>1081</v>
      </c>
      <c r="U542" s="15">
        <v>16019</v>
      </c>
      <c r="V542" s="15">
        <v>1</v>
      </c>
      <c r="W542" s="15" t="s">
        <v>29</v>
      </c>
      <c r="X542" s="15" t="s">
        <v>9</v>
      </c>
      <c r="Y542" s="15">
        <v>13</v>
      </c>
      <c r="Z542" s="15">
        <v>3</v>
      </c>
      <c r="AA542" s="15">
        <v>3</v>
      </c>
      <c r="AB542" s="15">
        <v>80</v>
      </c>
      <c r="AC542" s="15">
        <v>0</v>
      </c>
      <c r="AD542" s="15">
        <v>1</v>
      </c>
      <c r="AE542" s="15">
        <v>3</v>
      </c>
      <c r="AF542" s="15">
        <v>2</v>
      </c>
      <c r="AG542" s="15">
        <v>1</v>
      </c>
      <c r="AH542" s="15">
        <v>0</v>
      </c>
      <c r="AI542" s="15">
        <v>0</v>
      </c>
      <c r="AJ542" s="15">
        <v>0</v>
      </c>
    </row>
    <row r="543" spans="1:36" x14ac:dyDescent="0.25">
      <c r="A543">
        <v>456</v>
      </c>
      <c r="B543">
        <v>40</v>
      </c>
      <c r="C543" t="s">
        <v>9</v>
      </c>
      <c r="D543" t="s">
        <v>15</v>
      </c>
      <c r="E543">
        <v>611</v>
      </c>
      <c r="F543" t="s">
        <v>118</v>
      </c>
      <c r="G543">
        <v>7</v>
      </c>
      <c r="H543">
        <v>4</v>
      </c>
      <c r="I543" t="s">
        <v>17</v>
      </c>
      <c r="J543">
        <v>1</v>
      </c>
      <c r="K543">
        <v>1740</v>
      </c>
      <c r="L543">
        <v>2</v>
      </c>
      <c r="M543" t="s">
        <v>23</v>
      </c>
      <c r="N543">
        <v>88</v>
      </c>
      <c r="O543">
        <v>3</v>
      </c>
      <c r="P543">
        <v>5</v>
      </c>
      <c r="Q543" t="s">
        <v>35</v>
      </c>
      <c r="R543">
        <v>2</v>
      </c>
      <c r="S543" t="s">
        <v>27</v>
      </c>
      <c r="T543">
        <v>19833</v>
      </c>
      <c r="U543">
        <v>4349</v>
      </c>
      <c r="V543">
        <v>1</v>
      </c>
      <c r="W543" t="s">
        <v>29</v>
      </c>
      <c r="X543" t="s">
        <v>9</v>
      </c>
      <c r="Y543">
        <v>14</v>
      </c>
      <c r="Z543">
        <v>3</v>
      </c>
      <c r="AA543">
        <v>2</v>
      </c>
      <c r="AB543">
        <v>80</v>
      </c>
      <c r="AC543">
        <v>0</v>
      </c>
      <c r="AD543">
        <v>21</v>
      </c>
      <c r="AE543">
        <v>3</v>
      </c>
      <c r="AF543">
        <v>2</v>
      </c>
      <c r="AG543">
        <v>21</v>
      </c>
      <c r="AH543">
        <v>8</v>
      </c>
      <c r="AI543">
        <v>12</v>
      </c>
      <c r="AJ543">
        <v>8</v>
      </c>
    </row>
    <row r="544" spans="1:36" x14ac:dyDescent="0.25">
      <c r="A544">
        <v>660</v>
      </c>
      <c r="B544">
        <v>36</v>
      </c>
      <c r="C544" t="s">
        <v>9</v>
      </c>
      <c r="D544" t="s">
        <v>11</v>
      </c>
      <c r="E544">
        <v>1195</v>
      </c>
      <c r="F544" t="s">
        <v>119</v>
      </c>
      <c r="G544">
        <v>11</v>
      </c>
      <c r="H544">
        <v>3</v>
      </c>
      <c r="I544" t="s">
        <v>21</v>
      </c>
      <c r="J544">
        <v>1</v>
      </c>
      <c r="K544">
        <v>85</v>
      </c>
      <c r="L544">
        <v>2</v>
      </c>
      <c r="M544" t="s">
        <v>23</v>
      </c>
      <c r="N544">
        <v>95</v>
      </c>
      <c r="O544">
        <v>2</v>
      </c>
      <c r="P544">
        <v>2</v>
      </c>
      <c r="Q544" t="s">
        <v>31</v>
      </c>
      <c r="R544">
        <v>2</v>
      </c>
      <c r="S544" t="s">
        <v>27</v>
      </c>
      <c r="T544">
        <v>6499</v>
      </c>
      <c r="U544">
        <v>22656</v>
      </c>
      <c r="V544">
        <v>1</v>
      </c>
      <c r="W544" t="s">
        <v>29</v>
      </c>
      <c r="X544" t="s">
        <v>9</v>
      </c>
      <c r="Y544">
        <v>13</v>
      </c>
      <c r="Z544">
        <v>3</v>
      </c>
      <c r="AA544">
        <v>3</v>
      </c>
      <c r="AB544">
        <v>80</v>
      </c>
      <c r="AC544">
        <v>0</v>
      </c>
      <c r="AD544">
        <v>6</v>
      </c>
      <c r="AE544">
        <v>3</v>
      </c>
      <c r="AF544">
        <v>3</v>
      </c>
      <c r="AG544">
        <v>6</v>
      </c>
      <c r="AH544">
        <v>5</v>
      </c>
      <c r="AI544">
        <v>0</v>
      </c>
      <c r="AJ544">
        <v>3</v>
      </c>
    </row>
    <row r="545" spans="1:36" x14ac:dyDescent="0.25">
      <c r="A545">
        <v>400</v>
      </c>
      <c r="B545">
        <v>44</v>
      </c>
      <c r="C545" t="s">
        <v>9</v>
      </c>
      <c r="D545" t="s">
        <v>11</v>
      </c>
      <c r="E545">
        <v>1193</v>
      </c>
      <c r="F545" t="s">
        <v>119</v>
      </c>
      <c r="G545">
        <v>2</v>
      </c>
      <c r="H545">
        <v>1</v>
      </c>
      <c r="I545" t="s">
        <v>17</v>
      </c>
      <c r="J545">
        <v>1</v>
      </c>
      <c r="K545">
        <v>1496</v>
      </c>
      <c r="L545">
        <v>2</v>
      </c>
      <c r="M545" t="s">
        <v>23</v>
      </c>
      <c r="N545">
        <v>86</v>
      </c>
      <c r="O545">
        <v>3</v>
      </c>
      <c r="P545">
        <v>3</v>
      </c>
      <c r="Q545" t="s">
        <v>31</v>
      </c>
      <c r="R545">
        <v>3</v>
      </c>
      <c r="S545" t="s">
        <v>27</v>
      </c>
      <c r="T545">
        <v>10209</v>
      </c>
      <c r="U545">
        <v>19719</v>
      </c>
      <c r="V545">
        <v>5</v>
      </c>
      <c r="W545" t="s">
        <v>29</v>
      </c>
      <c r="X545" t="s">
        <v>10</v>
      </c>
      <c r="Y545">
        <v>18</v>
      </c>
      <c r="Z545">
        <v>3</v>
      </c>
      <c r="AA545">
        <v>2</v>
      </c>
      <c r="AB545">
        <v>80</v>
      </c>
      <c r="AC545">
        <v>0</v>
      </c>
      <c r="AD545">
        <v>16</v>
      </c>
      <c r="AE545">
        <v>2</v>
      </c>
      <c r="AF545">
        <v>2</v>
      </c>
      <c r="AG545">
        <v>2</v>
      </c>
      <c r="AH545">
        <v>2</v>
      </c>
      <c r="AI545">
        <v>2</v>
      </c>
      <c r="AJ545">
        <v>2</v>
      </c>
    </row>
    <row r="546" spans="1:36" x14ac:dyDescent="0.25">
      <c r="A546">
        <v>67</v>
      </c>
      <c r="B546">
        <v>35</v>
      </c>
      <c r="C546" t="s">
        <v>9</v>
      </c>
      <c r="D546" t="s">
        <v>15</v>
      </c>
      <c r="E546">
        <v>1017</v>
      </c>
      <c r="F546" t="s">
        <v>119</v>
      </c>
      <c r="G546">
        <v>6</v>
      </c>
      <c r="H546">
        <v>4</v>
      </c>
      <c r="I546" t="s">
        <v>21</v>
      </c>
      <c r="J546">
        <v>1</v>
      </c>
      <c r="K546">
        <v>691</v>
      </c>
      <c r="L546">
        <v>2</v>
      </c>
      <c r="M546" t="s">
        <v>23</v>
      </c>
      <c r="N546">
        <v>82</v>
      </c>
      <c r="O546">
        <v>1</v>
      </c>
      <c r="P546">
        <v>2</v>
      </c>
      <c r="Q546" t="s">
        <v>32</v>
      </c>
      <c r="R546">
        <v>4</v>
      </c>
      <c r="S546" t="s">
        <v>27</v>
      </c>
      <c r="T546">
        <v>6646</v>
      </c>
      <c r="U546">
        <v>19368</v>
      </c>
      <c r="V546">
        <v>1</v>
      </c>
      <c r="W546" t="s">
        <v>29</v>
      </c>
      <c r="X546" t="s">
        <v>9</v>
      </c>
      <c r="Y546">
        <v>13</v>
      </c>
      <c r="Z546">
        <v>3</v>
      </c>
      <c r="AA546">
        <v>2</v>
      </c>
      <c r="AB546">
        <v>80</v>
      </c>
      <c r="AC546">
        <v>0</v>
      </c>
      <c r="AD546">
        <v>17</v>
      </c>
      <c r="AE546">
        <v>3</v>
      </c>
      <c r="AF546">
        <v>3</v>
      </c>
      <c r="AG546">
        <v>17</v>
      </c>
      <c r="AH546">
        <v>11</v>
      </c>
      <c r="AI546">
        <v>11</v>
      </c>
      <c r="AJ546">
        <v>8</v>
      </c>
    </row>
    <row r="547" spans="1:36" x14ac:dyDescent="0.25">
      <c r="A547">
        <v>304</v>
      </c>
      <c r="B547">
        <v>35</v>
      </c>
      <c r="C547" t="s">
        <v>9</v>
      </c>
      <c r="D547" t="s">
        <v>15</v>
      </c>
      <c r="E547">
        <v>1395</v>
      </c>
      <c r="F547" t="s">
        <v>119</v>
      </c>
      <c r="G547">
        <v>9</v>
      </c>
      <c r="H547">
        <v>4</v>
      </c>
      <c r="I547" t="s">
        <v>17</v>
      </c>
      <c r="J547">
        <v>1</v>
      </c>
      <c r="K547">
        <v>2008</v>
      </c>
      <c r="L547">
        <v>2</v>
      </c>
      <c r="M547" t="s">
        <v>23</v>
      </c>
      <c r="N547">
        <v>48</v>
      </c>
      <c r="O547">
        <v>3</v>
      </c>
      <c r="P547">
        <v>2</v>
      </c>
      <c r="Q547" t="s">
        <v>32</v>
      </c>
      <c r="R547">
        <v>3</v>
      </c>
      <c r="S547" t="s">
        <v>27</v>
      </c>
      <c r="T547">
        <v>5098</v>
      </c>
      <c r="U547">
        <v>18698</v>
      </c>
      <c r="V547">
        <v>1</v>
      </c>
      <c r="W547" t="s">
        <v>29</v>
      </c>
      <c r="X547" t="s">
        <v>9</v>
      </c>
      <c r="Y547">
        <v>19</v>
      </c>
      <c r="Z547">
        <v>3</v>
      </c>
      <c r="AA547">
        <v>2</v>
      </c>
      <c r="AB547">
        <v>80</v>
      </c>
      <c r="AC547">
        <v>0</v>
      </c>
      <c r="AD547">
        <v>10</v>
      </c>
      <c r="AE547">
        <v>5</v>
      </c>
      <c r="AF547">
        <v>3</v>
      </c>
      <c r="AG547">
        <v>10</v>
      </c>
      <c r="AH547">
        <v>7</v>
      </c>
      <c r="AI547">
        <v>0</v>
      </c>
      <c r="AJ547">
        <v>8</v>
      </c>
    </row>
    <row r="548" spans="1:36" x14ac:dyDescent="0.25">
      <c r="A548">
        <v>395</v>
      </c>
      <c r="B548">
        <v>42</v>
      </c>
      <c r="C548" t="s">
        <v>9</v>
      </c>
      <c r="D548" t="s">
        <v>11</v>
      </c>
      <c r="E548">
        <v>1271</v>
      </c>
      <c r="F548" t="s">
        <v>119</v>
      </c>
      <c r="G548">
        <v>2</v>
      </c>
      <c r="H548">
        <v>1</v>
      </c>
      <c r="I548" t="s">
        <v>17</v>
      </c>
      <c r="J548">
        <v>1</v>
      </c>
      <c r="K548">
        <v>875</v>
      </c>
      <c r="L548">
        <v>2</v>
      </c>
      <c r="M548" t="s">
        <v>23</v>
      </c>
      <c r="N548">
        <v>35</v>
      </c>
      <c r="O548">
        <v>3</v>
      </c>
      <c r="P548">
        <v>1</v>
      </c>
      <c r="Q548" t="s">
        <v>32</v>
      </c>
      <c r="R548">
        <v>4</v>
      </c>
      <c r="S548" t="s">
        <v>27</v>
      </c>
      <c r="T548">
        <v>2515</v>
      </c>
      <c r="U548">
        <v>9068</v>
      </c>
      <c r="V548">
        <v>5</v>
      </c>
      <c r="W548" t="s">
        <v>29</v>
      </c>
      <c r="X548" t="s">
        <v>10</v>
      </c>
      <c r="Y548">
        <v>14</v>
      </c>
      <c r="Z548">
        <v>3</v>
      </c>
      <c r="AA548">
        <v>4</v>
      </c>
      <c r="AB548">
        <v>80</v>
      </c>
      <c r="AC548">
        <v>0</v>
      </c>
      <c r="AD548">
        <v>8</v>
      </c>
      <c r="AE548">
        <v>2</v>
      </c>
      <c r="AF548">
        <v>3</v>
      </c>
      <c r="AG548">
        <v>2</v>
      </c>
      <c r="AH548">
        <v>1</v>
      </c>
      <c r="AI548">
        <v>2</v>
      </c>
      <c r="AJ548">
        <v>2</v>
      </c>
    </row>
    <row r="549" spans="1:36" x14ac:dyDescent="0.25">
      <c r="A549">
        <v>529</v>
      </c>
      <c r="B549">
        <v>35</v>
      </c>
      <c r="C549" t="s">
        <v>9</v>
      </c>
      <c r="D549" t="s">
        <v>15</v>
      </c>
      <c r="E549">
        <v>1214</v>
      </c>
      <c r="F549" t="s">
        <v>119</v>
      </c>
      <c r="G549">
        <v>1</v>
      </c>
      <c r="H549">
        <v>3</v>
      </c>
      <c r="I549" t="s">
        <v>17</v>
      </c>
      <c r="J549">
        <v>1</v>
      </c>
      <c r="K549">
        <v>105</v>
      </c>
      <c r="L549">
        <v>2</v>
      </c>
      <c r="M549" t="s">
        <v>23</v>
      </c>
      <c r="N549">
        <v>30</v>
      </c>
      <c r="O549">
        <v>2</v>
      </c>
      <c r="P549">
        <v>1</v>
      </c>
      <c r="Q549" t="s">
        <v>32</v>
      </c>
      <c r="R549">
        <v>3</v>
      </c>
      <c r="S549" t="s">
        <v>27</v>
      </c>
      <c r="T549">
        <v>2859</v>
      </c>
      <c r="U549">
        <v>26278</v>
      </c>
      <c r="V549">
        <v>1</v>
      </c>
      <c r="W549" t="s">
        <v>29</v>
      </c>
      <c r="X549" t="s">
        <v>9</v>
      </c>
      <c r="Y549">
        <v>18</v>
      </c>
      <c r="Z549">
        <v>3</v>
      </c>
      <c r="AA549">
        <v>1</v>
      </c>
      <c r="AB549">
        <v>80</v>
      </c>
      <c r="AC549">
        <v>0</v>
      </c>
      <c r="AD549">
        <v>6</v>
      </c>
      <c r="AE549">
        <v>3</v>
      </c>
      <c r="AF549">
        <v>3</v>
      </c>
      <c r="AG549">
        <v>6</v>
      </c>
      <c r="AH549">
        <v>4</v>
      </c>
      <c r="AI549">
        <v>0</v>
      </c>
      <c r="AJ549">
        <v>4</v>
      </c>
    </row>
    <row r="550" spans="1:36" x14ac:dyDescent="0.25">
      <c r="A550">
        <v>566</v>
      </c>
      <c r="B550">
        <v>44</v>
      </c>
      <c r="C550" t="s">
        <v>9</v>
      </c>
      <c r="D550" t="s">
        <v>15</v>
      </c>
      <c r="E550">
        <v>1037</v>
      </c>
      <c r="F550" t="s">
        <v>119</v>
      </c>
      <c r="G550">
        <v>1</v>
      </c>
      <c r="H550">
        <v>3</v>
      </c>
      <c r="I550" t="s">
        <v>17</v>
      </c>
      <c r="J550">
        <v>1</v>
      </c>
      <c r="K550">
        <v>2020</v>
      </c>
      <c r="L550">
        <v>2</v>
      </c>
      <c r="M550" t="s">
        <v>23</v>
      </c>
      <c r="N550">
        <v>42</v>
      </c>
      <c r="O550">
        <v>3</v>
      </c>
      <c r="P550">
        <v>1</v>
      </c>
      <c r="Q550" t="s">
        <v>32</v>
      </c>
      <c r="R550">
        <v>4</v>
      </c>
      <c r="S550" t="s">
        <v>27</v>
      </c>
      <c r="T550">
        <v>2436</v>
      </c>
      <c r="U550">
        <v>13422</v>
      </c>
      <c r="V550">
        <v>6</v>
      </c>
      <c r="W550" t="s">
        <v>29</v>
      </c>
      <c r="X550" t="s">
        <v>10</v>
      </c>
      <c r="Y550">
        <v>12</v>
      </c>
      <c r="Z550">
        <v>3</v>
      </c>
      <c r="AA550">
        <v>3</v>
      </c>
      <c r="AB550">
        <v>80</v>
      </c>
      <c r="AC550">
        <v>0</v>
      </c>
      <c r="AD550">
        <v>6</v>
      </c>
      <c r="AE550">
        <v>2</v>
      </c>
      <c r="AF550">
        <v>3</v>
      </c>
      <c r="AG550">
        <v>4</v>
      </c>
      <c r="AH550">
        <v>3</v>
      </c>
      <c r="AI550">
        <v>1</v>
      </c>
      <c r="AJ550">
        <v>2</v>
      </c>
    </row>
    <row r="551" spans="1:36" x14ac:dyDescent="0.25">
      <c r="A551">
        <v>125</v>
      </c>
      <c r="B551">
        <v>29</v>
      </c>
      <c r="C551" t="s">
        <v>9</v>
      </c>
      <c r="D551" t="s">
        <v>11</v>
      </c>
      <c r="E551">
        <v>442</v>
      </c>
      <c r="F551" t="s">
        <v>118</v>
      </c>
      <c r="G551">
        <v>2</v>
      </c>
      <c r="H551">
        <v>2</v>
      </c>
      <c r="I551" t="s">
        <v>21</v>
      </c>
      <c r="J551">
        <v>1</v>
      </c>
      <c r="K551">
        <v>388</v>
      </c>
      <c r="L551">
        <v>2</v>
      </c>
      <c r="M551" t="s">
        <v>23</v>
      </c>
      <c r="N551">
        <v>44</v>
      </c>
      <c r="O551">
        <v>3</v>
      </c>
      <c r="P551">
        <v>2</v>
      </c>
      <c r="Q551" t="s">
        <v>25</v>
      </c>
      <c r="R551">
        <v>4</v>
      </c>
      <c r="S551" t="s">
        <v>27</v>
      </c>
      <c r="T551">
        <v>4554</v>
      </c>
      <c r="U551">
        <v>20260</v>
      </c>
      <c r="V551">
        <v>1</v>
      </c>
      <c r="W551" t="s">
        <v>29</v>
      </c>
      <c r="X551" t="s">
        <v>9</v>
      </c>
      <c r="Y551">
        <v>18</v>
      </c>
      <c r="Z551">
        <v>3</v>
      </c>
      <c r="AA551">
        <v>1</v>
      </c>
      <c r="AB551">
        <v>80</v>
      </c>
      <c r="AC551">
        <v>0</v>
      </c>
      <c r="AD551">
        <v>10</v>
      </c>
      <c r="AE551">
        <v>3</v>
      </c>
      <c r="AF551">
        <v>2</v>
      </c>
      <c r="AG551">
        <v>10</v>
      </c>
      <c r="AH551">
        <v>7</v>
      </c>
      <c r="AI551">
        <v>0</v>
      </c>
      <c r="AJ551">
        <v>9</v>
      </c>
    </row>
    <row r="552" spans="1:36" x14ac:dyDescent="0.25">
      <c r="A552">
        <v>633</v>
      </c>
      <c r="B552">
        <v>38</v>
      </c>
      <c r="C552" t="s">
        <v>9</v>
      </c>
      <c r="D552" t="s">
        <v>15</v>
      </c>
      <c r="E552">
        <v>1035</v>
      </c>
      <c r="F552" t="s">
        <v>118</v>
      </c>
      <c r="G552">
        <v>3</v>
      </c>
      <c r="H552">
        <v>4</v>
      </c>
      <c r="I552" t="s">
        <v>21</v>
      </c>
      <c r="J552">
        <v>1</v>
      </c>
      <c r="K552">
        <v>1036</v>
      </c>
      <c r="L552">
        <v>2</v>
      </c>
      <c r="M552" t="s">
        <v>23</v>
      </c>
      <c r="N552">
        <v>42</v>
      </c>
      <c r="O552">
        <v>3</v>
      </c>
      <c r="P552">
        <v>2</v>
      </c>
      <c r="Q552" t="s">
        <v>25</v>
      </c>
      <c r="R552">
        <v>4</v>
      </c>
      <c r="S552" t="s">
        <v>27</v>
      </c>
      <c r="T552">
        <v>6861</v>
      </c>
      <c r="U552">
        <v>4981</v>
      </c>
      <c r="V552">
        <v>8</v>
      </c>
      <c r="W552" t="s">
        <v>29</v>
      </c>
      <c r="X552" t="s">
        <v>10</v>
      </c>
      <c r="Y552">
        <v>12</v>
      </c>
      <c r="Z552">
        <v>3</v>
      </c>
      <c r="AA552">
        <v>3</v>
      </c>
      <c r="AB552">
        <v>80</v>
      </c>
      <c r="AC552">
        <v>0</v>
      </c>
      <c r="AD552">
        <v>19</v>
      </c>
      <c r="AE552">
        <v>1</v>
      </c>
      <c r="AF552">
        <v>3</v>
      </c>
      <c r="AG552">
        <v>1</v>
      </c>
      <c r="AH552">
        <v>0</v>
      </c>
      <c r="AI552">
        <v>0</v>
      </c>
      <c r="AJ552">
        <v>0</v>
      </c>
    </row>
    <row r="553" spans="1:36" x14ac:dyDescent="0.25">
      <c r="A553">
        <v>802</v>
      </c>
      <c r="B553">
        <v>31</v>
      </c>
      <c r="C553" t="s">
        <v>9</v>
      </c>
      <c r="D553" t="s">
        <v>15</v>
      </c>
      <c r="E553">
        <v>828</v>
      </c>
      <c r="F553" t="s">
        <v>118</v>
      </c>
      <c r="G553">
        <v>2</v>
      </c>
      <c r="H553">
        <v>1</v>
      </c>
      <c r="I553" t="s">
        <v>21</v>
      </c>
      <c r="J553">
        <v>1</v>
      </c>
      <c r="K553">
        <v>604</v>
      </c>
      <c r="L553">
        <v>2</v>
      </c>
      <c r="M553" t="s">
        <v>23</v>
      </c>
      <c r="N553">
        <v>77</v>
      </c>
      <c r="O553">
        <v>3</v>
      </c>
      <c r="P553">
        <v>2</v>
      </c>
      <c r="Q553" t="s">
        <v>25</v>
      </c>
      <c r="R553">
        <v>4</v>
      </c>
      <c r="S553" t="s">
        <v>27</v>
      </c>
      <c r="T553">
        <v>6582</v>
      </c>
      <c r="U553">
        <v>8346</v>
      </c>
      <c r="V553">
        <v>4</v>
      </c>
      <c r="W553" t="s">
        <v>29</v>
      </c>
      <c r="X553" t="s">
        <v>10</v>
      </c>
      <c r="Y553">
        <v>13</v>
      </c>
      <c r="Z553">
        <v>3</v>
      </c>
      <c r="AA553">
        <v>3</v>
      </c>
      <c r="AB553">
        <v>80</v>
      </c>
      <c r="AC553">
        <v>0</v>
      </c>
      <c r="AD553">
        <v>10</v>
      </c>
      <c r="AE553">
        <v>2</v>
      </c>
      <c r="AF553">
        <v>4</v>
      </c>
      <c r="AG553">
        <v>6</v>
      </c>
      <c r="AH553">
        <v>5</v>
      </c>
      <c r="AI553">
        <v>0</v>
      </c>
      <c r="AJ553">
        <v>5</v>
      </c>
    </row>
    <row r="554" spans="1:36" x14ac:dyDescent="0.25">
      <c r="A554">
        <v>346</v>
      </c>
      <c r="B554">
        <v>39</v>
      </c>
      <c r="C554" t="s">
        <v>9</v>
      </c>
      <c r="D554" t="s">
        <v>15</v>
      </c>
      <c r="E554">
        <v>119</v>
      </c>
      <c r="F554" t="s">
        <v>118</v>
      </c>
      <c r="G554">
        <v>15</v>
      </c>
      <c r="H554">
        <v>4</v>
      </c>
      <c r="I554" t="s">
        <v>18</v>
      </c>
      <c r="J554">
        <v>1</v>
      </c>
      <c r="K554">
        <v>1975</v>
      </c>
      <c r="L554">
        <v>2</v>
      </c>
      <c r="M554" t="s">
        <v>23</v>
      </c>
      <c r="N554">
        <v>77</v>
      </c>
      <c r="O554">
        <v>3</v>
      </c>
      <c r="P554">
        <v>4</v>
      </c>
      <c r="Q554" t="s">
        <v>25</v>
      </c>
      <c r="R554">
        <v>1</v>
      </c>
      <c r="S554" t="s">
        <v>27</v>
      </c>
      <c r="T554">
        <v>13341</v>
      </c>
      <c r="U554">
        <v>25098</v>
      </c>
      <c r="V554">
        <v>0</v>
      </c>
      <c r="W554" t="s">
        <v>29</v>
      </c>
      <c r="X554" t="s">
        <v>9</v>
      </c>
      <c r="Y554">
        <v>12</v>
      </c>
      <c r="Z554">
        <v>3</v>
      </c>
      <c r="AA554">
        <v>1</v>
      </c>
      <c r="AB554">
        <v>80</v>
      </c>
      <c r="AC554">
        <v>0</v>
      </c>
      <c r="AD554">
        <v>21</v>
      </c>
      <c r="AE554">
        <v>3</v>
      </c>
      <c r="AF554">
        <v>3</v>
      </c>
      <c r="AG554">
        <v>20</v>
      </c>
      <c r="AH554">
        <v>8</v>
      </c>
      <c r="AI554">
        <v>11</v>
      </c>
      <c r="AJ554">
        <v>10</v>
      </c>
    </row>
    <row r="555" spans="1:36" x14ac:dyDescent="0.25">
      <c r="A555">
        <v>454</v>
      </c>
      <c r="B555">
        <v>33</v>
      </c>
      <c r="C555" t="s">
        <v>9</v>
      </c>
      <c r="D555" t="s">
        <v>15</v>
      </c>
      <c r="E555">
        <v>217</v>
      </c>
      <c r="F555" t="s">
        <v>118</v>
      </c>
      <c r="G555">
        <v>10</v>
      </c>
      <c r="H555">
        <v>4</v>
      </c>
      <c r="I555" t="s">
        <v>18</v>
      </c>
      <c r="J555">
        <v>1</v>
      </c>
      <c r="K555">
        <v>1924</v>
      </c>
      <c r="L555">
        <v>2</v>
      </c>
      <c r="M555" t="s">
        <v>23</v>
      </c>
      <c r="N555">
        <v>43</v>
      </c>
      <c r="O555">
        <v>3</v>
      </c>
      <c r="P555">
        <v>2</v>
      </c>
      <c r="Q555" t="s">
        <v>25</v>
      </c>
      <c r="R555">
        <v>3</v>
      </c>
      <c r="S555" t="s">
        <v>27</v>
      </c>
      <c r="T555">
        <v>5487</v>
      </c>
      <c r="U555">
        <v>10410</v>
      </c>
      <c r="V555">
        <v>1</v>
      </c>
      <c r="W555" t="s">
        <v>29</v>
      </c>
      <c r="X555" t="s">
        <v>9</v>
      </c>
      <c r="Y555">
        <v>14</v>
      </c>
      <c r="Z555">
        <v>3</v>
      </c>
      <c r="AA555">
        <v>2</v>
      </c>
      <c r="AB555">
        <v>80</v>
      </c>
      <c r="AC555">
        <v>0</v>
      </c>
      <c r="AD555">
        <v>10</v>
      </c>
      <c r="AE555">
        <v>2</v>
      </c>
      <c r="AF555">
        <v>2</v>
      </c>
      <c r="AG555">
        <v>10</v>
      </c>
      <c r="AH555">
        <v>4</v>
      </c>
      <c r="AI555">
        <v>0</v>
      </c>
      <c r="AJ555">
        <v>9</v>
      </c>
    </row>
    <row r="556" spans="1:36" x14ac:dyDescent="0.25">
      <c r="A556">
        <v>540</v>
      </c>
      <c r="B556">
        <v>42</v>
      </c>
      <c r="C556" t="s">
        <v>9</v>
      </c>
      <c r="D556" t="s">
        <v>15</v>
      </c>
      <c r="E556">
        <v>647</v>
      </c>
      <c r="F556" t="s">
        <v>118</v>
      </c>
      <c r="G556">
        <v>4</v>
      </c>
      <c r="H556">
        <v>4</v>
      </c>
      <c r="I556" t="s">
        <v>18</v>
      </c>
      <c r="J556">
        <v>1</v>
      </c>
      <c r="K556">
        <v>1171</v>
      </c>
      <c r="L556">
        <v>2</v>
      </c>
      <c r="M556" t="s">
        <v>23</v>
      </c>
      <c r="N556">
        <v>45</v>
      </c>
      <c r="O556">
        <v>3</v>
      </c>
      <c r="P556">
        <v>2</v>
      </c>
      <c r="Q556" t="s">
        <v>25</v>
      </c>
      <c r="R556">
        <v>1</v>
      </c>
      <c r="S556" t="s">
        <v>27</v>
      </c>
      <c r="T556">
        <v>5155</v>
      </c>
      <c r="U556">
        <v>2253</v>
      </c>
      <c r="V556">
        <v>7</v>
      </c>
      <c r="W556" t="s">
        <v>29</v>
      </c>
      <c r="X556" t="s">
        <v>9</v>
      </c>
      <c r="Y556">
        <v>13</v>
      </c>
      <c r="Z556">
        <v>3</v>
      </c>
      <c r="AA556">
        <v>4</v>
      </c>
      <c r="AB556">
        <v>80</v>
      </c>
      <c r="AC556">
        <v>0</v>
      </c>
      <c r="AD556">
        <v>9</v>
      </c>
      <c r="AE556">
        <v>3</v>
      </c>
      <c r="AF556">
        <v>4</v>
      </c>
      <c r="AG556">
        <v>6</v>
      </c>
      <c r="AH556">
        <v>4</v>
      </c>
      <c r="AI556">
        <v>1</v>
      </c>
      <c r="AJ556">
        <v>5</v>
      </c>
    </row>
    <row r="557" spans="1:36" x14ac:dyDescent="0.25">
      <c r="A557">
        <v>665</v>
      </c>
      <c r="B557">
        <v>34</v>
      </c>
      <c r="C557" t="s">
        <v>9</v>
      </c>
      <c r="D557" t="s">
        <v>16</v>
      </c>
      <c r="E557">
        <v>1065</v>
      </c>
      <c r="F557" t="s">
        <v>118</v>
      </c>
      <c r="G557">
        <v>23</v>
      </c>
      <c r="H557">
        <v>4</v>
      </c>
      <c r="I557" t="s">
        <v>18</v>
      </c>
      <c r="J557">
        <v>1</v>
      </c>
      <c r="K557">
        <v>60</v>
      </c>
      <c r="L557">
        <v>2</v>
      </c>
      <c r="M557" t="s">
        <v>23</v>
      </c>
      <c r="N557">
        <v>72</v>
      </c>
      <c r="O557">
        <v>3</v>
      </c>
      <c r="P557">
        <v>2</v>
      </c>
      <c r="Q557" t="s">
        <v>25</v>
      </c>
      <c r="R557">
        <v>3</v>
      </c>
      <c r="S557" t="s">
        <v>27</v>
      </c>
      <c r="T557">
        <v>4568</v>
      </c>
      <c r="U557">
        <v>10034</v>
      </c>
      <c r="V557">
        <v>0</v>
      </c>
      <c r="W557" t="s">
        <v>29</v>
      </c>
      <c r="X557" t="s">
        <v>9</v>
      </c>
      <c r="Y557">
        <v>20</v>
      </c>
      <c r="Z557">
        <v>4</v>
      </c>
      <c r="AA557">
        <v>3</v>
      </c>
      <c r="AB557">
        <v>80</v>
      </c>
      <c r="AC557">
        <v>0</v>
      </c>
      <c r="AD557">
        <v>10</v>
      </c>
      <c r="AE557">
        <v>2</v>
      </c>
      <c r="AF557">
        <v>3</v>
      </c>
      <c r="AG557">
        <v>9</v>
      </c>
      <c r="AH557">
        <v>5</v>
      </c>
      <c r="AI557">
        <v>8</v>
      </c>
      <c r="AJ557">
        <v>7</v>
      </c>
    </row>
    <row r="558" spans="1:36" x14ac:dyDescent="0.25">
      <c r="A558">
        <v>771</v>
      </c>
      <c r="B558">
        <v>33</v>
      </c>
      <c r="C558" t="s">
        <v>9</v>
      </c>
      <c r="D558" t="s">
        <v>11</v>
      </c>
      <c r="E558">
        <v>508</v>
      </c>
      <c r="F558" t="s">
        <v>118</v>
      </c>
      <c r="G558">
        <v>10</v>
      </c>
      <c r="H558">
        <v>3</v>
      </c>
      <c r="I558" t="s">
        <v>18</v>
      </c>
      <c r="J558">
        <v>1</v>
      </c>
      <c r="K558">
        <v>446</v>
      </c>
      <c r="L558">
        <v>2</v>
      </c>
      <c r="M558" t="s">
        <v>23</v>
      </c>
      <c r="N558">
        <v>46</v>
      </c>
      <c r="O558">
        <v>2</v>
      </c>
      <c r="P558">
        <v>2</v>
      </c>
      <c r="Q558" t="s">
        <v>25</v>
      </c>
      <c r="R558">
        <v>4</v>
      </c>
      <c r="S558" t="s">
        <v>27</v>
      </c>
      <c r="T558">
        <v>4682</v>
      </c>
      <c r="U558">
        <v>4317</v>
      </c>
      <c r="V558">
        <v>3</v>
      </c>
      <c r="W558" t="s">
        <v>29</v>
      </c>
      <c r="X558" t="s">
        <v>9</v>
      </c>
      <c r="Y558">
        <v>14</v>
      </c>
      <c r="Z558">
        <v>3</v>
      </c>
      <c r="AA558">
        <v>3</v>
      </c>
      <c r="AB558">
        <v>80</v>
      </c>
      <c r="AC558">
        <v>0</v>
      </c>
      <c r="AD558">
        <v>9</v>
      </c>
      <c r="AE558">
        <v>6</v>
      </c>
      <c r="AF558">
        <v>2</v>
      </c>
      <c r="AG558">
        <v>7</v>
      </c>
      <c r="AH558">
        <v>7</v>
      </c>
      <c r="AI558">
        <v>0</v>
      </c>
      <c r="AJ558">
        <v>1</v>
      </c>
    </row>
    <row r="559" spans="1:36" x14ac:dyDescent="0.25">
      <c r="A559" s="15">
        <v>469</v>
      </c>
      <c r="B559" s="15">
        <v>26</v>
      </c>
      <c r="C559" s="15" t="s">
        <v>10</v>
      </c>
      <c r="D559" s="15" t="s">
        <v>16</v>
      </c>
      <c r="E559" s="15">
        <v>265</v>
      </c>
      <c r="F559" s="15" t="s">
        <v>118</v>
      </c>
      <c r="G559" s="15">
        <v>29</v>
      </c>
      <c r="H559" s="15">
        <v>2</v>
      </c>
      <c r="I559" s="15" t="s">
        <v>17</v>
      </c>
      <c r="J559" s="15">
        <v>1</v>
      </c>
      <c r="K559" s="15">
        <v>1037</v>
      </c>
      <c r="L559" s="15">
        <v>2</v>
      </c>
      <c r="M559" s="15" t="s">
        <v>23</v>
      </c>
      <c r="N559" s="15">
        <v>79</v>
      </c>
      <c r="O559" s="15">
        <v>1</v>
      </c>
      <c r="P559" s="15">
        <v>2</v>
      </c>
      <c r="Q559" s="15" t="s">
        <v>25</v>
      </c>
      <c r="R559" s="15">
        <v>1</v>
      </c>
      <c r="S559" s="15" t="s">
        <v>27</v>
      </c>
      <c r="T559" s="15">
        <v>4969</v>
      </c>
      <c r="U559" s="15">
        <v>21813</v>
      </c>
      <c r="V559" s="15">
        <v>8</v>
      </c>
      <c r="W559" s="15" t="s">
        <v>29</v>
      </c>
      <c r="X559" s="15" t="s">
        <v>9</v>
      </c>
      <c r="Y559" s="15">
        <v>18</v>
      </c>
      <c r="Z559" s="15">
        <v>3</v>
      </c>
      <c r="AA559" s="15">
        <v>4</v>
      </c>
      <c r="AB559" s="15">
        <v>80</v>
      </c>
      <c r="AC559" s="15">
        <v>0</v>
      </c>
      <c r="AD559" s="15">
        <v>7</v>
      </c>
      <c r="AE559" s="15">
        <v>6</v>
      </c>
      <c r="AF559" s="15">
        <v>3</v>
      </c>
      <c r="AG559" s="15">
        <v>2</v>
      </c>
      <c r="AH559" s="15">
        <v>2</v>
      </c>
      <c r="AI559" s="15">
        <v>2</v>
      </c>
      <c r="AJ559" s="15">
        <v>2</v>
      </c>
    </row>
    <row r="560" spans="1:36" x14ac:dyDescent="0.25">
      <c r="A560" s="15">
        <v>49</v>
      </c>
      <c r="B560" s="15">
        <v>18</v>
      </c>
      <c r="C560" s="15" t="s">
        <v>10</v>
      </c>
      <c r="D560" s="15" t="s">
        <v>11</v>
      </c>
      <c r="E560" s="15">
        <v>1306</v>
      </c>
      <c r="F560" s="15" t="s">
        <v>118</v>
      </c>
      <c r="G560" s="15">
        <v>5</v>
      </c>
      <c r="H560" s="15">
        <v>3</v>
      </c>
      <c r="I560" s="15" t="s">
        <v>18</v>
      </c>
      <c r="J560" s="15">
        <v>1</v>
      </c>
      <c r="K560" s="15">
        <v>614</v>
      </c>
      <c r="L560" s="15">
        <v>2</v>
      </c>
      <c r="M560" s="15" t="s">
        <v>23</v>
      </c>
      <c r="N560" s="15">
        <v>69</v>
      </c>
      <c r="O560" s="15">
        <v>3</v>
      </c>
      <c r="P560" s="15">
        <v>1</v>
      </c>
      <c r="Q560" s="15" t="s">
        <v>33</v>
      </c>
      <c r="R560" s="15">
        <v>2</v>
      </c>
      <c r="S560" s="15" t="s">
        <v>27</v>
      </c>
      <c r="T560" s="15">
        <v>1878</v>
      </c>
      <c r="U560" s="15">
        <v>8059</v>
      </c>
      <c r="V560" s="15">
        <v>1</v>
      </c>
      <c r="W560" s="15" t="s">
        <v>29</v>
      </c>
      <c r="X560" s="15" t="s">
        <v>10</v>
      </c>
      <c r="Y560" s="15">
        <v>14</v>
      </c>
      <c r="Z560" s="15">
        <v>3</v>
      </c>
      <c r="AA560" s="15">
        <v>4</v>
      </c>
      <c r="AB560" s="15">
        <v>80</v>
      </c>
      <c r="AC560" s="15">
        <v>0</v>
      </c>
      <c r="AD560" s="15">
        <v>0</v>
      </c>
      <c r="AE560" s="15">
        <v>3</v>
      </c>
      <c r="AF560" s="15">
        <v>3</v>
      </c>
      <c r="AG560" s="15">
        <v>0</v>
      </c>
      <c r="AH560" s="15">
        <v>0</v>
      </c>
      <c r="AI560" s="15">
        <v>0</v>
      </c>
      <c r="AJ560" s="15">
        <v>0</v>
      </c>
    </row>
    <row r="561" spans="1:36" x14ac:dyDescent="0.25">
      <c r="A561">
        <v>42</v>
      </c>
      <c r="B561">
        <v>45</v>
      </c>
      <c r="C561" t="s">
        <v>9</v>
      </c>
      <c r="D561" t="s">
        <v>15</v>
      </c>
      <c r="E561">
        <v>954</v>
      </c>
      <c r="F561" t="s">
        <v>118</v>
      </c>
      <c r="G561">
        <v>2</v>
      </c>
      <c r="H561">
        <v>2</v>
      </c>
      <c r="I561" t="s">
        <v>22</v>
      </c>
      <c r="J561">
        <v>1</v>
      </c>
      <c r="K561">
        <v>783</v>
      </c>
      <c r="L561">
        <v>2</v>
      </c>
      <c r="M561" t="s">
        <v>23</v>
      </c>
      <c r="N561">
        <v>46</v>
      </c>
      <c r="O561">
        <v>1</v>
      </c>
      <c r="P561">
        <v>2</v>
      </c>
      <c r="Q561" t="s">
        <v>33</v>
      </c>
      <c r="R561">
        <v>3</v>
      </c>
      <c r="S561" t="s">
        <v>27</v>
      </c>
      <c r="T561">
        <v>6632</v>
      </c>
      <c r="U561">
        <v>12388</v>
      </c>
      <c r="V561">
        <v>0</v>
      </c>
      <c r="W561" t="s">
        <v>29</v>
      </c>
      <c r="X561" t="s">
        <v>9</v>
      </c>
      <c r="Y561">
        <v>13</v>
      </c>
      <c r="Z561">
        <v>3</v>
      </c>
      <c r="AA561">
        <v>1</v>
      </c>
      <c r="AB561">
        <v>80</v>
      </c>
      <c r="AC561">
        <v>0</v>
      </c>
      <c r="AD561">
        <v>9</v>
      </c>
      <c r="AE561">
        <v>3</v>
      </c>
      <c r="AF561">
        <v>3</v>
      </c>
      <c r="AG561">
        <v>8</v>
      </c>
      <c r="AH561">
        <v>7</v>
      </c>
      <c r="AI561">
        <v>3</v>
      </c>
      <c r="AJ561">
        <v>1</v>
      </c>
    </row>
    <row r="562" spans="1:36" x14ac:dyDescent="0.25">
      <c r="A562">
        <v>98</v>
      </c>
      <c r="B562">
        <v>37</v>
      </c>
      <c r="C562" t="s">
        <v>9</v>
      </c>
      <c r="D562" t="s">
        <v>16</v>
      </c>
      <c r="E562">
        <v>1040</v>
      </c>
      <c r="F562" t="s">
        <v>119</v>
      </c>
      <c r="G562">
        <v>2</v>
      </c>
      <c r="H562">
        <v>2</v>
      </c>
      <c r="I562" t="s">
        <v>21</v>
      </c>
      <c r="J562">
        <v>1</v>
      </c>
      <c r="K562">
        <v>139</v>
      </c>
      <c r="L562">
        <v>3</v>
      </c>
      <c r="M562" t="s">
        <v>23</v>
      </c>
      <c r="N562">
        <v>100</v>
      </c>
      <c r="O562">
        <v>2</v>
      </c>
      <c r="P562">
        <v>2</v>
      </c>
      <c r="Q562" t="s">
        <v>34</v>
      </c>
      <c r="R562">
        <v>4</v>
      </c>
      <c r="S562" t="s">
        <v>26</v>
      </c>
      <c r="T562">
        <v>5163</v>
      </c>
      <c r="U562">
        <v>15850</v>
      </c>
      <c r="V562">
        <v>5</v>
      </c>
      <c r="W562" t="s">
        <v>29</v>
      </c>
      <c r="X562" t="s">
        <v>9</v>
      </c>
      <c r="Y562">
        <v>14</v>
      </c>
      <c r="Z562">
        <v>3</v>
      </c>
      <c r="AA562">
        <v>4</v>
      </c>
      <c r="AB562">
        <v>80</v>
      </c>
      <c r="AC562">
        <v>1</v>
      </c>
      <c r="AD562">
        <v>17</v>
      </c>
      <c r="AE562">
        <v>2</v>
      </c>
      <c r="AF562">
        <v>4</v>
      </c>
      <c r="AG562">
        <v>1</v>
      </c>
      <c r="AH562">
        <v>0</v>
      </c>
      <c r="AI562">
        <v>0</v>
      </c>
      <c r="AJ562">
        <v>0</v>
      </c>
    </row>
    <row r="563" spans="1:36" x14ac:dyDescent="0.25">
      <c r="A563">
        <v>399</v>
      </c>
      <c r="B563">
        <v>56</v>
      </c>
      <c r="C563" t="s">
        <v>9</v>
      </c>
      <c r="D563" t="s">
        <v>16</v>
      </c>
      <c r="E563">
        <v>667</v>
      </c>
      <c r="F563" t="s">
        <v>119</v>
      </c>
      <c r="G563">
        <v>1</v>
      </c>
      <c r="H563">
        <v>4</v>
      </c>
      <c r="I563" t="s">
        <v>21</v>
      </c>
      <c r="J563">
        <v>1</v>
      </c>
      <c r="K563">
        <v>2026</v>
      </c>
      <c r="L563">
        <v>3</v>
      </c>
      <c r="M563" t="s">
        <v>23</v>
      </c>
      <c r="N563">
        <v>57</v>
      </c>
      <c r="O563">
        <v>3</v>
      </c>
      <c r="P563">
        <v>2</v>
      </c>
      <c r="Q563" t="s">
        <v>34</v>
      </c>
      <c r="R563">
        <v>3</v>
      </c>
      <c r="S563" t="s">
        <v>26</v>
      </c>
      <c r="T563">
        <v>6306</v>
      </c>
      <c r="U563">
        <v>26236</v>
      </c>
      <c r="V563">
        <v>1</v>
      </c>
      <c r="W563" t="s">
        <v>29</v>
      </c>
      <c r="X563" t="s">
        <v>9</v>
      </c>
      <c r="Y563">
        <v>21</v>
      </c>
      <c r="Z563">
        <v>4</v>
      </c>
      <c r="AA563">
        <v>1</v>
      </c>
      <c r="AB563">
        <v>80</v>
      </c>
      <c r="AC563">
        <v>1</v>
      </c>
      <c r="AD563">
        <v>13</v>
      </c>
      <c r="AE563">
        <v>2</v>
      </c>
      <c r="AF563">
        <v>2</v>
      </c>
      <c r="AG563">
        <v>13</v>
      </c>
      <c r="AH563">
        <v>12</v>
      </c>
      <c r="AI563">
        <v>1</v>
      </c>
      <c r="AJ563">
        <v>9</v>
      </c>
    </row>
    <row r="564" spans="1:36" x14ac:dyDescent="0.25">
      <c r="A564">
        <v>580</v>
      </c>
      <c r="B564">
        <v>29</v>
      </c>
      <c r="C564" t="s">
        <v>9</v>
      </c>
      <c r="D564" t="s">
        <v>15</v>
      </c>
      <c r="E564">
        <v>1329</v>
      </c>
      <c r="F564" t="s">
        <v>119</v>
      </c>
      <c r="G564">
        <v>7</v>
      </c>
      <c r="H564">
        <v>3</v>
      </c>
      <c r="I564" t="s">
        <v>21</v>
      </c>
      <c r="J564">
        <v>1</v>
      </c>
      <c r="K564">
        <v>1260</v>
      </c>
      <c r="L564">
        <v>3</v>
      </c>
      <c r="M564" t="s">
        <v>23</v>
      </c>
      <c r="N564">
        <v>82</v>
      </c>
      <c r="O564">
        <v>3</v>
      </c>
      <c r="P564">
        <v>2</v>
      </c>
      <c r="Q564" t="s">
        <v>34</v>
      </c>
      <c r="R564">
        <v>4</v>
      </c>
      <c r="S564" t="s">
        <v>26</v>
      </c>
      <c r="T564">
        <v>6623</v>
      </c>
      <c r="U564">
        <v>4204</v>
      </c>
      <c r="V564">
        <v>1</v>
      </c>
      <c r="W564" t="s">
        <v>29</v>
      </c>
      <c r="X564" t="s">
        <v>10</v>
      </c>
      <c r="Y564">
        <v>11</v>
      </c>
      <c r="Z564">
        <v>3</v>
      </c>
      <c r="AA564">
        <v>2</v>
      </c>
      <c r="AB564">
        <v>80</v>
      </c>
      <c r="AC564">
        <v>2</v>
      </c>
      <c r="AD564">
        <v>6</v>
      </c>
      <c r="AE564">
        <v>2</v>
      </c>
      <c r="AF564">
        <v>3</v>
      </c>
      <c r="AG564">
        <v>6</v>
      </c>
      <c r="AH564">
        <v>0</v>
      </c>
      <c r="AI564">
        <v>1</v>
      </c>
      <c r="AJ564">
        <v>0</v>
      </c>
    </row>
    <row r="565" spans="1:36" x14ac:dyDescent="0.25">
      <c r="A565">
        <v>684</v>
      </c>
      <c r="B565">
        <v>57</v>
      </c>
      <c r="C565" t="s">
        <v>9</v>
      </c>
      <c r="D565" t="s">
        <v>15</v>
      </c>
      <c r="E565">
        <v>334</v>
      </c>
      <c r="F565" t="s">
        <v>119</v>
      </c>
      <c r="G565">
        <v>24</v>
      </c>
      <c r="H565">
        <v>2</v>
      </c>
      <c r="I565" t="s">
        <v>21</v>
      </c>
      <c r="J565">
        <v>1</v>
      </c>
      <c r="K565">
        <v>223</v>
      </c>
      <c r="L565">
        <v>3</v>
      </c>
      <c r="M565" t="s">
        <v>23</v>
      </c>
      <c r="N565">
        <v>83</v>
      </c>
      <c r="O565">
        <v>4</v>
      </c>
      <c r="P565">
        <v>3</v>
      </c>
      <c r="Q565" t="s">
        <v>34</v>
      </c>
      <c r="R565">
        <v>4</v>
      </c>
      <c r="S565" t="s">
        <v>26</v>
      </c>
      <c r="T565">
        <v>9439</v>
      </c>
      <c r="U565">
        <v>23402</v>
      </c>
      <c r="V565">
        <v>3</v>
      </c>
      <c r="W565" t="s">
        <v>29</v>
      </c>
      <c r="X565" t="s">
        <v>10</v>
      </c>
      <c r="Y565">
        <v>16</v>
      </c>
      <c r="Z565">
        <v>3</v>
      </c>
      <c r="AA565">
        <v>2</v>
      </c>
      <c r="AB565">
        <v>80</v>
      </c>
      <c r="AC565">
        <v>1</v>
      </c>
      <c r="AD565">
        <v>12</v>
      </c>
      <c r="AE565">
        <v>2</v>
      </c>
      <c r="AF565">
        <v>1</v>
      </c>
      <c r="AG565">
        <v>5</v>
      </c>
      <c r="AH565">
        <v>3</v>
      </c>
      <c r="AI565">
        <v>1</v>
      </c>
      <c r="AJ565">
        <v>4</v>
      </c>
    </row>
    <row r="566" spans="1:36" x14ac:dyDescent="0.25">
      <c r="A566">
        <v>848</v>
      </c>
      <c r="B566">
        <v>39</v>
      </c>
      <c r="C566" t="s">
        <v>9</v>
      </c>
      <c r="D566" t="s">
        <v>15</v>
      </c>
      <c r="E566">
        <v>1132</v>
      </c>
      <c r="F566" t="s">
        <v>119</v>
      </c>
      <c r="G566">
        <v>1</v>
      </c>
      <c r="H566">
        <v>3</v>
      </c>
      <c r="I566" t="s">
        <v>17</v>
      </c>
      <c r="J566">
        <v>1</v>
      </c>
      <c r="K566">
        <v>417</v>
      </c>
      <c r="L566">
        <v>3</v>
      </c>
      <c r="M566" t="s">
        <v>23</v>
      </c>
      <c r="N566">
        <v>48</v>
      </c>
      <c r="O566">
        <v>4</v>
      </c>
      <c r="P566">
        <v>3</v>
      </c>
      <c r="Q566" t="s">
        <v>34</v>
      </c>
      <c r="R566">
        <v>4</v>
      </c>
      <c r="S566" t="s">
        <v>26</v>
      </c>
      <c r="T566">
        <v>9613</v>
      </c>
      <c r="U566">
        <v>10942</v>
      </c>
      <c r="V566">
        <v>0</v>
      </c>
      <c r="W566" t="s">
        <v>29</v>
      </c>
      <c r="X566" t="s">
        <v>9</v>
      </c>
      <c r="Y566">
        <v>17</v>
      </c>
      <c r="Z566">
        <v>3</v>
      </c>
      <c r="AA566">
        <v>1</v>
      </c>
      <c r="AB566">
        <v>80</v>
      </c>
      <c r="AC566">
        <v>3</v>
      </c>
      <c r="AD566">
        <v>19</v>
      </c>
      <c r="AE566">
        <v>5</v>
      </c>
      <c r="AF566">
        <v>2</v>
      </c>
      <c r="AG566">
        <v>18</v>
      </c>
      <c r="AH566">
        <v>10</v>
      </c>
      <c r="AI566">
        <v>3</v>
      </c>
      <c r="AJ566">
        <v>7</v>
      </c>
    </row>
    <row r="567" spans="1:36" x14ac:dyDescent="0.25">
      <c r="A567" s="15">
        <v>88</v>
      </c>
      <c r="B567" s="15">
        <v>35</v>
      </c>
      <c r="C567" s="15" t="s">
        <v>10</v>
      </c>
      <c r="D567" s="15" t="s">
        <v>15</v>
      </c>
      <c r="E567" s="15">
        <v>622</v>
      </c>
      <c r="F567" s="15" t="s">
        <v>119</v>
      </c>
      <c r="G567" s="15">
        <v>14</v>
      </c>
      <c r="H567" s="15">
        <v>4</v>
      </c>
      <c r="I567" s="15" t="s">
        <v>19</v>
      </c>
      <c r="J567" s="15">
        <v>1</v>
      </c>
      <c r="K567" s="15">
        <v>1010</v>
      </c>
      <c r="L567" s="15">
        <v>3</v>
      </c>
      <c r="M567" s="15" t="s">
        <v>23</v>
      </c>
      <c r="N567" s="15">
        <v>39</v>
      </c>
      <c r="O567" s="15">
        <v>2</v>
      </c>
      <c r="P567" s="15">
        <v>1</v>
      </c>
      <c r="Q567" s="15" t="s">
        <v>36</v>
      </c>
      <c r="R567" s="15">
        <v>2</v>
      </c>
      <c r="S567" s="15" t="s">
        <v>26</v>
      </c>
      <c r="T567" s="15">
        <v>3743</v>
      </c>
      <c r="U567" s="15">
        <v>10074</v>
      </c>
      <c r="V567" s="15">
        <v>1</v>
      </c>
      <c r="W567" s="15" t="s">
        <v>29</v>
      </c>
      <c r="X567" s="15" t="s">
        <v>10</v>
      </c>
      <c r="Y567" s="15">
        <v>24</v>
      </c>
      <c r="Z567" s="15">
        <v>4</v>
      </c>
      <c r="AA567" s="15">
        <v>4</v>
      </c>
      <c r="AB567" s="15">
        <v>80</v>
      </c>
      <c r="AC567" s="15">
        <v>1</v>
      </c>
      <c r="AD567" s="15">
        <v>5</v>
      </c>
      <c r="AE567" s="15">
        <v>2</v>
      </c>
      <c r="AF567" s="15">
        <v>1</v>
      </c>
      <c r="AG567" s="15">
        <v>4</v>
      </c>
      <c r="AH567" s="15">
        <v>2</v>
      </c>
      <c r="AI567" s="15">
        <v>0</v>
      </c>
      <c r="AJ567" s="15">
        <v>2</v>
      </c>
    </row>
    <row r="568" spans="1:36" x14ac:dyDescent="0.25">
      <c r="A568">
        <v>12</v>
      </c>
      <c r="B568">
        <v>28</v>
      </c>
      <c r="C568" t="s">
        <v>9</v>
      </c>
      <c r="D568" t="s">
        <v>16</v>
      </c>
      <c r="E568">
        <v>280</v>
      </c>
      <c r="F568" t="s">
        <v>20</v>
      </c>
      <c r="G568">
        <v>1</v>
      </c>
      <c r="H568">
        <v>2</v>
      </c>
      <c r="I568" t="s">
        <v>21</v>
      </c>
      <c r="J568">
        <v>1</v>
      </c>
      <c r="K568">
        <v>1858</v>
      </c>
      <c r="L568">
        <v>3</v>
      </c>
      <c r="M568" t="s">
        <v>23</v>
      </c>
      <c r="N568">
        <v>43</v>
      </c>
      <c r="O568">
        <v>3</v>
      </c>
      <c r="P568">
        <v>1</v>
      </c>
      <c r="Q568" t="s">
        <v>20</v>
      </c>
      <c r="R568">
        <v>4</v>
      </c>
      <c r="S568" t="s">
        <v>26</v>
      </c>
      <c r="T568">
        <v>2706</v>
      </c>
      <c r="U568">
        <v>10494</v>
      </c>
      <c r="V568">
        <v>1</v>
      </c>
      <c r="W568" t="s">
        <v>29</v>
      </c>
      <c r="X568" t="s">
        <v>9</v>
      </c>
      <c r="Y568">
        <v>15</v>
      </c>
      <c r="Z568">
        <v>3</v>
      </c>
      <c r="AA568">
        <v>2</v>
      </c>
      <c r="AB568">
        <v>80</v>
      </c>
      <c r="AC568">
        <v>1</v>
      </c>
      <c r="AD568">
        <v>3</v>
      </c>
      <c r="AE568">
        <v>2</v>
      </c>
      <c r="AF568">
        <v>3</v>
      </c>
      <c r="AG568">
        <v>3</v>
      </c>
      <c r="AH568">
        <v>2</v>
      </c>
      <c r="AI568">
        <v>2</v>
      </c>
      <c r="AJ568">
        <v>2</v>
      </c>
    </row>
    <row r="569" spans="1:36" x14ac:dyDescent="0.25">
      <c r="A569">
        <v>777</v>
      </c>
      <c r="B569">
        <v>30</v>
      </c>
      <c r="C569" t="s">
        <v>9</v>
      </c>
      <c r="D569" t="s">
        <v>15</v>
      </c>
      <c r="E569">
        <v>330</v>
      </c>
      <c r="F569" t="s">
        <v>20</v>
      </c>
      <c r="G569">
        <v>1</v>
      </c>
      <c r="H569">
        <v>3</v>
      </c>
      <c r="I569" t="s">
        <v>21</v>
      </c>
      <c r="J569">
        <v>1</v>
      </c>
      <c r="K569">
        <v>1499</v>
      </c>
      <c r="L569">
        <v>3</v>
      </c>
      <c r="M569" t="s">
        <v>23</v>
      </c>
      <c r="N569">
        <v>46</v>
      </c>
      <c r="O569">
        <v>3</v>
      </c>
      <c r="P569">
        <v>1</v>
      </c>
      <c r="Q569" t="s">
        <v>20</v>
      </c>
      <c r="R569">
        <v>3</v>
      </c>
      <c r="S569" t="s">
        <v>26</v>
      </c>
      <c r="T569">
        <v>2064</v>
      </c>
      <c r="U569">
        <v>15428</v>
      </c>
      <c r="V569">
        <v>0</v>
      </c>
      <c r="W569" t="s">
        <v>29</v>
      </c>
      <c r="X569" t="s">
        <v>9</v>
      </c>
      <c r="Y569">
        <v>21</v>
      </c>
      <c r="Z569">
        <v>4</v>
      </c>
      <c r="AA569">
        <v>1</v>
      </c>
      <c r="AB569">
        <v>80</v>
      </c>
      <c r="AC569">
        <v>1</v>
      </c>
      <c r="AD569">
        <v>6</v>
      </c>
      <c r="AE569">
        <v>3</v>
      </c>
      <c r="AF569">
        <v>4</v>
      </c>
      <c r="AG569">
        <v>5</v>
      </c>
      <c r="AH569">
        <v>3</v>
      </c>
      <c r="AI569">
        <v>1</v>
      </c>
      <c r="AJ569">
        <v>3</v>
      </c>
    </row>
    <row r="570" spans="1:36" x14ac:dyDescent="0.25">
      <c r="A570">
        <v>538</v>
      </c>
      <c r="B570">
        <v>42</v>
      </c>
      <c r="C570" t="s">
        <v>9</v>
      </c>
      <c r="D570" t="s">
        <v>15</v>
      </c>
      <c r="E570">
        <v>544</v>
      </c>
      <c r="F570" t="s">
        <v>20</v>
      </c>
      <c r="G570">
        <v>2</v>
      </c>
      <c r="H570">
        <v>1</v>
      </c>
      <c r="I570" t="s">
        <v>22</v>
      </c>
      <c r="J570">
        <v>1</v>
      </c>
      <c r="K570">
        <v>470</v>
      </c>
      <c r="L570">
        <v>3</v>
      </c>
      <c r="M570" t="s">
        <v>23</v>
      </c>
      <c r="N570">
        <v>52</v>
      </c>
      <c r="O570">
        <v>3</v>
      </c>
      <c r="P570">
        <v>1</v>
      </c>
      <c r="Q570" t="s">
        <v>20</v>
      </c>
      <c r="R570">
        <v>3</v>
      </c>
      <c r="S570" t="s">
        <v>26</v>
      </c>
      <c r="T570">
        <v>2696</v>
      </c>
      <c r="U570">
        <v>24017</v>
      </c>
      <c r="V570">
        <v>0</v>
      </c>
      <c r="W570" t="s">
        <v>29</v>
      </c>
      <c r="X570" t="s">
        <v>10</v>
      </c>
      <c r="Y570">
        <v>11</v>
      </c>
      <c r="Z570">
        <v>3</v>
      </c>
      <c r="AA570">
        <v>3</v>
      </c>
      <c r="AB570">
        <v>80</v>
      </c>
      <c r="AC570">
        <v>1</v>
      </c>
      <c r="AD570">
        <v>4</v>
      </c>
      <c r="AE570">
        <v>5</v>
      </c>
      <c r="AF570">
        <v>3</v>
      </c>
      <c r="AG570">
        <v>3</v>
      </c>
      <c r="AH570">
        <v>2</v>
      </c>
      <c r="AI570">
        <v>1</v>
      </c>
      <c r="AJ570">
        <v>0</v>
      </c>
    </row>
    <row r="571" spans="1:36" x14ac:dyDescent="0.25">
      <c r="A571" s="15">
        <v>333</v>
      </c>
      <c r="B571" s="15">
        <v>44</v>
      </c>
      <c r="C571" s="15" t="s">
        <v>10</v>
      </c>
      <c r="D571" s="15" t="s">
        <v>11</v>
      </c>
      <c r="E571" s="15">
        <v>429</v>
      </c>
      <c r="F571" s="15" t="s">
        <v>119</v>
      </c>
      <c r="G571" s="15">
        <v>1</v>
      </c>
      <c r="H571" s="15">
        <v>2</v>
      </c>
      <c r="I571" s="15" t="s">
        <v>17</v>
      </c>
      <c r="J571" s="15">
        <v>1</v>
      </c>
      <c r="K571" s="15">
        <v>1792</v>
      </c>
      <c r="L571" s="15">
        <v>3</v>
      </c>
      <c r="M571" s="15" t="s">
        <v>23</v>
      </c>
      <c r="N571" s="15">
        <v>99</v>
      </c>
      <c r="O571" s="15">
        <v>3</v>
      </c>
      <c r="P571" s="15">
        <v>1</v>
      </c>
      <c r="Q571" s="15" t="s">
        <v>32</v>
      </c>
      <c r="R571" s="15">
        <v>2</v>
      </c>
      <c r="S571" s="15" t="s">
        <v>26</v>
      </c>
      <c r="T571" s="15">
        <v>2342</v>
      </c>
      <c r="U571" s="15">
        <v>11092</v>
      </c>
      <c r="V571" s="15">
        <v>1</v>
      </c>
      <c r="W571" s="15" t="s">
        <v>29</v>
      </c>
      <c r="X571" s="15" t="s">
        <v>10</v>
      </c>
      <c r="Y571" s="15">
        <v>12</v>
      </c>
      <c r="Z571" s="15">
        <v>3</v>
      </c>
      <c r="AA571" s="15">
        <v>3</v>
      </c>
      <c r="AB571" s="15">
        <v>80</v>
      </c>
      <c r="AC571" s="15">
        <v>3</v>
      </c>
      <c r="AD571" s="15">
        <v>6</v>
      </c>
      <c r="AE571" s="15">
        <v>2</v>
      </c>
      <c r="AF571" s="15">
        <v>2</v>
      </c>
      <c r="AG571" s="15">
        <v>5</v>
      </c>
      <c r="AH571" s="15">
        <v>3</v>
      </c>
      <c r="AI571" s="15">
        <v>2</v>
      </c>
      <c r="AJ571" s="15">
        <v>3</v>
      </c>
    </row>
    <row r="572" spans="1:36" x14ac:dyDescent="0.25">
      <c r="A572">
        <v>56</v>
      </c>
      <c r="B572">
        <v>41</v>
      </c>
      <c r="C572" t="s">
        <v>9</v>
      </c>
      <c r="D572" t="s">
        <v>15</v>
      </c>
      <c r="E572">
        <v>548</v>
      </c>
      <c r="F572" t="s">
        <v>119</v>
      </c>
      <c r="G572">
        <v>9</v>
      </c>
      <c r="H572">
        <v>4</v>
      </c>
      <c r="I572" t="s">
        <v>21</v>
      </c>
      <c r="J572">
        <v>1</v>
      </c>
      <c r="K572">
        <v>1772</v>
      </c>
      <c r="L572">
        <v>3</v>
      </c>
      <c r="M572" t="s">
        <v>23</v>
      </c>
      <c r="N572">
        <v>94</v>
      </c>
      <c r="O572">
        <v>3</v>
      </c>
      <c r="P572">
        <v>1</v>
      </c>
      <c r="Q572" t="s">
        <v>36</v>
      </c>
      <c r="R572">
        <v>1</v>
      </c>
      <c r="S572" t="s">
        <v>26</v>
      </c>
      <c r="T572">
        <v>2289</v>
      </c>
      <c r="U572">
        <v>20520</v>
      </c>
      <c r="V572">
        <v>1</v>
      </c>
      <c r="W572" t="s">
        <v>29</v>
      </c>
      <c r="X572" t="s">
        <v>9</v>
      </c>
      <c r="Y572">
        <v>20</v>
      </c>
      <c r="Z572">
        <v>4</v>
      </c>
      <c r="AA572">
        <v>2</v>
      </c>
      <c r="AB572">
        <v>80</v>
      </c>
      <c r="AC572">
        <v>2</v>
      </c>
      <c r="AD572">
        <v>5</v>
      </c>
      <c r="AE572">
        <v>2</v>
      </c>
      <c r="AF572">
        <v>3</v>
      </c>
      <c r="AG572">
        <v>5</v>
      </c>
      <c r="AH572">
        <v>3</v>
      </c>
      <c r="AI572">
        <v>0</v>
      </c>
      <c r="AJ572">
        <v>4</v>
      </c>
    </row>
    <row r="573" spans="1:36" x14ac:dyDescent="0.25">
      <c r="A573">
        <v>408</v>
      </c>
      <c r="B573">
        <v>36</v>
      </c>
      <c r="C573" t="s">
        <v>9</v>
      </c>
      <c r="D573" t="s">
        <v>15</v>
      </c>
      <c r="E573">
        <v>917</v>
      </c>
      <c r="F573" t="s">
        <v>119</v>
      </c>
      <c r="G573">
        <v>6</v>
      </c>
      <c r="H573">
        <v>4</v>
      </c>
      <c r="I573" t="s">
        <v>21</v>
      </c>
      <c r="J573">
        <v>1</v>
      </c>
      <c r="K573">
        <v>1221</v>
      </c>
      <c r="L573">
        <v>3</v>
      </c>
      <c r="M573" t="s">
        <v>23</v>
      </c>
      <c r="N573">
        <v>60</v>
      </c>
      <c r="O573">
        <v>1</v>
      </c>
      <c r="P573">
        <v>1</v>
      </c>
      <c r="Q573" t="s">
        <v>36</v>
      </c>
      <c r="R573">
        <v>3</v>
      </c>
      <c r="S573" t="s">
        <v>26</v>
      </c>
      <c r="T573">
        <v>2741</v>
      </c>
      <c r="U573">
        <v>6865</v>
      </c>
      <c r="V573">
        <v>1</v>
      </c>
      <c r="W573" t="s">
        <v>29</v>
      </c>
      <c r="X573" t="s">
        <v>9</v>
      </c>
      <c r="Y573">
        <v>14</v>
      </c>
      <c r="Z573">
        <v>3</v>
      </c>
      <c r="AA573">
        <v>3</v>
      </c>
      <c r="AB573">
        <v>80</v>
      </c>
      <c r="AC573">
        <v>1</v>
      </c>
      <c r="AD573">
        <v>7</v>
      </c>
      <c r="AE573">
        <v>4</v>
      </c>
      <c r="AF573">
        <v>3</v>
      </c>
      <c r="AG573">
        <v>7</v>
      </c>
      <c r="AH573">
        <v>7</v>
      </c>
      <c r="AI573">
        <v>1</v>
      </c>
      <c r="AJ573">
        <v>7</v>
      </c>
    </row>
    <row r="574" spans="1:36" x14ac:dyDescent="0.25">
      <c r="A574">
        <v>541</v>
      </c>
      <c r="B574">
        <v>30</v>
      </c>
      <c r="C574" t="s">
        <v>9</v>
      </c>
      <c r="D574" t="s">
        <v>15</v>
      </c>
      <c r="E574">
        <v>853</v>
      </c>
      <c r="F574" t="s">
        <v>119</v>
      </c>
      <c r="G574">
        <v>7</v>
      </c>
      <c r="H574">
        <v>4</v>
      </c>
      <c r="I574" t="s">
        <v>21</v>
      </c>
      <c r="J574">
        <v>1</v>
      </c>
      <c r="K574">
        <v>1224</v>
      </c>
      <c r="L574">
        <v>3</v>
      </c>
      <c r="M574" t="s">
        <v>23</v>
      </c>
      <c r="N574">
        <v>49</v>
      </c>
      <c r="O574">
        <v>3</v>
      </c>
      <c r="P574">
        <v>2</v>
      </c>
      <c r="Q574" t="s">
        <v>36</v>
      </c>
      <c r="R574">
        <v>3</v>
      </c>
      <c r="S574" t="s">
        <v>26</v>
      </c>
      <c r="T574">
        <v>3491</v>
      </c>
      <c r="U574">
        <v>11309</v>
      </c>
      <c r="V574">
        <v>1</v>
      </c>
      <c r="W574" t="s">
        <v>29</v>
      </c>
      <c r="X574" t="s">
        <v>9</v>
      </c>
      <c r="Y574">
        <v>13</v>
      </c>
      <c r="Z574">
        <v>3</v>
      </c>
      <c r="AA574">
        <v>1</v>
      </c>
      <c r="AB574">
        <v>80</v>
      </c>
      <c r="AC574">
        <v>3</v>
      </c>
      <c r="AD574">
        <v>10</v>
      </c>
      <c r="AE574">
        <v>4</v>
      </c>
      <c r="AF574">
        <v>2</v>
      </c>
      <c r="AG574">
        <v>10</v>
      </c>
      <c r="AH574">
        <v>7</v>
      </c>
      <c r="AI574">
        <v>8</v>
      </c>
      <c r="AJ574">
        <v>9</v>
      </c>
    </row>
    <row r="575" spans="1:36" x14ac:dyDescent="0.25">
      <c r="A575">
        <v>811</v>
      </c>
      <c r="B575">
        <v>30</v>
      </c>
      <c r="C575" t="s">
        <v>9</v>
      </c>
      <c r="D575" t="s">
        <v>16</v>
      </c>
      <c r="E575">
        <v>111</v>
      </c>
      <c r="F575" t="s">
        <v>119</v>
      </c>
      <c r="G575">
        <v>9</v>
      </c>
      <c r="H575">
        <v>3</v>
      </c>
      <c r="I575" t="s">
        <v>17</v>
      </c>
      <c r="J575">
        <v>1</v>
      </c>
      <c r="K575">
        <v>239</v>
      </c>
      <c r="L575">
        <v>3</v>
      </c>
      <c r="M575" t="s">
        <v>23</v>
      </c>
      <c r="N575">
        <v>66</v>
      </c>
      <c r="O575">
        <v>3</v>
      </c>
      <c r="P575">
        <v>2</v>
      </c>
      <c r="Q575" t="s">
        <v>36</v>
      </c>
      <c r="R575">
        <v>1</v>
      </c>
      <c r="S575" t="s">
        <v>26</v>
      </c>
      <c r="T575">
        <v>3072</v>
      </c>
      <c r="U575">
        <v>11012</v>
      </c>
      <c r="V575">
        <v>1</v>
      </c>
      <c r="W575" t="s">
        <v>29</v>
      </c>
      <c r="X575" t="s">
        <v>9</v>
      </c>
      <c r="Y575">
        <v>11</v>
      </c>
      <c r="Z575">
        <v>3</v>
      </c>
      <c r="AA575">
        <v>3</v>
      </c>
      <c r="AB575">
        <v>80</v>
      </c>
      <c r="AC575">
        <v>2</v>
      </c>
      <c r="AD575">
        <v>12</v>
      </c>
      <c r="AE575">
        <v>4</v>
      </c>
      <c r="AF575">
        <v>3</v>
      </c>
      <c r="AG575">
        <v>12</v>
      </c>
      <c r="AH575">
        <v>9</v>
      </c>
      <c r="AI575">
        <v>6</v>
      </c>
      <c r="AJ575">
        <v>10</v>
      </c>
    </row>
    <row r="576" spans="1:36" x14ac:dyDescent="0.25">
      <c r="A576">
        <v>846</v>
      </c>
      <c r="B576">
        <v>28</v>
      </c>
      <c r="C576" t="s">
        <v>9</v>
      </c>
      <c r="D576" t="s">
        <v>15</v>
      </c>
      <c r="E576">
        <v>1300</v>
      </c>
      <c r="F576" t="s">
        <v>119</v>
      </c>
      <c r="G576">
        <v>17</v>
      </c>
      <c r="H576">
        <v>2</v>
      </c>
      <c r="I576" t="s">
        <v>17</v>
      </c>
      <c r="J576">
        <v>1</v>
      </c>
      <c r="K576">
        <v>536</v>
      </c>
      <c r="L576">
        <v>3</v>
      </c>
      <c r="M576" t="s">
        <v>23</v>
      </c>
      <c r="N576">
        <v>79</v>
      </c>
      <c r="O576">
        <v>3</v>
      </c>
      <c r="P576">
        <v>2</v>
      </c>
      <c r="Q576" t="s">
        <v>36</v>
      </c>
      <c r="R576">
        <v>1</v>
      </c>
      <c r="S576" t="s">
        <v>26</v>
      </c>
      <c r="T576">
        <v>4558</v>
      </c>
      <c r="U576">
        <v>13535</v>
      </c>
      <c r="V576">
        <v>1</v>
      </c>
      <c r="W576" t="s">
        <v>29</v>
      </c>
      <c r="X576" t="s">
        <v>9</v>
      </c>
      <c r="Y576">
        <v>12</v>
      </c>
      <c r="Z576">
        <v>3</v>
      </c>
      <c r="AA576">
        <v>4</v>
      </c>
      <c r="AB576">
        <v>80</v>
      </c>
      <c r="AC576">
        <v>1</v>
      </c>
      <c r="AD576">
        <v>10</v>
      </c>
      <c r="AE576">
        <v>2</v>
      </c>
      <c r="AF576">
        <v>3</v>
      </c>
      <c r="AG576">
        <v>10</v>
      </c>
      <c r="AH576">
        <v>0</v>
      </c>
      <c r="AI576">
        <v>1</v>
      </c>
      <c r="AJ576">
        <v>8</v>
      </c>
    </row>
    <row r="577" spans="1:36" x14ac:dyDescent="0.25">
      <c r="A577">
        <v>227</v>
      </c>
      <c r="B577">
        <v>35</v>
      </c>
      <c r="C577" t="s">
        <v>9</v>
      </c>
      <c r="D577" t="s">
        <v>15</v>
      </c>
      <c r="E577">
        <v>464</v>
      </c>
      <c r="F577" t="s">
        <v>119</v>
      </c>
      <c r="G577">
        <v>4</v>
      </c>
      <c r="H577">
        <v>2</v>
      </c>
      <c r="I577" t="s">
        <v>19</v>
      </c>
      <c r="J577">
        <v>1</v>
      </c>
      <c r="K577">
        <v>53</v>
      </c>
      <c r="L577">
        <v>3</v>
      </c>
      <c r="M577" t="s">
        <v>23</v>
      </c>
      <c r="N577">
        <v>75</v>
      </c>
      <c r="O577">
        <v>3</v>
      </c>
      <c r="P577">
        <v>1</v>
      </c>
      <c r="Q577" t="s">
        <v>36</v>
      </c>
      <c r="R577">
        <v>4</v>
      </c>
      <c r="S577" t="s">
        <v>26</v>
      </c>
      <c r="T577">
        <v>1951</v>
      </c>
      <c r="U577">
        <v>10910</v>
      </c>
      <c r="V577">
        <v>1</v>
      </c>
      <c r="W577" t="s">
        <v>29</v>
      </c>
      <c r="X577" t="s">
        <v>9</v>
      </c>
      <c r="Y577">
        <v>12</v>
      </c>
      <c r="Z577">
        <v>3</v>
      </c>
      <c r="AA577">
        <v>3</v>
      </c>
      <c r="AB577">
        <v>80</v>
      </c>
      <c r="AC577">
        <v>1</v>
      </c>
      <c r="AD577">
        <v>1</v>
      </c>
      <c r="AE577">
        <v>3</v>
      </c>
      <c r="AF577">
        <v>3</v>
      </c>
      <c r="AG577">
        <v>1</v>
      </c>
      <c r="AH577">
        <v>0</v>
      </c>
      <c r="AI577">
        <v>0</v>
      </c>
      <c r="AJ577">
        <v>0</v>
      </c>
    </row>
    <row r="578" spans="1:36" x14ac:dyDescent="0.25">
      <c r="A578">
        <v>746</v>
      </c>
      <c r="B578">
        <v>24</v>
      </c>
      <c r="C578" t="s">
        <v>9</v>
      </c>
      <c r="D578" t="s">
        <v>15</v>
      </c>
      <c r="E578">
        <v>350</v>
      </c>
      <c r="F578" t="s">
        <v>119</v>
      </c>
      <c r="G578">
        <v>21</v>
      </c>
      <c r="H578">
        <v>2</v>
      </c>
      <c r="I578" t="s">
        <v>22</v>
      </c>
      <c r="J578">
        <v>1</v>
      </c>
      <c r="K578">
        <v>1551</v>
      </c>
      <c r="L578">
        <v>3</v>
      </c>
      <c r="M578" t="s">
        <v>23</v>
      </c>
      <c r="N578">
        <v>57</v>
      </c>
      <c r="O578">
        <v>2</v>
      </c>
      <c r="P578">
        <v>1</v>
      </c>
      <c r="Q578" t="s">
        <v>36</v>
      </c>
      <c r="R578">
        <v>1</v>
      </c>
      <c r="S578" t="s">
        <v>26</v>
      </c>
      <c r="T578">
        <v>2296</v>
      </c>
      <c r="U578">
        <v>10036</v>
      </c>
      <c r="V578">
        <v>0</v>
      </c>
      <c r="W578" t="s">
        <v>29</v>
      </c>
      <c r="X578" t="s">
        <v>9</v>
      </c>
      <c r="Y578">
        <v>14</v>
      </c>
      <c r="Z578">
        <v>3</v>
      </c>
      <c r="AA578">
        <v>2</v>
      </c>
      <c r="AB578">
        <v>80</v>
      </c>
      <c r="AC578">
        <v>3</v>
      </c>
      <c r="AD578">
        <v>2</v>
      </c>
      <c r="AE578">
        <v>3</v>
      </c>
      <c r="AF578">
        <v>3</v>
      </c>
      <c r="AG578">
        <v>1</v>
      </c>
      <c r="AH578">
        <v>1</v>
      </c>
      <c r="AI578">
        <v>0</v>
      </c>
      <c r="AJ578">
        <v>0</v>
      </c>
    </row>
    <row r="579" spans="1:36" x14ac:dyDescent="0.25">
      <c r="A579">
        <v>742</v>
      </c>
      <c r="B579">
        <v>31</v>
      </c>
      <c r="C579" t="s">
        <v>9</v>
      </c>
      <c r="D579" t="s">
        <v>15</v>
      </c>
      <c r="E579">
        <v>688</v>
      </c>
      <c r="F579" t="s">
        <v>118</v>
      </c>
      <c r="G579">
        <v>7</v>
      </c>
      <c r="H579">
        <v>3</v>
      </c>
      <c r="I579" t="s">
        <v>21</v>
      </c>
      <c r="J579">
        <v>1</v>
      </c>
      <c r="K579">
        <v>613</v>
      </c>
      <c r="L579">
        <v>3</v>
      </c>
      <c r="M579" t="s">
        <v>23</v>
      </c>
      <c r="N579">
        <v>44</v>
      </c>
      <c r="O579">
        <v>2</v>
      </c>
      <c r="P579">
        <v>3</v>
      </c>
      <c r="Q579" t="s">
        <v>35</v>
      </c>
      <c r="R579">
        <v>4</v>
      </c>
      <c r="S579" t="s">
        <v>26</v>
      </c>
      <c r="T579">
        <v>11557</v>
      </c>
      <c r="U579">
        <v>25291</v>
      </c>
      <c r="V579">
        <v>9</v>
      </c>
      <c r="W579" t="s">
        <v>29</v>
      </c>
      <c r="X579" t="s">
        <v>9</v>
      </c>
      <c r="Y579">
        <v>21</v>
      </c>
      <c r="Z579">
        <v>4</v>
      </c>
      <c r="AA579">
        <v>3</v>
      </c>
      <c r="AB579">
        <v>80</v>
      </c>
      <c r="AC579">
        <v>1</v>
      </c>
      <c r="AD579">
        <v>10</v>
      </c>
      <c r="AE579">
        <v>3</v>
      </c>
      <c r="AF579">
        <v>2</v>
      </c>
      <c r="AG579">
        <v>5</v>
      </c>
      <c r="AH579">
        <v>4</v>
      </c>
      <c r="AI579">
        <v>0</v>
      </c>
      <c r="AJ579">
        <v>1</v>
      </c>
    </row>
    <row r="580" spans="1:36" x14ac:dyDescent="0.25">
      <c r="A580">
        <v>175</v>
      </c>
      <c r="B580">
        <v>53</v>
      </c>
      <c r="C580" t="s">
        <v>9</v>
      </c>
      <c r="D580" t="s">
        <v>15</v>
      </c>
      <c r="E580">
        <v>1376</v>
      </c>
      <c r="F580" t="s">
        <v>118</v>
      </c>
      <c r="G580">
        <v>2</v>
      </c>
      <c r="H580">
        <v>2</v>
      </c>
      <c r="I580" t="s">
        <v>17</v>
      </c>
      <c r="J580">
        <v>1</v>
      </c>
      <c r="K580">
        <v>981</v>
      </c>
      <c r="L580">
        <v>3</v>
      </c>
      <c r="M580" t="s">
        <v>23</v>
      </c>
      <c r="N580">
        <v>45</v>
      </c>
      <c r="O580">
        <v>3</v>
      </c>
      <c r="P580">
        <v>4</v>
      </c>
      <c r="Q580" t="s">
        <v>35</v>
      </c>
      <c r="R580">
        <v>3</v>
      </c>
      <c r="S580" t="s">
        <v>26</v>
      </c>
      <c r="T580">
        <v>14852</v>
      </c>
      <c r="U580">
        <v>13938</v>
      </c>
      <c r="V580">
        <v>6</v>
      </c>
      <c r="W580" t="s">
        <v>29</v>
      </c>
      <c r="X580" t="s">
        <v>9</v>
      </c>
      <c r="Y580">
        <v>13</v>
      </c>
      <c r="Z580">
        <v>3</v>
      </c>
      <c r="AA580">
        <v>3</v>
      </c>
      <c r="AB580">
        <v>80</v>
      </c>
      <c r="AC580">
        <v>1</v>
      </c>
      <c r="AD580">
        <v>22</v>
      </c>
      <c r="AE580">
        <v>3</v>
      </c>
      <c r="AF580">
        <v>4</v>
      </c>
      <c r="AG580">
        <v>17</v>
      </c>
      <c r="AH580">
        <v>13</v>
      </c>
      <c r="AI580">
        <v>15</v>
      </c>
      <c r="AJ580">
        <v>2</v>
      </c>
    </row>
    <row r="581" spans="1:36" x14ac:dyDescent="0.25">
      <c r="A581">
        <v>181</v>
      </c>
      <c r="B581">
        <v>35</v>
      </c>
      <c r="C581" t="s">
        <v>9</v>
      </c>
      <c r="D581" t="s">
        <v>15</v>
      </c>
      <c r="E581">
        <v>819</v>
      </c>
      <c r="F581" t="s">
        <v>119</v>
      </c>
      <c r="G581">
        <v>2</v>
      </c>
      <c r="H581">
        <v>3</v>
      </c>
      <c r="I581" t="s">
        <v>21</v>
      </c>
      <c r="J581">
        <v>1</v>
      </c>
      <c r="K581">
        <v>1182</v>
      </c>
      <c r="L581">
        <v>3</v>
      </c>
      <c r="M581" t="s">
        <v>23</v>
      </c>
      <c r="N581">
        <v>44</v>
      </c>
      <c r="O581">
        <v>2</v>
      </c>
      <c r="P581">
        <v>3</v>
      </c>
      <c r="Q581" t="s">
        <v>31</v>
      </c>
      <c r="R581">
        <v>2</v>
      </c>
      <c r="S581" t="s">
        <v>26</v>
      </c>
      <c r="T581">
        <v>10274</v>
      </c>
      <c r="U581">
        <v>19588</v>
      </c>
      <c r="V581">
        <v>2</v>
      </c>
      <c r="W581" t="s">
        <v>29</v>
      </c>
      <c r="X581" t="s">
        <v>9</v>
      </c>
      <c r="Y581">
        <v>18</v>
      </c>
      <c r="Z581">
        <v>3</v>
      </c>
      <c r="AA581">
        <v>2</v>
      </c>
      <c r="AB581">
        <v>80</v>
      </c>
      <c r="AC581">
        <v>1</v>
      </c>
      <c r="AD581">
        <v>15</v>
      </c>
      <c r="AE581">
        <v>2</v>
      </c>
      <c r="AF581">
        <v>4</v>
      </c>
      <c r="AG581">
        <v>7</v>
      </c>
      <c r="AH581">
        <v>7</v>
      </c>
      <c r="AI581">
        <v>6</v>
      </c>
      <c r="AJ581">
        <v>4</v>
      </c>
    </row>
    <row r="582" spans="1:36" x14ac:dyDescent="0.25">
      <c r="A582">
        <v>686</v>
      </c>
      <c r="B582">
        <v>31</v>
      </c>
      <c r="C582" t="s">
        <v>9</v>
      </c>
      <c r="D582" t="s">
        <v>15</v>
      </c>
      <c r="E582">
        <v>1274</v>
      </c>
      <c r="F582" t="s">
        <v>119</v>
      </c>
      <c r="G582">
        <v>9</v>
      </c>
      <c r="H582">
        <v>1</v>
      </c>
      <c r="I582" t="s">
        <v>21</v>
      </c>
      <c r="J582">
        <v>1</v>
      </c>
      <c r="K582">
        <v>581</v>
      </c>
      <c r="L582">
        <v>3</v>
      </c>
      <c r="M582" t="s">
        <v>23</v>
      </c>
      <c r="N582">
        <v>33</v>
      </c>
      <c r="O582">
        <v>3</v>
      </c>
      <c r="P582">
        <v>3</v>
      </c>
      <c r="Q582" t="s">
        <v>31</v>
      </c>
      <c r="R582">
        <v>2</v>
      </c>
      <c r="S582" t="s">
        <v>26</v>
      </c>
      <c r="T582">
        <v>10648</v>
      </c>
      <c r="U582">
        <v>14394</v>
      </c>
      <c r="V582">
        <v>1</v>
      </c>
      <c r="W582" t="s">
        <v>29</v>
      </c>
      <c r="X582" t="s">
        <v>9</v>
      </c>
      <c r="Y582">
        <v>25</v>
      </c>
      <c r="Z582">
        <v>4</v>
      </c>
      <c r="AA582">
        <v>4</v>
      </c>
      <c r="AB582">
        <v>80</v>
      </c>
      <c r="AC582">
        <v>1</v>
      </c>
      <c r="AD582">
        <v>13</v>
      </c>
      <c r="AE582">
        <v>6</v>
      </c>
      <c r="AF582">
        <v>4</v>
      </c>
      <c r="AG582">
        <v>13</v>
      </c>
      <c r="AH582">
        <v>8</v>
      </c>
      <c r="AI582">
        <v>0</v>
      </c>
      <c r="AJ582">
        <v>8</v>
      </c>
    </row>
    <row r="583" spans="1:36" x14ac:dyDescent="0.25">
      <c r="A583">
        <v>622</v>
      </c>
      <c r="B583">
        <v>47</v>
      </c>
      <c r="C583" t="s">
        <v>9</v>
      </c>
      <c r="D583" t="s">
        <v>11</v>
      </c>
      <c r="E583">
        <v>1379</v>
      </c>
      <c r="F583" t="s">
        <v>119</v>
      </c>
      <c r="G583">
        <v>16</v>
      </c>
      <c r="H583">
        <v>4</v>
      </c>
      <c r="I583" t="s">
        <v>17</v>
      </c>
      <c r="J583">
        <v>1</v>
      </c>
      <c r="K583">
        <v>987</v>
      </c>
      <c r="L583">
        <v>3</v>
      </c>
      <c r="M583" t="s">
        <v>23</v>
      </c>
      <c r="N583">
        <v>64</v>
      </c>
      <c r="O583">
        <v>4</v>
      </c>
      <c r="P583">
        <v>2</v>
      </c>
      <c r="Q583" t="s">
        <v>31</v>
      </c>
      <c r="R583">
        <v>3</v>
      </c>
      <c r="S583" t="s">
        <v>26</v>
      </c>
      <c r="T583">
        <v>5067</v>
      </c>
      <c r="U583">
        <v>6759</v>
      </c>
      <c r="V583">
        <v>1</v>
      </c>
      <c r="W583" t="s">
        <v>29</v>
      </c>
      <c r="X583" t="s">
        <v>10</v>
      </c>
      <c r="Y583">
        <v>19</v>
      </c>
      <c r="Z583">
        <v>3</v>
      </c>
      <c r="AA583">
        <v>3</v>
      </c>
      <c r="AB583">
        <v>80</v>
      </c>
      <c r="AC583">
        <v>0</v>
      </c>
      <c r="AD583">
        <v>20</v>
      </c>
      <c r="AE583">
        <v>3</v>
      </c>
      <c r="AF583">
        <v>4</v>
      </c>
      <c r="AG583">
        <v>19</v>
      </c>
      <c r="AH583">
        <v>10</v>
      </c>
      <c r="AI583">
        <v>2</v>
      </c>
      <c r="AJ583">
        <v>7</v>
      </c>
    </row>
    <row r="584" spans="1:36" x14ac:dyDescent="0.25">
      <c r="A584">
        <v>628</v>
      </c>
      <c r="B584">
        <v>38</v>
      </c>
      <c r="C584" t="s">
        <v>9</v>
      </c>
      <c r="D584" t="s">
        <v>15</v>
      </c>
      <c r="E584">
        <v>343</v>
      </c>
      <c r="F584" t="s">
        <v>119</v>
      </c>
      <c r="G584">
        <v>15</v>
      </c>
      <c r="H584">
        <v>2</v>
      </c>
      <c r="I584" t="s">
        <v>21</v>
      </c>
      <c r="J584">
        <v>1</v>
      </c>
      <c r="K584">
        <v>461</v>
      </c>
      <c r="L584">
        <v>3</v>
      </c>
      <c r="M584" t="s">
        <v>23</v>
      </c>
      <c r="N584">
        <v>92</v>
      </c>
      <c r="O584">
        <v>2</v>
      </c>
      <c r="P584">
        <v>3</v>
      </c>
      <c r="Q584" t="s">
        <v>30</v>
      </c>
      <c r="R584">
        <v>4</v>
      </c>
      <c r="S584" t="s">
        <v>26</v>
      </c>
      <c r="T584">
        <v>11510</v>
      </c>
      <c r="U584">
        <v>15682</v>
      </c>
      <c r="V584">
        <v>0</v>
      </c>
      <c r="W584" t="s">
        <v>29</v>
      </c>
      <c r="X584" t="s">
        <v>10</v>
      </c>
      <c r="Y584">
        <v>14</v>
      </c>
      <c r="Z584">
        <v>3</v>
      </c>
      <c r="AA584">
        <v>2</v>
      </c>
      <c r="AB584">
        <v>80</v>
      </c>
      <c r="AC584">
        <v>1</v>
      </c>
      <c r="AD584">
        <v>12</v>
      </c>
      <c r="AE584">
        <v>3</v>
      </c>
      <c r="AF584">
        <v>3</v>
      </c>
      <c r="AG584">
        <v>11</v>
      </c>
      <c r="AH584">
        <v>10</v>
      </c>
      <c r="AI584">
        <v>2</v>
      </c>
      <c r="AJ584">
        <v>9</v>
      </c>
    </row>
    <row r="585" spans="1:36" x14ac:dyDescent="0.25">
      <c r="A585">
        <v>445</v>
      </c>
      <c r="B585">
        <v>46</v>
      </c>
      <c r="C585" t="s">
        <v>9</v>
      </c>
      <c r="D585" t="s">
        <v>15</v>
      </c>
      <c r="E585">
        <v>734</v>
      </c>
      <c r="F585" t="s">
        <v>119</v>
      </c>
      <c r="G585">
        <v>2</v>
      </c>
      <c r="H585">
        <v>4</v>
      </c>
      <c r="I585" t="s">
        <v>17</v>
      </c>
      <c r="J585">
        <v>1</v>
      </c>
      <c r="K585">
        <v>1789</v>
      </c>
      <c r="L585">
        <v>3</v>
      </c>
      <c r="M585" t="s">
        <v>23</v>
      </c>
      <c r="N585">
        <v>46</v>
      </c>
      <c r="O585">
        <v>3</v>
      </c>
      <c r="P585">
        <v>5</v>
      </c>
      <c r="Q585" t="s">
        <v>30</v>
      </c>
      <c r="R585">
        <v>4</v>
      </c>
      <c r="S585" t="s">
        <v>26</v>
      </c>
      <c r="T585">
        <v>19328</v>
      </c>
      <c r="U585">
        <v>14218</v>
      </c>
      <c r="V585">
        <v>7</v>
      </c>
      <c r="W585" t="s">
        <v>29</v>
      </c>
      <c r="X585" t="s">
        <v>10</v>
      </c>
      <c r="Y585">
        <v>17</v>
      </c>
      <c r="Z585">
        <v>3</v>
      </c>
      <c r="AA585">
        <v>3</v>
      </c>
      <c r="AB585">
        <v>80</v>
      </c>
      <c r="AC585">
        <v>1</v>
      </c>
      <c r="AD585">
        <v>24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2</v>
      </c>
    </row>
    <row r="586" spans="1:36" x14ac:dyDescent="0.25">
      <c r="A586">
        <v>111</v>
      </c>
      <c r="B586">
        <v>28</v>
      </c>
      <c r="C586" t="s">
        <v>9</v>
      </c>
      <c r="D586" t="s">
        <v>11</v>
      </c>
      <c r="E586">
        <v>773</v>
      </c>
      <c r="F586" t="s">
        <v>119</v>
      </c>
      <c r="G586">
        <v>6</v>
      </c>
      <c r="H586">
        <v>3</v>
      </c>
      <c r="I586" t="s">
        <v>21</v>
      </c>
      <c r="J586">
        <v>1</v>
      </c>
      <c r="K586">
        <v>1154</v>
      </c>
      <c r="L586">
        <v>3</v>
      </c>
      <c r="M586" t="s">
        <v>23</v>
      </c>
      <c r="N586">
        <v>39</v>
      </c>
      <c r="O586">
        <v>2</v>
      </c>
      <c r="P586">
        <v>1</v>
      </c>
      <c r="Q586" t="s">
        <v>32</v>
      </c>
      <c r="R586">
        <v>3</v>
      </c>
      <c r="S586" t="s">
        <v>26</v>
      </c>
      <c r="T586">
        <v>2703</v>
      </c>
      <c r="U586">
        <v>22088</v>
      </c>
      <c r="V586">
        <v>1</v>
      </c>
      <c r="W586" t="s">
        <v>29</v>
      </c>
      <c r="X586" t="s">
        <v>10</v>
      </c>
      <c r="Y586">
        <v>14</v>
      </c>
      <c r="Z586">
        <v>3</v>
      </c>
      <c r="AA586">
        <v>4</v>
      </c>
      <c r="AB586">
        <v>80</v>
      </c>
      <c r="AC586">
        <v>1</v>
      </c>
      <c r="AD586">
        <v>3</v>
      </c>
      <c r="AE586">
        <v>2</v>
      </c>
      <c r="AF586">
        <v>3</v>
      </c>
      <c r="AG586">
        <v>3</v>
      </c>
      <c r="AH586">
        <v>1</v>
      </c>
      <c r="AI586">
        <v>0</v>
      </c>
      <c r="AJ586">
        <v>2</v>
      </c>
    </row>
    <row r="587" spans="1:36" x14ac:dyDescent="0.25">
      <c r="A587">
        <v>396</v>
      </c>
      <c r="B587">
        <v>31</v>
      </c>
      <c r="C587" t="s">
        <v>9</v>
      </c>
      <c r="D587" t="s">
        <v>15</v>
      </c>
      <c r="E587">
        <v>192</v>
      </c>
      <c r="F587" t="s">
        <v>119</v>
      </c>
      <c r="G587">
        <v>2</v>
      </c>
      <c r="H587">
        <v>4</v>
      </c>
      <c r="I587" t="s">
        <v>21</v>
      </c>
      <c r="J587">
        <v>1</v>
      </c>
      <c r="K587">
        <v>426</v>
      </c>
      <c r="L587">
        <v>3</v>
      </c>
      <c r="M587" t="s">
        <v>23</v>
      </c>
      <c r="N587">
        <v>32</v>
      </c>
      <c r="O587">
        <v>3</v>
      </c>
      <c r="P587">
        <v>1</v>
      </c>
      <c r="Q587" t="s">
        <v>32</v>
      </c>
      <c r="R587">
        <v>4</v>
      </c>
      <c r="S587" t="s">
        <v>26</v>
      </c>
      <c r="T587">
        <v>2695</v>
      </c>
      <c r="U587">
        <v>7747</v>
      </c>
      <c r="V587">
        <v>0</v>
      </c>
      <c r="W587" t="s">
        <v>29</v>
      </c>
      <c r="X587" t="s">
        <v>10</v>
      </c>
      <c r="Y587">
        <v>18</v>
      </c>
      <c r="Z587">
        <v>3</v>
      </c>
      <c r="AA587">
        <v>2</v>
      </c>
      <c r="AB587">
        <v>80</v>
      </c>
      <c r="AC587">
        <v>1</v>
      </c>
      <c r="AD587">
        <v>3</v>
      </c>
      <c r="AE587">
        <v>2</v>
      </c>
      <c r="AF587">
        <v>1</v>
      </c>
      <c r="AG587">
        <v>2</v>
      </c>
      <c r="AH587">
        <v>2</v>
      </c>
      <c r="AI587">
        <v>2</v>
      </c>
      <c r="AJ587">
        <v>2</v>
      </c>
    </row>
    <row r="588" spans="1:36" x14ac:dyDescent="0.25">
      <c r="A588">
        <v>432</v>
      </c>
      <c r="B588">
        <v>40</v>
      </c>
      <c r="C588" t="s">
        <v>9</v>
      </c>
      <c r="D588" t="s">
        <v>16</v>
      </c>
      <c r="E588">
        <v>458</v>
      </c>
      <c r="F588" t="s">
        <v>119</v>
      </c>
      <c r="G588">
        <v>16</v>
      </c>
      <c r="H588">
        <v>2</v>
      </c>
      <c r="I588" t="s">
        <v>21</v>
      </c>
      <c r="J588">
        <v>1</v>
      </c>
      <c r="K588">
        <v>1340</v>
      </c>
      <c r="L588">
        <v>3</v>
      </c>
      <c r="M588" t="s">
        <v>23</v>
      </c>
      <c r="N588">
        <v>74</v>
      </c>
      <c r="O588">
        <v>3</v>
      </c>
      <c r="P588">
        <v>1</v>
      </c>
      <c r="Q588" t="s">
        <v>32</v>
      </c>
      <c r="R588">
        <v>3</v>
      </c>
      <c r="S588" t="s">
        <v>26</v>
      </c>
      <c r="T588">
        <v>3544</v>
      </c>
      <c r="U588">
        <v>8532</v>
      </c>
      <c r="V588">
        <v>9</v>
      </c>
      <c r="W588" t="s">
        <v>29</v>
      </c>
      <c r="X588" t="s">
        <v>9</v>
      </c>
      <c r="Y588">
        <v>16</v>
      </c>
      <c r="Z588">
        <v>3</v>
      </c>
      <c r="AA588">
        <v>2</v>
      </c>
      <c r="AB588">
        <v>80</v>
      </c>
      <c r="AC588">
        <v>1</v>
      </c>
      <c r="AD588">
        <v>6</v>
      </c>
      <c r="AE588">
        <v>0</v>
      </c>
      <c r="AF588">
        <v>3</v>
      </c>
      <c r="AG588">
        <v>4</v>
      </c>
      <c r="AH588">
        <v>2</v>
      </c>
      <c r="AI588">
        <v>0</v>
      </c>
      <c r="AJ588">
        <v>0</v>
      </c>
    </row>
    <row r="589" spans="1:36" x14ac:dyDescent="0.25">
      <c r="A589">
        <v>84</v>
      </c>
      <c r="B589">
        <v>37</v>
      </c>
      <c r="C589" t="s">
        <v>9</v>
      </c>
      <c r="D589" t="s">
        <v>15</v>
      </c>
      <c r="E589">
        <v>1319</v>
      </c>
      <c r="F589" t="s">
        <v>119</v>
      </c>
      <c r="G589">
        <v>6</v>
      </c>
      <c r="H589">
        <v>3</v>
      </c>
      <c r="I589" t="s">
        <v>17</v>
      </c>
      <c r="J589">
        <v>1</v>
      </c>
      <c r="K589">
        <v>474</v>
      </c>
      <c r="L589">
        <v>3</v>
      </c>
      <c r="M589" t="s">
        <v>23</v>
      </c>
      <c r="N589">
        <v>51</v>
      </c>
      <c r="O589">
        <v>4</v>
      </c>
      <c r="P589">
        <v>2</v>
      </c>
      <c r="Q589" t="s">
        <v>32</v>
      </c>
      <c r="R589">
        <v>1</v>
      </c>
      <c r="S589" t="s">
        <v>26</v>
      </c>
      <c r="T589">
        <v>5974</v>
      </c>
      <c r="U589">
        <v>17001</v>
      </c>
      <c r="V589">
        <v>4</v>
      </c>
      <c r="W589" t="s">
        <v>29</v>
      </c>
      <c r="X589" t="s">
        <v>10</v>
      </c>
      <c r="Y589">
        <v>13</v>
      </c>
      <c r="Z589">
        <v>3</v>
      </c>
      <c r="AA589">
        <v>1</v>
      </c>
      <c r="AB589">
        <v>80</v>
      </c>
      <c r="AC589">
        <v>2</v>
      </c>
      <c r="AD589">
        <v>13</v>
      </c>
      <c r="AE589">
        <v>2</v>
      </c>
      <c r="AF589">
        <v>3</v>
      </c>
      <c r="AG589">
        <v>7</v>
      </c>
      <c r="AH589">
        <v>7</v>
      </c>
      <c r="AI589">
        <v>6</v>
      </c>
      <c r="AJ589">
        <v>7</v>
      </c>
    </row>
    <row r="590" spans="1:36" x14ac:dyDescent="0.25">
      <c r="A590">
        <v>216</v>
      </c>
      <c r="B590">
        <v>40</v>
      </c>
      <c r="C590" t="s">
        <v>9</v>
      </c>
      <c r="D590" t="s">
        <v>15</v>
      </c>
      <c r="E590">
        <v>896</v>
      </c>
      <c r="F590" t="s">
        <v>119</v>
      </c>
      <c r="G590">
        <v>2</v>
      </c>
      <c r="H590">
        <v>3</v>
      </c>
      <c r="I590" t="s">
        <v>17</v>
      </c>
      <c r="J590">
        <v>1</v>
      </c>
      <c r="K590">
        <v>1474</v>
      </c>
      <c r="L590">
        <v>3</v>
      </c>
      <c r="M590" t="s">
        <v>23</v>
      </c>
      <c r="N590">
        <v>68</v>
      </c>
      <c r="O590">
        <v>3</v>
      </c>
      <c r="P590">
        <v>1</v>
      </c>
      <c r="Q590" t="s">
        <v>32</v>
      </c>
      <c r="R590">
        <v>3</v>
      </c>
      <c r="S590" t="s">
        <v>26</v>
      </c>
      <c r="T590">
        <v>2345</v>
      </c>
      <c r="U590">
        <v>8045</v>
      </c>
      <c r="V590">
        <v>2</v>
      </c>
      <c r="W590" t="s">
        <v>29</v>
      </c>
      <c r="X590" t="s">
        <v>9</v>
      </c>
      <c r="Y590">
        <v>14</v>
      </c>
      <c r="Z590">
        <v>3</v>
      </c>
      <c r="AA590">
        <v>3</v>
      </c>
      <c r="AB590">
        <v>80</v>
      </c>
      <c r="AC590">
        <v>1</v>
      </c>
      <c r="AD590">
        <v>8</v>
      </c>
      <c r="AE590">
        <v>3</v>
      </c>
      <c r="AF590">
        <v>4</v>
      </c>
      <c r="AG590">
        <v>3</v>
      </c>
      <c r="AH590">
        <v>1</v>
      </c>
      <c r="AI590">
        <v>1</v>
      </c>
      <c r="AJ590">
        <v>2</v>
      </c>
    </row>
    <row r="591" spans="1:36" x14ac:dyDescent="0.25">
      <c r="A591">
        <v>393</v>
      </c>
      <c r="B591">
        <v>31</v>
      </c>
      <c r="C591" t="s">
        <v>9</v>
      </c>
      <c r="D591" t="s">
        <v>16</v>
      </c>
      <c r="E591">
        <v>976</v>
      </c>
      <c r="F591" t="s">
        <v>119</v>
      </c>
      <c r="G591">
        <v>3</v>
      </c>
      <c r="H591">
        <v>2</v>
      </c>
      <c r="I591" t="s">
        <v>17</v>
      </c>
      <c r="J591">
        <v>1</v>
      </c>
      <c r="K591">
        <v>1948</v>
      </c>
      <c r="L591">
        <v>3</v>
      </c>
      <c r="M591" t="s">
        <v>23</v>
      </c>
      <c r="N591">
        <v>48</v>
      </c>
      <c r="O591">
        <v>3</v>
      </c>
      <c r="P591">
        <v>1</v>
      </c>
      <c r="Q591" t="s">
        <v>32</v>
      </c>
      <c r="R591">
        <v>1</v>
      </c>
      <c r="S591" t="s">
        <v>26</v>
      </c>
      <c r="T591">
        <v>3065</v>
      </c>
      <c r="U591">
        <v>3995</v>
      </c>
      <c r="V591">
        <v>1</v>
      </c>
      <c r="W591" t="s">
        <v>29</v>
      </c>
      <c r="X591" t="s">
        <v>10</v>
      </c>
      <c r="Y591">
        <v>13</v>
      </c>
      <c r="Z591">
        <v>3</v>
      </c>
      <c r="AA591">
        <v>4</v>
      </c>
      <c r="AB591">
        <v>80</v>
      </c>
      <c r="AC591">
        <v>1</v>
      </c>
      <c r="AD591">
        <v>4</v>
      </c>
      <c r="AE591">
        <v>3</v>
      </c>
      <c r="AF591">
        <v>4</v>
      </c>
      <c r="AG591">
        <v>4</v>
      </c>
      <c r="AH591">
        <v>2</v>
      </c>
      <c r="AI591">
        <v>2</v>
      </c>
      <c r="AJ591">
        <v>3</v>
      </c>
    </row>
    <row r="592" spans="1:36" x14ac:dyDescent="0.25">
      <c r="A592">
        <v>543</v>
      </c>
      <c r="B592">
        <v>27</v>
      </c>
      <c r="C592" t="s">
        <v>9</v>
      </c>
      <c r="D592" t="s">
        <v>16</v>
      </c>
      <c r="E592">
        <v>1450</v>
      </c>
      <c r="F592" t="s">
        <v>119</v>
      </c>
      <c r="G592">
        <v>3</v>
      </c>
      <c r="H592">
        <v>3</v>
      </c>
      <c r="I592" t="s">
        <v>17</v>
      </c>
      <c r="J592">
        <v>1</v>
      </c>
      <c r="K592">
        <v>224</v>
      </c>
      <c r="L592">
        <v>3</v>
      </c>
      <c r="M592" t="s">
        <v>23</v>
      </c>
      <c r="N592">
        <v>79</v>
      </c>
      <c r="O592">
        <v>2</v>
      </c>
      <c r="P592">
        <v>1</v>
      </c>
      <c r="Q592" t="s">
        <v>32</v>
      </c>
      <c r="R592">
        <v>3</v>
      </c>
      <c r="S592" t="s">
        <v>26</v>
      </c>
      <c r="T592">
        <v>2566</v>
      </c>
      <c r="U592">
        <v>25326</v>
      </c>
      <c r="V592">
        <v>1</v>
      </c>
      <c r="W592" t="s">
        <v>29</v>
      </c>
      <c r="X592" t="s">
        <v>10</v>
      </c>
      <c r="Y592">
        <v>15</v>
      </c>
      <c r="Z592">
        <v>3</v>
      </c>
      <c r="AA592">
        <v>4</v>
      </c>
      <c r="AB592">
        <v>80</v>
      </c>
      <c r="AC592">
        <v>1</v>
      </c>
      <c r="AD592">
        <v>1</v>
      </c>
      <c r="AE592">
        <v>2</v>
      </c>
      <c r="AF592">
        <v>2</v>
      </c>
      <c r="AG592">
        <v>1</v>
      </c>
      <c r="AH592">
        <v>1</v>
      </c>
      <c r="AI592">
        <v>0</v>
      </c>
      <c r="AJ592">
        <v>1</v>
      </c>
    </row>
    <row r="593" spans="1:36" x14ac:dyDescent="0.25">
      <c r="A593">
        <v>427</v>
      </c>
      <c r="B593">
        <v>30</v>
      </c>
      <c r="C593" t="s">
        <v>9</v>
      </c>
      <c r="D593" t="s">
        <v>16</v>
      </c>
      <c r="E593">
        <v>990</v>
      </c>
      <c r="F593" t="s">
        <v>119</v>
      </c>
      <c r="G593">
        <v>7</v>
      </c>
      <c r="H593">
        <v>3</v>
      </c>
      <c r="I593" t="s">
        <v>22</v>
      </c>
      <c r="J593">
        <v>1</v>
      </c>
      <c r="K593">
        <v>1482</v>
      </c>
      <c r="L593">
        <v>3</v>
      </c>
      <c r="M593" t="s">
        <v>23</v>
      </c>
      <c r="N593">
        <v>64</v>
      </c>
      <c r="O593">
        <v>3</v>
      </c>
      <c r="P593">
        <v>1</v>
      </c>
      <c r="Q593" t="s">
        <v>32</v>
      </c>
      <c r="R593">
        <v>3</v>
      </c>
      <c r="S593" t="s">
        <v>26</v>
      </c>
      <c r="T593">
        <v>1274</v>
      </c>
      <c r="U593">
        <v>7152</v>
      </c>
      <c r="V593">
        <v>1</v>
      </c>
      <c r="W593" t="s">
        <v>29</v>
      </c>
      <c r="X593" t="s">
        <v>9</v>
      </c>
      <c r="Y593">
        <v>13</v>
      </c>
      <c r="Z593">
        <v>3</v>
      </c>
      <c r="AA593">
        <v>2</v>
      </c>
      <c r="AB593">
        <v>80</v>
      </c>
      <c r="AC593">
        <v>2</v>
      </c>
      <c r="AD593">
        <v>1</v>
      </c>
      <c r="AE593">
        <v>2</v>
      </c>
      <c r="AF593">
        <v>2</v>
      </c>
      <c r="AG593">
        <v>1</v>
      </c>
      <c r="AH593">
        <v>0</v>
      </c>
      <c r="AI593">
        <v>0</v>
      </c>
      <c r="AJ593">
        <v>0</v>
      </c>
    </row>
    <row r="594" spans="1:36" x14ac:dyDescent="0.25">
      <c r="A594" s="15">
        <v>57</v>
      </c>
      <c r="B594" s="15">
        <v>42</v>
      </c>
      <c r="C594" s="15" t="s">
        <v>10</v>
      </c>
      <c r="D594" s="15" t="s">
        <v>11</v>
      </c>
      <c r="E594" s="15">
        <v>933</v>
      </c>
      <c r="F594" s="15" t="s">
        <v>119</v>
      </c>
      <c r="G594" s="15">
        <v>19</v>
      </c>
      <c r="H594" s="15">
        <v>3</v>
      </c>
      <c r="I594" s="15" t="s">
        <v>17</v>
      </c>
      <c r="J594" s="15">
        <v>1</v>
      </c>
      <c r="K594" s="15">
        <v>752</v>
      </c>
      <c r="L594" s="15">
        <v>3</v>
      </c>
      <c r="M594" s="15" t="s">
        <v>23</v>
      </c>
      <c r="N594" s="15">
        <v>57</v>
      </c>
      <c r="O594" s="15">
        <v>4</v>
      </c>
      <c r="P594" s="15">
        <v>1</v>
      </c>
      <c r="Q594" s="15" t="s">
        <v>32</v>
      </c>
      <c r="R594" s="15">
        <v>3</v>
      </c>
      <c r="S594" s="15" t="s">
        <v>26</v>
      </c>
      <c r="T594" s="15">
        <v>2759</v>
      </c>
      <c r="U594" s="15">
        <v>20366</v>
      </c>
      <c r="V594" s="15">
        <v>6</v>
      </c>
      <c r="W594" s="15" t="s">
        <v>29</v>
      </c>
      <c r="X594" s="15" t="s">
        <v>10</v>
      </c>
      <c r="Y594" s="15">
        <v>12</v>
      </c>
      <c r="Z594" s="15">
        <v>3</v>
      </c>
      <c r="AA594" s="15">
        <v>4</v>
      </c>
      <c r="AB594" s="15">
        <v>80</v>
      </c>
      <c r="AC594" s="15">
        <v>0</v>
      </c>
      <c r="AD594" s="15">
        <v>7</v>
      </c>
      <c r="AE594" s="15">
        <v>2</v>
      </c>
      <c r="AF594" s="15">
        <v>3</v>
      </c>
      <c r="AG594" s="15">
        <v>2</v>
      </c>
      <c r="AH594" s="15">
        <v>2</v>
      </c>
      <c r="AI594" s="15">
        <v>2</v>
      </c>
      <c r="AJ594" s="15">
        <v>2</v>
      </c>
    </row>
    <row r="595" spans="1:36" x14ac:dyDescent="0.25">
      <c r="A595">
        <v>210</v>
      </c>
      <c r="B595">
        <v>41</v>
      </c>
      <c r="C595" t="s">
        <v>9</v>
      </c>
      <c r="D595" t="s">
        <v>15</v>
      </c>
      <c r="E595">
        <v>802</v>
      </c>
      <c r="F595" t="s">
        <v>118</v>
      </c>
      <c r="G595">
        <v>9</v>
      </c>
      <c r="H595">
        <v>1</v>
      </c>
      <c r="I595" t="s">
        <v>21</v>
      </c>
      <c r="J595">
        <v>1</v>
      </c>
      <c r="K595">
        <v>176</v>
      </c>
      <c r="L595">
        <v>3</v>
      </c>
      <c r="M595" t="s">
        <v>23</v>
      </c>
      <c r="N595">
        <v>96</v>
      </c>
      <c r="O595">
        <v>3</v>
      </c>
      <c r="P595">
        <v>3</v>
      </c>
      <c r="Q595" t="s">
        <v>25</v>
      </c>
      <c r="R595">
        <v>3</v>
      </c>
      <c r="S595" t="s">
        <v>26</v>
      </c>
      <c r="T595">
        <v>8189</v>
      </c>
      <c r="U595">
        <v>21196</v>
      </c>
      <c r="V595">
        <v>3</v>
      </c>
      <c r="W595" t="s">
        <v>29</v>
      </c>
      <c r="X595" t="s">
        <v>10</v>
      </c>
      <c r="Y595">
        <v>13</v>
      </c>
      <c r="Z595">
        <v>3</v>
      </c>
      <c r="AA595">
        <v>3</v>
      </c>
      <c r="AB595">
        <v>80</v>
      </c>
      <c r="AC595">
        <v>1</v>
      </c>
      <c r="AD595">
        <v>12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7</v>
      </c>
    </row>
    <row r="596" spans="1:36" x14ac:dyDescent="0.25">
      <c r="A596">
        <v>345</v>
      </c>
      <c r="B596">
        <v>30</v>
      </c>
      <c r="C596" t="s">
        <v>9</v>
      </c>
      <c r="D596" t="s">
        <v>15</v>
      </c>
      <c r="E596">
        <v>1329</v>
      </c>
      <c r="F596" t="s">
        <v>118</v>
      </c>
      <c r="G596">
        <v>29</v>
      </c>
      <c r="H596">
        <v>4</v>
      </c>
      <c r="I596" t="s">
        <v>21</v>
      </c>
      <c r="J596">
        <v>1</v>
      </c>
      <c r="K596">
        <v>1211</v>
      </c>
      <c r="L596">
        <v>3</v>
      </c>
      <c r="M596" t="s">
        <v>23</v>
      </c>
      <c r="N596">
        <v>61</v>
      </c>
      <c r="O596">
        <v>3</v>
      </c>
      <c r="P596">
        <v>2</v>
      </c>
      <c r="Q596" t="s">
        <v>25</v>
      </c>
      <c r="R596">
        <v>1</v>
      </c>
      <c r="S596" t="s">
        <v>26</v>
      </c>
      <c r="T596">
        <v>4115</v>
      </c>
      <c r="U596">
        <v>13192</v>
      </c>
      <c r="V596">
        <v>8</v>
      </c>
      <c r="W596" t="s">
        <v>29</v>
      </c>
      <c r="X596" t="s">
        <v>9</v>
      </c>
      <c r="Y596">
        <v>19</v>
      </c>
      <c r="Z596">
        <v>3</v>
      </c>
      <c r="AA596">
        <v>3</v>
      </c>
      <c r="AB596">
        <v>80</v>
      </c>
      <c r="AC596">
        <v>3</v>
      </c>
      <c r="AD596">
        <v>8</v>
      </c>
      <c r="AE596">
        <v>3</v>
      </c>
      <c r="AF596">
        <v>3</v>
      </c>
      <c r="AG596">
        <v>4</v>
      </c>
      <c r="AH596">
        <v>3</v>
      </c>
      <c r="AI596">
        <v>0</v>
      </c>
      <c r="AJ596">
        <v>3</v>
      </c>
    </row>
    <row r="597" spans="1:36" x14ac:dyDescent="0.25">
      <c r="A597">
        <v>663</v>
      </c>
      <c r="B597">
        <v>46</v>
      </c>
      <c r="C597" t="s">
        <v>9</v>
      </c>
      <c r="D597" t="s">
        <v>15</v>
      </c>
      <c r="E597">
        <v>1277</v>
      </c>
      <c r="F597" t="s">
        <v>118</v>
      </c>
      <c r="G597">
        <v>2</v>
      </c>
      <c r="H597">
        <v>3</v>
      </c>
      <c r="I597" t="s">
        <v>21</v>
      </c>
      <c r="J597">
        <v>1</v>
      </c>
      <c r="K597">
        <v>1732</v>
      </c>
      <c r="L597">
        <v>3</v>
      </c>
      <c r="M597" t="s">
        <v>23</v>
      </c>
      <c r="N597">
        <v>74</v>
      </c>
      <c r="O597">
        <v>3</v>
      </c>
      <c r="P597">
        <v>3</v>
      </c>
      <c r="Q597" t="s">
        <v>25</v>
      </c>
      <c r="R597">
        <v>4</v>
      </c>
      <c r="S597" t="s">
        <v>26</v>
      </c>
      <c r="T597">
        <v>10368</v>
      </c>
      <c r="U597">
        <v>5596</v>
      </c>
      <c r="V597">
        <v>4</v>
      </c>
      <c r="W597" t="s">
        <v>29</v>
      </c>
      <c r="X597" t="s">
        <v>10</v>
      </c>
      <c r="Y597">
        <v>12</v>
      </c>
      <c r="Z597">
        <v>3</v>
      </c>
      <c r="AA597">
        <v>2</v>
      </c>
      <c r="AB597">
        <v>80</v>
      </c>
      <c r="AC597">
        <v>1</v>
      </c>
      <c r="AD597">
        <v>13</v>
      </c>
      <c r="AE597">
        <v>5</v>
      </c>
      <c r="AF597">
        <v>2</v>
      </c>
      <c r="AG597">
        <v>10</v>
      </c>
      <c r="AH597">
        <v>6</v>
      </c>
      <c r="AI597">
        <v>0</v>
      </c>
      <c r="AJ597">
        <v>3</v>
      </c>
    </row>
    <row r="598" spans="1:36" x14ac:dyDescent="0.25">
      <c r="A598">
        <v>48</v>
      </c>
      <c r="B598">
        <v>38</v>
      </c>
      <c r="C598" t="s">
        <v>9</v>
      </c>
      <c r="D598" t="s">
        <v>15</v>
      </c>
      <c r="E598">
        <v>770</v>
      </c>
      <c r="F598" t="s">
        <v>118</v>
      </c>
      <c r="G598">
        <v>10</v>
      </c>
      <c r="H598">
        <v>4</v>
      </c>
      <c r="I598" t="s">
        <v>18</v>
      </c>
      <c r="J598">
        <v>1</v>
      </c>
      <c r="K598">
        <v>1119</v>
      </c>
      <c r="L598">
        <v>3</v>
      </c>
      <c r="M598" t="s">
        <v>23</v>
      </c>
      <c r="N598">
        <v>73</v>
      </c>
      <c r="O598">
        <v>2</v>
      </c>
      <c r="P598">
        <v>3</v>
      </c>
      <c r="Q598" t="s">
        <v>25</v>
      </c>
      <c r="R598">
        <v>3</v>
      </c>
      <c r="S598" t="s">
        <v>26</v>
      </c>
      <c r="T598">
        <v>8740</v>
      </c>
      <c r="U598">
        <v>5569</v>
      </c>
      <c r="V598">
        <v>0</v>
      </c>
      <c r="W598" t="s">
        <v>29</v>
      </c>
      <c r="X598" t="s">
        <v>10</v>
      </c>
      <c r="Y598">
        <v>14</v>
      </c>
      <c r="Z598">
        <v>3</v>
      </c>
      <c r="AA598">
        <v>2</v>
      </c>
      <c r="AB598">
        <v>80</v>
      </c>
      <c r="AC598">
        <v>2</v>
      </c>
      <c r="AD598">
        <v>9</v>
      </c>
      <c r="AE598">
        <v>2</v>
      </c>
      <c r="AF598">
        <v>3</v>
      </c>
      <c r="AG598">
        <v>8</v>
      </c>
      <c r="AH598">
        <v>7</v>
      </c>
      <c r="AI598">
        <v>2</v>
      </c>
      <c r="AJ598">
        <v>7</v>
      </c>
    </row>
    <row r="599" spans="1:36" x14ac:dyDescent="0.25">
      <c r="A599">
        <v>163</v>
      </c>
      <c r="B599">
        <v>33</v>
      </c>
      <c r="C599" t="s">
        <v>9</v>
      </c>
      <c r="D599" t="s">
        <v>15</v>
      </c>
      <c r="E599">
        <v>1216</v>
      </c>
      <c r="F599" t="s">
        <v>118</v>
      </c>
      <c r="G599">
        <v>8</v>
      </c>
      <c r="H599">
        <v>4</v>
      </c>
      <c r="I599" t="s">
        <v>18</v>
      </c>
      <c r="J599">
        <v>1</v>
      </c>
      <c r="K599">
        <v>677</v>
      </c>
      <c r="L599">
        <v>3</v>
      </c>
      <c r="M599" t="s">
        <v>23</v>
      </c>
      <c r="N599">
        <v>39</v>
      </c>
      <c r="O599">
        <v>3</v>
      </c>
      <c r="P599">
        <v>2</v>
      </c>
      <c r="Q599" t="s">
        <v>25</v>
      </c>
      <c r="R599">
        <v>3</v>
      </c>
      <c r="S599" t="s">
        <v>26</v>
      </c>
      <c r="T599">
        <v>7104</v>
      </c>
      <c r="U599">
        <v>20431</v>
      </c>
      <c r="V599">
        <v>0</v>
      </c>
      <c r="W599" t="s">
        <v>29</v>
      </c>
      <c r="X599" t="s">
        <v>9</v>
      </c>
      <c r="Y599">
        <v>12</v>
      </c>
      <c r="Z599">
        <v>3</v>
      </c>
      <c r="AA599">
        <v>4</v>
      </c>
      <c r="AB599">
        <v>80</v>
      </c>
      <c r="AC599">
        <v>0</v>
      </c>
      <c r="AD599">
        <v>6</v>
      </c>
      <c r="AE599">
        <v>3</v>
      </c>
      <c r="AF599">
        <v>3</v>
      </c>
      <c r="AG599">
        <v>5</v>
      </c>
      <c r="AH599">
        <v>0</v>
      </c>
      <c r="AI599">
        <v>1</v>
      </c>
      <c r="AJ599">
        <v>2</v>
      </c>
    </row>
    <row r="600" spans="1:36" x14ac:dyDescent="0.25">
      <c r="A600">
        <v>171</v>
      </c>
      <c r="B600">
        <v>30</v>
      </c>
      <c r="C600" t="s">
        <v>9</v>
      </c>
      <c r="D600" t="s">
        <v>15</v>
      </c>
      <c r="E600">
        <v>501</v>
      </c>
      <c r="F600" t="s">
        <v>118</v>
      </c>
      <c r="G600">
        <v>27</v>
      </c>
      <c r="H600">
        <v>5</v>
      </c>
      <c r="I600" t="s">
        <v>18</v>
      </c>
      <c r="J600">
        <v>1</v>
      </c>
      <c r="K600">
        <v>747</v>
      </c>
      <c r="L600">
        <v>3</v>
      </c>
      <c r="M600" t="s">
        <v>23</v>
      </c>
      <c r="N600">
        <v>99</v>
      </c>
      <c r="O600">
        <v>3</v>
      </c>
      <c r="P600">
        <v>2</v>
      </c>
      <c r="Q600" t="s">
        <v>25</v>
      </c>
      <c r="R600">
        <v>4</v>
      </c>
      <c r="S600" t="s">
        <v>26</v>
      </c>
      <c r="T600">
        <v>5304</v>
      </c>
      <c r="U600">
        <v>25275</v>
      </c>
      <c r="V600">
        <v>7</v>
      </c>
      <c r="W600" t="s">
        <v>29</v>
      </c>
      <c r="X600" t="s">
        <v>9</v>
      </c>
      <c r="Y600">
        <v>23</v>
      </c>
      <c r="Z600">
        <v>4</v>
      </c>
      <c r="AA600">
        <v>4</v>
      </c>
      <c r="AB600">
        <v>80</v>
      </c>
      <c r="AC600">
        <v>1</v>
      </c>
      <c r="AD600">
        <v>10</v>
      </c>
      <c r="AE600">
        <v>2</v>
      </c>
      <c r="AF600">
        <v>2</v>
      </c>
      <c r="AG600">
        <v>8</v>
      </c>
      <c r="AH600">
        <v>7</v>
      </c>
      <c r="AI600">
        <v>7</v>
      </c>
      <c r="AJ600">
        <v>7</v>
      </c>
    </row>
    <row r="601" spans="1:36" x14ac:dyDescent="0.25">
      <c r="A601">
        <v>383</v>
      </c>
      <c r="B601">
        <v>48</v>
      </c>
      <c r="C601" t="s">
        <v>9</v>
      </c>
      <c r="D601" t="s">
        <v>15</v>
      </c>
      <c r="E601">
        <v>1221</v>
      </c>
      <c r="F601" t="s">
        <v>118</v>
      </c>
      <c r="G601">
        <v>7</v>
      </c>
      <c r="H601">
        <v>3</v>
      </c>
      <c r="I601" t="s">
        <v>18</v>
      </c>
      <c r="J601">
        <v>1</v>
      </c>
      <c r="K601">
        <v>1466</v>
      </c>
      <c r="L601">
        <v>3</v>
      </c>
      <c r="M601" t="s">
        <v>23</v>
      </c>
      <c r="N601">
        <v>96</v>
      </c>
      <c r="O601">
        <v>3</v>
      </c>
      <c r="P601">
        <v>2</v>
      </c>
      <c r="Q601" t="s">
        <v>25</v>
      </c>
      <c r="R601">
        <v>1</v>
      </c>
      <c r="S601" t="s">
        <v>26</v>
      </c>
      <c r="T601">
        <v>5486</v>
      </c>
      <c r="U601">
        <v>24795</v>
      </c>
      <c r="V601">
        <v>4</v>
      </c>
      <c r="W601" t="s">
        <v>29</v>
      </c>
      <c r="X601" t="s">
        <v>9</v>
      </c>
      <c r="Y601">
        <v>11</v>
      </c>
      <c r="Z601">
        <v>3</v>
      </c>
      <c r="AA601">
        <v>1</v>
      </c>
      <c r="AB601">
        <v>80</v>
      </c>
      <c r="AC601">
        <v>3</v>
      </c>
      <c r="AD601">
        <v>15</v>
      </c>
      <c r="AE601">
        <v>3</v>
      </c>
      <c r="AF601">
        <v>3</v>
      </c>
      <c r="AG601">
        <v>2</v>
      </c>
      <c r="AH601">
        <v>2</v>
      </c>
      <c r="AI601">
        <v>2</v>
      </c>
      <c r="AJ601">
        <v>2</v>
      </c>
    </row>
    <row r="602" spans="1:36" x14ac:dyDescent="0.25">
      <c r="A602">
        <v>426</v>
      </c>
      <c r="B602">
        <v>43</v>
      </c>
      <c r="C602" t="s">
        <v>9</v>
      </c>
      <c r="D602" t="s">
        <v>15</v>
      </c>
      <c r="E602">
        <v>415</v>
      </c>
      <c r="F602" t="s">
        <v>118</v>
      </c>
      <c r="G602">
        <v>25</v>
      </c>
      <c r="H602">
        <v>3</v>
      </c>
      <c r="I602" t="s">
        <v>17</v>
      </c>
      <c r="J602">
        <v>1</v>
      </c>
      <c r="K602">
        <v>1076</v>
      </c>
      <c r="L602">
        <v>3</v>
      </c>
      <c r="M602" t="s">
        <v>23</v>
      </c>
      <c r="N602">
        <v>79</v>
      </c>
      <c r="O602">
        <v>2</v>
      </c>
      <c r="P602">
        <v>3</v>
      </c>
      <c r="Q602" t="s">
        <v>25</v>
      </c>
      <c r="R602">
        <v>4</v>
      </c>
      <c r="S602" t="s">
        <v>26</v>
      </c>
      <c r="T602">
        <v>10798</v>
      </c>
      <c r="U602">
        <v>5268</v>
      </c>
      <c r="V602">
        <v>5</v>
      </c>
      <c r="W602" t="s">
        <v>29</v>
      </c>
      <c r="X602" t="s">
        <v>9</v>
      </c>
      <c r="Y602">
        <v>13</v>
      </c>
      <c r="Z602">
        <v>3</v>
      </c>
      <c r="AA602">
        <v>3</v>
      </c>
      <c r="AB602">
        <v>80</v>
      </c>
      <c r="AC602">
        <v>1</v>
      </c>
      <c r="AD602">
        <v>18</v>
      </c>
      <c r="AE602">
        <v>5</v>
      </c>
      <c r="AF602">
        <v>3</v>
      </c>
      <c r="AG602">
        <v>1</v>
      </c>
      <c r="AH602">
        <v>0</v>
      </c>
      <c r="AI602">
        <v>0</v>
      </c>
      <c r="AJ602">
        <v>0</v>
      </c>
    </row>
    <row r="603" spans="1:36" x14ac:dyDescent="0.25">
      <c r="A603">
        <v>695</v>
      </c>
      <c r="B603">
        <v>37</v>
      </c>
      <c r="C603" t="s">
        <v>9</v>
      </c>
      <c r="D603" t="s">
        <v>11</v>
      </c>
      <c r="E603">
        <v>1278</v>
      </c>
      <c r="F603" t="s">
        <v>118</v>
      </c>
      <c r="G603">
        <v>1</v>
      </c>
      <c r="H603">
        <v>4</v>
      </c>
      <c r="I603" t="s">
        <v>17</v>
      </c>
      <c r="J603">
        <v>1</v>
      </c>
      <c r="K603">
        <v>1700</v>
      </c>
      <c r="L603">
        <v>3</v>
      </c>
      <c r="M603" t="s">
        <v>23</v>
      </c>
      <c r="N603">
        <v>31</v>
      </c>
      <c r="O603">
        <v>1</v>
      </c>
      <c r="P603">
        <v>2</v>
      </c>
      <c r="Q603" t="s">
        <v>25</v>
      </c>
      <c r="R603">
        <v>4</v>
      </c>
      <c r="S603" t="s">
        <v>26</v>
      </c>
      <c r="T603">
        <v>9525</v>
      </c>
      <c r="U603">
        <v>7677</v>
      </c>
      <c r="V603">
        <v>1</v>
      </c>
      <c r="W603" t="s">
        <v>29</v>
      </c>
      <c r="X603" t="s">
        <v>9</v>
      </c>
      <c r="Y603">
        <v>14</v>
      </c>
      <c r="Z603">
        <v>3</v>
      </c>
      <c r="AA603">
        <v>3</v>
      </c>
      <c r="AB603">
        <v>80</v>
      </c>
      <c r="AC603">
        <v>2</v>
      </c>
      <c r="AD603">
        <v>6</v>
      </c>
      <c r="AE603">
        <v>2</v>
      </c>
      <c r="AF603">
        <v>2</v>
      </c>
      <c r="AG603">
        <v>6</v>
      </c>
      <c r="AH603">
        <v>3</v>
      </c>
      <c r="AI603">
        <v>1</v>
      </c>
      <c r="AJ603">
        <v>3</v>
      </c>
    </row>
    <row r="604" spans="1:36" x14ac:dyDescent="0.25">
      <c r="A604">
        <v>615</v>
      </c>
      <c r="B604">
        <v>30</v>
      </c>
      <c r="C604" t="s">
        <v>9</v>
      </c>
      <c r="D604" t="s">
        <v>15</v>
      </c>
      <c r="E604">
        <v>231</v>
      </c>
      <c r="F604" t="s">
        <v>118</v>
      </c>
      <c r="G604">
        <v>8</v>
      </c>
      <c r="H604">
        <v>2</v>
      </c>
      <c r="I604" t="s">
        <v>19</v>
      </c>
      <c r="J604">
        <v>1</v>
      </c>
      <c r="K604">
        <v>982</v>
      </c>
      <c r="L604">
        <v>3</v>
      </c>
      <c r="M604" t="s">
        <v>23</v>
      </c>
      <c r="N604">
        <v>62</v>
      </c>
      <c r="O604">
        <v>3</v>
      </c>
      <c r="P604">
        <v>3</v>
      </c>
      <c r="Q604" t="s">
        <v>25</v>
      </c>
      <c r="R604">
        <v>3</v>
      </c>
      <c r="S604" t="s">
        <v>26</v>
      </c>
      <c r="T604">
        <v>7264</v>
      </c>
      <c r="U604">
        <v>9977</v>
      </c>
      <c r="V604">
        <v>5</v>
      </c>
      <c r="W604" t="s">
        <v>29</v>
      </c>
      <c r="X604" t="s">
        <v>9</v>
      </c>
      <c r="Y604">
        <v>11</v>
      </c>
      <c r="Z604">
        <v>3</v>
      </c>
      <c r="AA604">
        <v>1</v>
      </c>
      <c r="AB604">
        <v>80</v>
      </c>
      <c r="AC604">
        <v>1</v>
      </c>
      <c r="AD604">
        <v>10</v>
      </c>
      <c r="AE604">
        <v>2</v>
      </c>
      <c r="AF604">
        <v>4</v>
      </c>
      <c r="AG604">
        <v>8</v>
      </c>
      <c r="AH604">
        <v>4</v>
      </c>
      <c r="AI604">
        <v>7</v>
      </c>
      <c r="AJ604">
        <v>7</v>
      </c>
    </row>
    <row r="605" spans="1:36" x14ac:dyDescent="0.25">
      <c r="A605">
        <v>768</v>
      </c>
      <c r="B605">
        <v>40</v>
      </c>
      <c r="C605" t="s">
        <v>9</v>
      </c>
      <c r="D605" t="s">
        <v>16</v>
      </c>
      <c r="E605">
        <v>1094</v>
      </c>
      <c r="F605" t="s">
        <v>118</v>
      </c>
      <c r="G605">
        <v>28</v>
      </c>
      <c r="H605">
        <v>3</v>
      </c>
      <c r="I605" t="s">
        <v>19</v>
      </c>
      <c r="J605">
        <v>1</v>
      </c>
      <c r="K605">
        <v>615</v>
      </c>
      <c r="L605">
        <v>3</v>
      </c>
      <c r="M605" t="s">
        <v>23</v>
      </c>
      <c r="N605">
        <v>58</v>
      </c>
      <c r="O605">
        <v>1</v>
      </c>
      <c r="P605">
        <v>3</v>
      </c>
      <c r="Q605" t="s">
        <v>25</v>
      </c>
      <c r="R605">
        <v>1</v>
      </c>
      <c r="S605" t="s">
        <v>26</v>
      </c>
      <c r="T605">
        <v>10932</v>
      </c>
      <c r="U605">
        <v>11373</v>
      </c>
      <c r="V605">
        <v>3</v>
      </c>
      <c r="W605" t="s">
        <v>29</v>
      </c>
      <c r="X605" t="s">
        <v>9</v>
      </c>
      <c r="Y605">
        <v>15</v>
      </c>
      <c r="Z605">
        <v>3</v>
      </c>
      <c r="AA605">
        <v>3</v>
      </c>
      <c r="AB605">
        <v>80</v>
      </c>
      <c r="AC605">
        <v>1</v>
      </c>
      <c r="AD605">
        <v>20</v>
      </c>
      <c r="AE605">
        <v>2</v>
      </c>
      <c r="AF605">
        <v>3</v>
      </c>
      <c r="AG605">
        <v>1</v>
      </c>
      <c r="AH605">
        <v>0</v>
      </c>
      <c r="AI605">
        <v>0</v>
      </c>
      <c r="AJ605">
        <v>1</v>
      </c>
    </row>
    <row r="606" spans="1:36" x14ac:dyDescent="0.25">
      <c r="A606" s="15">
        <v>640</v>
      </c>
      <c r="B606" s="15">
        <v>27</v>
      </c>
      <c r="C606" s="15" t="s">
        <v>10</v>
      </c>
      <c r="D606" s="15" t="s">
        <v>15</v>
      </c>
      <c r="E606" s="15">
        <v>1420</v>
      </c>
      <c r="F606" s="15" t="s">
        <v>118</v>
      </c>
      <c r="G606" s="15">
        <v>2</v>
      </c>
      <c r="H606" s="15">
        <v>1</v>
      </c>
      <c r="I606" s="15" t="s">
        <v>18</v>
      </c>
      <c r="J606" s="15">
        <v>1</v>
      </c>
      <c r="K606" s="15">
        <v>667</v>
      </c>
      <c r="L606" s="15">
        <v>3</v>
      </c>
      <c r="M606" s="15" t="s">
        <v>23</v>
      </c>
      <c r="N606" s="15">
        <v>85</v>
      </c>
      <c r="O606" s="15">
        <v>3</v>
      </c>
      <c r="P606" s="15">
        <v>1</v>
      </c>
      <c r="Q606" s="15" t="s">
        <v>33</v>
      </c>
      <c r="R606" s="15">
        <v>1</v>
      </c>
      <c r="S606" s="15" t="s">
        <v>26</v>
      </c>
      <c r="T606" s="15">
        <v>3041</v>
      </c>
      <c r="U606" s="15">
        <v>16346</v>
      </c>
      <c r="V606" s="15">
        <v>0</v>
      </c>
      <c r="W606" s="15" t="s">
        <v>29</v>
      </c>
      <c r="X606" s="15" t="s">
        <v>9</v>
      </c>
      <c r="Y606" s="15">
        <v>11</v>
      </c>
      <c r="Z606" s="15">
        <v>3</v>
      </c>
      <c r="AA606" s="15">
        <v>2</v>
      </c>
      <c r="AB606" s="15">
        <v>80</v>
      </c>
      <c r="AC606" s="15">
        <v>1</v>
      </c>
      <c r="AD606" s="15">
        <v>5</v>
      </c>
      <c r="AE606" s="15">
        <v>3</v>
      </c>
      <c r="AF606" s="15">
        <v>3</v>
      </c>
      <c r="AG606" s="15">
        <v>4</v>
      </c>
      <c r="AH606" s="15">
        <v>3</v>
      </c>
      <c r="AI606" s="15">
        <v>0</v>
      </c>
      <c r="AJ606" s="15">
        <v>2</v>
      </c>
    </row>
    <row r="607" spans="1:36" x14ac:dyDescent="0.25">
      <c r="A607">
        <v>384</v>
      </c>
      <c r="B607">
        <v>23</v>
      </c>
      <c r="C607" t="s">
        <v>9</v>
      </c>
      <c r="D607" t="s">
        <v>15</v>
      </c>
      <c r="E607">
        <v>541</v>
      </c>
      <c r="F607" t="s">
        <v>118</v>
      </c>
      <c r="G607">
        <v>2</v>
      </c>
      <c r="H607">
        <v>1</v>
      </c>
      <c r="I607" t="s">
        <v>22</v>
      </c>
      <c r="J607">
        <v>1</v>
      </c>
      <c r="K607">
        <v>113</v>
      </c>
      <c r="L607">
        <v>3</v>
      </c>
      <c r="M607" t="s">
        <v>23</v>
      </c>
      <c r="N607">
        <v>62</v>
      </c>
      <c r="O607">
        <v>3</v>
      </c>
      <c r="P607">
        <v>1</v>
      </c>
      <c r="Q607" t="s">
        <v>33</v>
      </c>
      <c r="R607">
        <v>1</v>
      </c>
      <c r="S607" t="s">
        <v>26</v>
      </c>
      <c r="T607">
        <v>2322</v>
      </c>
      <c r="U607">
        <v>9518</v>
      </c>
      <c r="V607">
        <v>3</v>
      </c>
      <c r="W607" t="s">
        <v>29</v>
      </c>
      <c r="X607" t="s">
        <v>9</v>
      </c>
      <c r="Y607">
        <v>13</v>
      </c>
      <c r="Z607">
        <v>3</v>
      </c>
      <c r="AA607">
        <v>3</v>
      </c>
      <c r="AB607">
        <v>80</v>
      </c>
      <c r="AC607">
        <v>1</v>
      </c>
      <c r="AD607">
        <v>3</v>
      </c>
      <c r="AE607">
        <v>3</v>
      </c>
      <c r="AF607">
        <v>3</v>
      </c>
      <c r="AG607">
        <v>0</v>
      </c>
      <c r="AH607">
        <v>0</v>
      </c>
      <c r="AI607">
        <v>0</v>
      </c>
      <c r="AJ607">
        <v>0</v>
      </c>
    </row>
    <row r="608" spans="1:36" x14ac:dyDescent="0.25">
      <c r="A608">
        <v>512</v>
      </c>
      <c r="B608">
        <v>39</v>
      </c>
      <c r="C608" t="s">
        <v>9</v>
      </c>
      <c r="D608" t="s">
        <v>16</v>
      </c>
      <c r="E608">
        <v>1485</v>
      </c>
      <c r="F608" t="s">
        <v>119</v>
      </c>
      <c r="G608">
        <v>25</v>
      </c>
      <c r="H608">
        <v>2</v>
      </c>
      <c r="I608" t="s">
        <v>21</v>
      </c>
      <c r="J608">
        <v>1</v>
      </c>
      <c r="K608">
        <v>1397</v>
      </c>
      <c r="L608">
        <v>3</v>
      </c>
      <c r="M608" t="s">
        <v>23</v>
      </c>
      <c r="N608">
        <v>71</v>
      </c>
      <c r="O608">
        <v>3</v>
      </c>
      <c r="P608">
        <v>3</v>
      </c>
      <c r="Q608" t="s">
        <v>34</v>
      </c>
      <c r="R608">
        <v>3</v>
      </c>
      <c r="S608" t="s">
        <v>28</v>
      </c>
      <c r="T608">
        <v>10920</v>
      </c>
      <c r="U608">
        <v>3449</v>
      </c>
      <c r="V608">
        <v>3</v>
      </c>
      <c r="W608" t="s">
        <v>29</v>
      </c>
      <c r="X608" t="s">
        <v>9</v>
      </c>
      <c r="Y608">
        <v>21</v>
      </c>
      <c r="Z608">
        <v>4</v>
      </c>
      <c r="AA608">
        <v>2</v>
      </c>
      <c r="AB608">
        <v>80</v>
      </c>
      <c r="AC608">
        <v>1</v>
      </c>
      <c r="AD608">
        <v>13</v>
      </c>
      <c r="AE608">
        <v>2</v>
      </c>
      <c r="AF608">
        <v>3</v>
      </c>
      <c r="AG608">
        <v>6</v>
      </c>
      <c r="AH608">
        <v>4</v>
      </c>
      <c r="AI608">
        <v>0</v>
      </c>
      <c r="AJ608">
        <v>5</v>
      </c>
    </row>
    <row r="609" spans="1:36" x14ac:dyDescent="0.25">
      <c r="A609">
        <v>309</v>
      </c>
      <c r="B609">
        <v>55</v>
      </c>
      <c r="C609" t="s">
        <v>9</v>
      </c>
      <c r="D609" t="s">
        <v>11</v>
      </c>
      <c r="E609">
        <v>135</v>
      </c>
      <c r="F609" t="s">
        <v>119</v>
      </c>
      <c r="G609">
        <v>18</v>
      </c>
      <c r="H609">
        <v>4</v>
      </c>
      <c r="I609" t="s">
        <v>17</v>
      </c>
      <c r="J609">
        <v>1</v>
      </c>
      <c r="K609">
        <v>1034</v>
      </c>
      <c r="L609">
        <v>3</v>
      </c>
      <c r="M609" t="s">
        <v>23</v>
      </c>
      <c r="N609">
        <v>62</v>
      </c>
      <c r="O609">
        <v>3</v>
      </c>
      <c r="P609">
        <v>2</v>
      </c>
      <c r="Q609" t="s">
        <v>34</v>
      </c>
      <c r="R609">
        <v>2</v>
      </c>
      <c r="S609" t="s">
        <v>28</v>
      </c>
      <c r="T609">
        <v>6385</v>
      </c>
      <c r="U609">
        <v>12992</v>
      </c>
      <c r="V609">
        <v>3</v>
      </c>
      <c r="W609" t="s">
        <v>29</v>
      </c>
      <c r="X609" t="s">
        <v>10</v>
      </c>
      <c r="Y609">
        <v>14</v>
      </c>
      <c r="Z609">
        <v>3</v>
      </c>
      <c r="AA609">
        <v>4</v>
      </c>
      <c r="AB609">
        <v>80</v>
      </c>
      <c r="AC609">
        <v>2</v>
      </c>
      <c r="AD609">
        <v>17</v>
      </c>
      <c r="AE609">
        <v>3</v>
      </c>
      <c r="AF609">
        <v>3</v>
      </c>
      <c r="AG609">
        <v>8</v>
      </c>
      <c r="AH609">
        <v>7</v>
      </c>
      <c r="AI609">
        <v>6</v>
      </c>
      <c r="AJ609">
        <v>7</v>
      </c>
    </row>
    <row r="610" spans="1:36" x14ac:dyDescent="0.25">
      <c r="A610">
        <v>350</v>
      </c>
      <c r="B610">
        <v>56</v>
      </c>
      <c r="C610" t="s">
        <v>9</v>
      </c>
      <c r="D610" t="s">
        <v>15</v>
      </c>
      <c r="E610">
        <v>832</v>
      </c>
      <c r="F610" t="s">
        <v>119</v>
      </c>
      <c r="G610">
        <v>9</v>
      </c>
      <c r="H610">
        <v>3</v>
      </c>
      <c r="I610" t="s">
        <v>17</v>
      </c>
      <c r="J610">
        <v>1</v>
      </c>
      <c r="K610">
        <v>762</v>
      </c>
      <c r="L610">
        <v>3</v>
      </c>
      <c r="M610" t="s">
        <v>23</v>
      </c>
      <c r="N610">
        <v>81</v>
      </c>
      <c r="O610">
        <v>3</v>
      </c>
      <c r="P610">
        <v>4</v>
      </c>
      <c r="Q610" t="s">
        <v>34</v>
      </c>
      <c r="R610">
        <v>4</v>
      </c>
      <c r="S610" t="s">
        <v>28</v>
      </c>
      <c r="T610">
        <v>11103</v>
      </c>
      <c r="U610">
        <v>20420</v>
      </c>
      <c r="V610">
        <v>7</v>
      </c>
      <c r="W610" t="s">
        <v>29</v>
      </c>
      <c r="X610" t="s">
        <v>9</v>
      </c>
      <c r="Y610">
        <v>11</v>
      </c>
      <c r="Z610">
        <v>3</v>
      </c>
      <c r="AA610">
        <v>3</v>
      </c>
      <c r="AB610">
        <v>80</v>
      </c>
      <c r="AC610">
        <v>0</v>
      </c>
      <c r="AD610">
        <v>30</v>
      </c>
      <c r="AE610">
        <v>1</v>
      </c>
      <c r="AF610">
        <v>2</v>
      </c>
      <c r="AG610">
        <v>10</v>
      </c>
      <c r="AH610">
        <v>7</v>
      </c>
      <c r="AI610">
        <v>1</v>
      </c>
      <c r="AJ610">
        <v>1</v>
      </c>
    </row>
    <row r="611" spans="1:36" x14ac:dyDescent="0.25">
      <c r="A611">
        <v>499</v>
      </c>
      <c r="B611">
        <v>36</v>
      </c>
      <c r="C611" t="s">
        <v>9</v>
      </c>
      <c r="D611" t="s">
        <v>15</v>
      </c>
      <c r="E611">
        <v>1299</v>
      </c>
      <c r="F611" t="s">
        <v>119</v>
      </c>
      <c r="G611">
        <v>27</v>
      </c>
      <c r="H611">
        <v>3</v>
      </c>
      <c r="I611" t="s">
        <v>17</v>
      </c>
      <c r="J611">
        <v>1</v>
      </c>
      <c r="K611">
        <v>13</v>
      </c>
      <c r="L611">
        <v>3</v>
      </c>
      <c r="M611" t="s">
        <v>23</v>
      </c>
      <c r="N611">
        <v>94</v>
      </c>
      <c r="O611">
        <v>3</v>
      </c>
      <c r="P611">
        <v>2</v>
      </c>
      <c r="Q611" t="s">
        <v>34</v>
      </c>
      <c r="R611">
        <v>3</v>
      </c>
      <c r="S611" t="s">
        <v>28</v>
      </c>
      <c r="T611">
        <v>5237</v>
      </c>
      <c r="U611">
        <v>16577</v>
      </c>
      <c r="V611">
        <v>6</v>
      </c>
      <c r="W611" t="s">
        <v>29</v>
      </c>
      <c r="X611" t="s">
        <v>9</v>
      </c>
      <c r="Y611">
        <v>13</v>
      </c>
      <c r="Z611">
        <v>3</v>
      </c>
      <c r="AA611">
        <v>2</v>
      </c>
      <c r="AB611">
        <v>80</v>
      </c>
      <c r="AC611">
        <v>2</v>
      </c>
      <c r="AD611">
        <v>17</v>
      </c>
      <c r="AE611">
        <v>3</v>
      </c>
      <c r="AF611">
        <v>2</v>
      </c>
      <c r="AG611">
        <v>7</v>
      </c>
      <c r="AH611">
        <v>7</v>
      </c>
      <c r="AI611">
        <v>7</v>
      </c>
      <c r="AJ611">
        <v>7</v>
      </c>
    </row>
    <row r="612" spans="1:36" x14ac:dyDescent="0.25">
      <c r="A612">
        <v>528</v>
      </c>
      <c r="B612">
        <v>31</v>
      </c>
      <c r="C612" t="s">
        <v>9</v>
      </c>
      <c r="D612" t="s">
        <v>15</v>
      </c>
      <c r="E612">
        <v>1332</v>
      </c>
      <c r="F612" t="s">
        <v>119</v>
      </c>
      <c r="G612">
        <v>11</v>
      </c>
      <c r="H612">
        <v>2</v>
      </c>
      <c r="I612" t="s">
        <v>17</v>
      </c>
      <c r="J612">
        <v>1</v>
      </c>
      <c r="K612">
        <v>1251</v>
      </c>
      <c r="L612">
        <v>3</v>
      </c>
      <c r="M612" t="s">
        <v>23</v>
      </c>
      <c r="N612">
        <v>80</v>
      </c>
      <c r="O612">
        <v>3</v>
      </c>
      <c r="P612">
        <v>2</v>
      </c>
      <c r="Q612" t="s">
        <v>34</v>
      </c>
      <c r="R612">
        <v>1</v>
      </c>
      <c r="S612" t="s">
        <v>28</v>
      </c>
      <c r="T612">
        <v>6833</v>
      </c>
      <c r="U612">
        <v>17089</v>
      </c>
      <c r="V612">
        <v>1</v>
      </c>
      <c r="W612" t="s">
        <v>29</v>
      </c>
      <c r="X612" t="s">
        <v>10</v>
      </c>
      <c r="Y612">
        <v>12</v>
      </c>
      <c r="Z612">
        <v>3</v>
      </c>
      <c r="AA612">
        <v>4</v>
      </c>
      <c r="AB612">
        <v>80</v>
      </c>
      <c r="AC612">
        <v>0</v>
      </c>
      <c r="AD612">
        <v>6</v>
      </c>
      <c r="AE612">
        <v>2</v>
      </c>
      <c r="AF612">
        <v>2</v>
      </c>
      <c r="AG612">
        <v>6</v>
      </c>
      <c r="AH612">
        <v>5</v>
      </c>
      <c r="AI612">
        <v>0</v>
      </c>
      <c r="AJ612">
        <v>1</v>
      </c>
    </row>
    <row r="613" spans="1:36" x14ac:dyDescent="0.25">
      <c r="A613">
        <v>797</v>
      </c>
      <c r="B613">
        <v>45</v>
      </c>
      <c r="C613" t="s">
        <v>9</v>
      </c>
      <c r="D613" t="s">
        <v>15</v>
      </c>
      <c r="E613">
        <v>1385</v>
      </c>
      <c r="F613" t="s">
        <v>119</v>
      </c>
      <c r="G613">
        <v>20</v>
      </c>
      <c r="H613">
        <v>2</v>
      </c>
      <c r="I613" t="s">
        <v>17</v>
      </c>
      <c r="J613">
        <v>1</v>
      </c>
      <c r="K613">
        <v>372</v>
      </c>
      <c r="L613">
        <v>3</v>
      </c>
      <c r="M613" t="s">
        <v>23</v>
      </c>
      <c r="N613">
        <v>79</v>
      </c>
      <c r="O613">
        <v>3</v>
      </c>
      <c r="P613">
        <v>4</v>
      </c>
      <c r="Q613" t="s">
        <v>34</v>
      </c>
      <c r="R613">
        <v>4</v>
      </c>
      <c r="S613" t="s">
        <v>28</v>
      </c>
      <c r="T613">
        <v>13496</v>
      </c>
      <c r="U613">
        <v>7501</v>
      </c>
      <c r="V613">
        <v>0</v>
      </c>
      <c r="W613" t="s">
        <v>29</v>
      </c>
      <c r="X613" t="s">
        <v>10</v>
      </c>
      <c r="Y613">
        <v>14</v>
      </c>
      <c r="Z613">
        <v>3</v>
      </c>
      <c r="AA613">
        <v>2</v>
      </c>
      <c r="AB613">
        <v>80</v>
      </c>
      <c r="AC613">
        <v>0</v>
      </c>
      <c r="AD613">
        <v>21</v>
      </c>
      <c r="AE613">
        <v>2</v>
      </c>
      <c r="AF613">
        <v>3</v>
      </c>
      <c r="AG613">
        <v>20</v>
      </c>
      <c r="AH613">
        <v>7</v>
      </c>
      <c r="AI613">
        <v>4</v>
      </c>
      <c r="AJ613">
        <v>10</v>
      </c>
    </row>
    <row r="614" spans="1:36" x14ac:dyDescent="0.25">
      <c r="A614" s="15">
        <v>263</v>
      </c>
      <c r="B614" s="15">
        <v>33</v>
      </c>
      <c r="C614" s="15" t="s">
        <v>10</v>
      </c>
      <c r="D614" s="15" t="s">
        <v>15</v>
      </c>
      <c r="E614" s="15">
        <v>813</v>
      </c>
      <c r="F614" s="15" t="s">
        <v>119</v>
      </c>
      <c r="G614" s="15">
        <v>14</v>
      </c>
      <c r="H614" s="15">
        <v>3</v>
      </c>
      <c r="I614" s="15" t="s">
        <v>17</v>
      </c>
      <c r="J614" s="15">
        <v>1</v>
      </c>
      <c r="K614" s="15">
        <v>325</v>
      </c>
      <c r="L614" s="15">
        <v>3</v>
      </c>
      <c r="M614" s="15" t="s">
        <v>23</v>
      </c>
      <c r="N614" s="15">
        <v>58</v>
      </c>
      <c r="O614" s="15">
        <v>3</v>
      </c>
      <c r="P614" s="15">
        <v>1</v>
      </c>
      <c r="Q614" s="15" t="s">
        <v>36</v>
      </c>
      <c r="R614" s="15">
        <v>4</v>
      </c>
      <c r="S614" s="15" t="s">
        <v>28</v>
      </c>
      <c r="T614" s="15">
        <v>2436</v>
      </c>
      <c r="U614" s="15">
        <v>22149</v>
      </c>
      <c r="V614" s="15">
        <v>5</v>
      </c>
      <c r="W614" s="15" t="s">
        <v>29</v>
      </c>
      <c r="X614" s="15" t="s">
        <v>10</v>
      </c>
      <c r="Y614" s="15">
        <v>13</v>
      </c>
      <c r="Z614" s="15">
        <v>3</v>
      </c>
      <c r="AA614" s="15">
        <v>3</v>
      </c>
      <c r="AB614" s="15">
        <v>80</v>
      </c>
      <c r="AC614" s="15">
        <v>1</v>
      </c>
      <c r="AD614" s="15">
        <v>8</v>
      </c>
      <c r="AE614" s="15">
        <v>2</v>
      </c>
      <c r="AF614" s="15">
        <v>1</v>
      </c>
      <c r="AG614" s="15">
        <v>5</v>
      </c>
      <c r="AH614" s="15">
        <v>4</v>
      </c>
      <c r="AI614" s="15">
        <v>0</v>
      </c>
      <c r="AJ614" s="15">
        <v>4</v>
      </c>
    </row>
    <row r="615" spans="1:36" x14ac:dyDescent="0.25">
      <c r="A615">
        <v>285</v>
      </c>
      <c r="B615">
        <v>38</v>
      </c>
      <c r="C615" t="s">
        <v>9</v>
      </c>
      <c r="D615" t="s">
        <v>15</v>
      </c>
      <c r="E615">
        <v>433</v>
      </c>
      <c r="F615" t="s">
        <v>20</v>
      </c>
      <c r="G615">
        <v>1</v>
      </c>
      <c r="H615">
        <v>3</v>
      </c>
      <c r="I615" t="s">
        <v>20</v>
      </c>
      <c r="J615">
        <v>1</v>
      </c>
      <c r="K615">
        <v>1152</v>
      </c>
      <c r="L615">
        <v>3</v>
      </c>
      <c r="M615" t="s">
        <v>23</v>
      </c>
      <c r="N615">
        <v>37</v>
      </c>
      <c r="O615">
        <v>4</v>
      </c>
      <c r="P615">
        <v>1</v>
      </c>
      <c r="Q615" t="s">
        <v>20</v>
      </c>
      <c r="R615">
        <v>3</v>
      </c>
      <c r="S615" t="s">
        <v>28</v>
      </c>
      <c r="T615">
        <v>2844</v>
      </c>
      <c r="U615">
        <v>6004</v>
      </c>
      <c r="V615">
        <v>1</v>
      </c>
      <c r="W615" t="s">
        <v>29</v>
      </c>
      <c r="X615" t="s">
        <v>9</v>
      </c>
      <c r="Y615">
        <v>13</v>
      </c>
      <c r="Z615">
        <v>3</v>
      </c>
      <c r="AA615">
        <v>4</v>
      </c>
      <c r="AB615">
        <v>80</v>
      </c>
      <c r="AC615">
        <v>1</v>
      </c>
      <c r="AD615">
        <v>7</v>
      </c>
      <c r="AE615">
        <v>2</v>
      </c>
      <c r="AF615">
        <v>4</v>
      </c>
      <c r="AG615">
        <v>7</v>
      </c>
      <c r="AH615">
        <v>6</v>
      </c>
      <c r="AI615">
        <v>5</v>
      </c>
      <c r="AJ615">
        <v>0</v>
      </c>
    </row>
    <row r="616" spans="1:36" x14ac:dyDescent="0.25">
      <c r="A616">
        <v>691</v>
      </c>
      <c r="B616">
        <v>38</v>
      </c>
      <c r="C616" t="s">
        <v>9</v>
      </c>
      <c r="D616" t="s">
        <v>11</v>
      </c>
      <c r="E616">
        <v>888</v>
      </c>
      <c r="F616" t="s">
        <v>20</v>
      </c>
      <c r="G616">
        <v>10</v>
      </c>
      <c r="H616">
        <v>4</v>
      </c>
      <c r="I616" t="s">
        <v>20</v>
      </c>
      <c r="J616">
        <v>1</v>
      </c>
      <c r="K616">
        <v>1563</v>
      </c>
      <c r="L616">
        <v>3</v>
      </c>
      <c r="M616" t="s">
        <v>23</v>
      </c>
      <c r="N616">
        <v>71</v>
      </c>
      <c r="O616">
        <v>3</v>
      </c>
      <c r="P616">
        <v>2</v>
      </c>
      <c r="Q616" t="s">
        <v>20</v>
      </c>
      <c r="R616">
        <v>3</v>
      </c>
      <c r="S616" t="s">
        <v>28</v>
      </c>
      <c r="T616">
        <v>6077</v>
      </c>
      <c r="U616">
        <v>14814</v>
      </c>
      <c r="V616">
        <v>3</v>
      </c>
      <c r="W616" t="s">
        <v>29</v>
      </c>
      <c r="X616" t="s">
        <v>9</v>
      </c>
      <c r="Y616">
        <v>11</v>
      </c>
      <c r="Z616">
        <v>3</v>
      </c>
      <c r="AA616">
        <v>3</v>
      </c>
      <c r="AB616">
        <v>80</v>
      </c>
      <c r="AC616">
        <v>0</v>
      </c>
      <c r="AD616">
        <v>10</v>
      </c>
      <c r="AE616">
        <v>2</v>
      </c>
      <c r="AF616">
        <v>3</v>
      </c>
      <c r="AG616">
        <v>6</v>
      </c>
      <c r="AH616">
        <v>3</v>
      </c>
      <c r="AI616">
        <v>1</v>
      </c>
      <c r="AJ616">
        <v>2</v>
      </c>
    </row>
    <row r="617" spans="1:36" x14ac:dyDescent="0.25">
      <c r="A617">
        <v>765</v>
      </c>
      <c r="B617">
        <v>34</v>
      </c>
      <c r="C617" t="s">
        <v>9</v>
      </c>
      <c r="D617" t="s">
        <v>15</v>
      </c>
      <c r="E617">
        <v>829</v>
      </c>
      <c r="F617" t="s">
        <v>20</v>
      </c>
      <c r="G617">
        <v>3</v>
      </c>
      <c r="H617">
        <v>2</v>
      </c>
      <c r="I617" t="s">
        <v>20</v>
      </c>
      <c r="J617">
        <v>1</v>
      </c>
      <c r="K617">
        <v>847</v>
      </c>
      <c r="L617">
        <v>3</v>
      </c>
      <c r="M617" t="s">
        <v>23</v>
      </c>
      <c r="N617">
        <v>88</v>
      </c>
      <c r="O617">
        <v>3</v>
      </c>
      <c r="P617">
        <v>1</v>
      </c>
      <c r="Q617" t="s">
        <v>20</v>
      </c>
      <c r="R617">
        <v>4</v>
      </c>
      <c r="S617" t="s">
        <v>28</v>
      </c>
      <c r="T617">
        <v>3737</v>
      </c>
      <c r="U617">
        <v>2243</v>
      </c>
      <c r="V617">
        <v>0</v>
      </c>
      <c r="W617" t="s">
        <v>29</v>
      </c>
      <c r="X617" t="s">
        <v>9</v>
      </c>
      <c r="Y617">
        <v>19</v>
      </c>
      <c r="Z617">
        <v>3</v>
      </c>
      <c r="AA617">
        <v>3</v>
      </c>
      <c r="AB617">
        <v>80</v>
      </c>
      <c r="AC617">
        <v>1</v>
      </c>
      <c r="AD617">
        <v>4</v>
      </c>
      <c r="AE617">
        <v>1</v>
      </c>
      <c r="AF617">
        <v>1</v>
      </c>
      <c r="AG617">
        <v>3</v>
      </c>
      <c r="AH617">
        <v>2</v>
      </c>
      <c r="AI617">
        <v>0</v>
      </c>
      <c r="AJ617">
        <v>2</v>
      </c>
    </row>
    <row r="618" spans="1:36" x14ac:dyDescent="0.25">
      <c r="A618" s="15">
        <v>233</v>
      </c>
      <c r="B618" s="15">
        <v>47</v>
      </c>
      <c r="C618" s="15" t="s">
        <v>10</v>
      </c>
      <c r="D618" s="15" t="s">
        <v>11</v>
      </c>
      <c r="E618" s="15">
        <v>1093</v>
      </c>
      <c r="F618" s="15" t="s">
        <v>118</v>
      </c>
      <c r="G618" s="15">
        <v>9</v>
      </c>
      <c r="H618" s="15">
        <v>3</v>
      </c>
      <c r="I618" s="15" t="s">
        <v>21</v>
      </c>
      <c r="J618" s="15">
        <v>1</v>
      </c>
      <c r="K618" s="15">
        <v>1716</v>
      </c>
      <c r="L618" s="15">
        <v>3</v>
      </c>
      <c r="M618" s="15" t="s">
        <v>23</v>
      </c>
      <c r="N618" s="15">
        <v>82</v>
      </c>
      <c r="O618" s="15">
        <v>1</v>
      </c>
      <c r="P618" s="15">
        <v>4</v>
      </c>
      <c r="Q618" s="15" t="s">
        <v>25</v>
      </c>
      <c r="R618" s="15">
        <v>3</v>
      </c>
      <c r="S618" s="15" t="s">
        <v>28</v>
      </c>
      <c r="T618" s="15">
        <v>12936</v>
      </c>
      <c r="U618" s="15">
        <v>24164</v>
      </c>
      <c r="V618" s="15">
        <v>7</v>
      </c>
      <c r="W618" s="15" t="s">
        <v>29</v>
      </c>
      <c r="X618" s="15" t="s">
        <v>9</v>
      </c>
      <c r="Y618" s="15">
        <v>11</v>
      </c>
      <c r="Z618" s="15">
        <v>3</v>
      </c>
      <c r="AA618" s="15">
        <v>3</v>
      </c>
      <c r="AB618" s="15">
        <v>80</v>
      </c>
      <c r="AC618" s="15">
        <v>0</v>
      </c>
      <c r="AD618" s="15">
        <v>25</v>
      </c>
      <c r="AE618" s="15">
        <v>3</v>
      </c>
      <c r="AF618" s="15">
        <v>1</v>
      </c>
      <c r="AG618" s="15">
        <v>23</v>
      </c>
      <c r="AH618" s="15">
        <v>5</v>
      </c>
      <c r="AI618" s="15">
        <v>14</v>
      </c>
      <c r="AJ618" s="15">
        <v>10</v>
      </c>
    </row>
    <row r="619" spans="1:36" x14ac:dyDescent="0.25">
      <c r="A619" s="15">
        <v>824</v>
      </c>
      <c r="B619" s="15">
        <v>31</v>
      </c>
      <c r="C619" s="15" t="s">
        <v>10</v>
      </c>
      <c r="D619" s="15" t="s">
        <v>11</v>
      </c>
      <c r="E619" s="15">
        <v>874</v>
      </c>
      <c r="F619" s="15" t="s">
        <v>119</v>
      </c>
      <c r="G619" s="15">
        <v>15</v>
      </c>
      <c r="H619" s="15">
        <v>3</v>
      </c>
      <c r="I619" s="15" t="s">
        <v>17</v>
      </c>
      <c r="J619" s="15">
        <v>1</v>
      </c>
      <c r="K619" s="15">
        <v>1160</v>
      </c>
      <c r="L619" s="15">
        <v>3</v>
      </c>
      <c r="M619" s="15" t="s">
        <v>23</v>
      </c>
      <c r="N619" s="15">
        <v>72</v>
      </c>
      <c r="O619" s="15">
        <v>3</v>
      </c>
      <c r="P619" s="15">
        <v>1</v>
      </c>
      <c r="Q619" s="15" t="s">
        <v>36</v>
      </c>
      <c r="R619" s="15">
        <v>3</v>
      </c>
      <c r="S619" s="15" t="s">
        <v>28</v>
      </c>
      <c r="T619" s="15">
        <v>2610</v>
      </c>
      <c r="U619" s="15">
        <v>6233</v>
      </c>
      <c r="V619" s="15">
        <v>1</v>
      </c>
      <c r="W619" s="15" t="s">
        <v>29</v>
      </c>
      <c r="X619" s="15" t="s">
        <v>9</v>
      </c>
      <c r="Y619" s="15">
        <v>12</v>
      </c>
      <c r="Z619" s="15">
        <v>3</v>
      </c>
      <c r="AA619" s="15">
        <v>3</v>
      </c>
      <c r="AB619" s="15">
        <v>80</v>
      </c>
      <c r="AC619" s="15">
        <v>1</v>
      </c>
      <c r="AD619" s="15">
        <v>2</v>
      </c>
      <c r="AE619" s="15">
        <v>5</v>
      </c>
      <c r="AF619" s="15">
        <v>2</v>
      </c>
      <c r="AG619" s="15">
        <v>2</v>
      </c>
      <c r="AH619" s="15">
        <v>2</v>
      </c>
      <c r="AI619" s="15">
        <v>2</v>
      </c>
      <c r="AJ619" s="15">
        <v>2</v>
      </c>
    </row>
    <row r="620" spans="1:36" x14ac:dyDescent="0.25">
      <c r="A620">
        <v>54</v>
      </c>
      <c r="B620">
        <v>45</v>
      </c>
      <c r="C620" t="s">
        <v>9</v>
      </c>
      <c r="D620" t="s">
        <v>16</v>
      </c>
      <c r="E620">
        <v>805</v>
      </c>
      <c r="F620" t="s">
        <v>119</v>
      </c>
      <c r="G620">
        <v>4</v>
      </c>
      <c r="H620">
        <v>2</v>
      </c>
      <c r="I620" t="s">
        <v>21</v>
      </c>
      <c r="J620">
        <v>1</v>
      </c>
      <c r="K620">
        <v>972</v>
      </c>
      <c r="L620">
        <v>3</v>
      </c>
      <c r="M620" t="s">
        <v>23</v>
      </c>
      <c r="N620">
        <v>57</v>
      </c>
      <c r="O620">
        <v>3</v>
      </c>
      <c r="P620">
        <v>2</v>
      </c>
      <c r="Q620" t="s">
        <v>36</v>
      </c>
      <c r="R620">
        <v>2</v>
      </c>
      <c r="S620" t="s">
        <v>28</v>
      </c>
      <c r="T620">
        <v>4447</v>
      </c>
      <c r="U620">
        <v>23163</v>
      </c>
      <c r="V620">
        <v>1</v>
      </c>
      <c r="W620" t="s">
        <v>29</v>
      </c>
      <c r="X620" t="s">
        <v>9</v>
      </c>
      <c r="Y620">
        <v>12</v>
      </c>
      <c r="Z620">
        <v>3</v>
      </c>
      <c r="AA620">
        <v>2</v>
      </c>
      <c r="AB620">
        <v>80</v>
      </c>
      <c r="AC620">
        <v>0</v>
      </c>
      <c r="AD620">
        <v>9</v>
      </c>
      <c r="AE620">
        <v>5</v>
      </c>
      <c r="AF620">
        <v>2</v>
      </c>
      <c r="AG620">
        <v>9</v>
      </c>
      <c r="AH620">
        <v>7</v>
      </c>
      <c r="AI620">
        <v>0</v>
      </c>
      <c r="AJ620">
        <v>8</v>
      </c>
    </row>
    <row r="621" spans="1:36" x14ac:dyDescent="0.25">
      <c r="A621">
        <v>418</v>
      </c>
      <c r="B621">
        <v>36</v>
      </c>
      <c r="C621" t="s">
        <v>9</v>
      </c>
      <c r="D621" t="s">
        <v>11</v>
      </c>
      <c r="E621">
        <v>566</v>
      </c>
      <c r="F621" t="s">
        <v>119</v>
      </c>
      <c r="G621">
        <v>18</v>
      </c>
      <c r="H621">
        <v>4</v>
      </c>
      <c r="I621" t="s">
        <v>21</v>
      </c>
      <c r="J621">
        <v>1</v>
      </c>
      <c r="K621">
        <v>407</v>
      </c>
      <c r="L621">
        <v>3</v>
      </c>
      <c r="M621" t="s">
        <v>23</v>
      </c>
      <c r="N621">
        <v>81</v>
      </c>
      <c r="O621">
        <v>4</v>
      </c>
      <c r="P621">
        <v>1</v>
      </c>
      <c r="Q621" t="s">
        <v>36</v>
      </c>
      <c r="R621">
        <v>4</v>
      </c>
      <c r="S621" t="s">
        <v>28</v>
      </c>
      <c r="T621">
        <v>3688</v>
      </c>
      <c r="U621">
        <v>7122</v>
      </c>
      <c r="V621">
        <v>4</v>
      </c>
      <c r="W621" t="s">
        <v>29</v>
      </c>
      <c r="X621" t="s">
        <v>9</v>
      </c>
      <c r="Y621">
        <v>18</v>
      </c>
      <c r="Z621">
        <v>3</v>
      </c>
      <c r="AA621">
        <v>4</v>
      </c>
      <c r="AB621">
        <v>80</v>
      </c>
      <c r="AC621">
        <v>2</v>
      </c>
      <c r="AD621">
        <v>4</v>
      </c>
      <c r="AE621">
        <v>2</v>
      </c>
      <c r="AF621">
        <v>3</v>
      </c>
      <c r="AG621">
        <v>1</v>
      </c>
      <c r="AH621">
        <v>0</v>
      </c>
      <c r="AI621">
        <v>0</v>
      </c>
      <c r="AJ621">
        <v>0</v>
      </c>
    </row>
    <row r="622" spans="1:36" x14ac:dyDescent="0.25">
      <c r="A622">
        <v>620</v>
      </c>
      <c r="B622">
        <v>35</v>
      </c>
      <c r="C622" t="s">
        <v>9</v>
      </c>
      <c r="D622" t="s">
        <v>16</v>
      </c>
      <c r="E622">
        <v>727</v>
      </c>
      <c r="F622" t="s">
        <v>119</v>
      </c>
      <c r="G622">
        <v>3</v>
      </c>
      <c r="H622">
        <v>3</v>
      </c>
      <c r="I622" t="s">
        <v>21</v>
      </c>
      <c r="J622">
        <v>1</v>
      </c>
      <c r="K622">
        <v>704</v>
      </c>
      <c r="L622">
        <v>3</v>
      </c>
      <c r="M622" t="s">
        <v>23</v>
      </c>
      <c r="N622">
        <v>41</v>
      </c>
      <c r="O622">
        <v>2</v>
      </c>
      <c r="P622">
        <v>1</v>
      </c>
      <c r="Q622" t="s">
        <v>36</v>
      </c>
      <c r="R622">
        <v>3</v>
      </c>
      <c r="S622" t="s">
        <v>28</v>
      </c>
      <c r="T622">
        <v>1281</v>
      </c>
      <c r="U622">
        <v>16900</v>
      </c>
      <c r="V622">
        <v>1</v>
      </c>
      <c r="W622" t="s">
        <v>29</v>
      </c>
      <c r="X622" t="s">
        <v>9</v>
      </c>
      <c r="Y622">
        <v>18</v>
      </c>
      <c r="Z622">
        <v>3</v>
      </c>
      <c r="AA622">
        <v>3</v>
      </c>
      <c r="AB622">
        <v>80</v>
      </c>
      <c r="AC622">
        <v>2</v>
      </c>
      <c r="AD622">
        <v>1</v>
      </c>
      <c r="AE622">
        <v>3</v>
      </c>
      <c r="AF622">
        <v>3</v>
      </c>
      <c r="AG622">
        <v>1</v>
      </c>
      <c r="AH622">
        <v>0</v>
      </c>
      <c r="AI622">
        <v>0</v>
      </c>
      <c r="AJ622">
        <v>0</v>
      </c>
    </row>
    <row r="623" spans="1:36" x14ac:dyDescent="0.25">
      <c r="A623">
        <v>859</v>
      </c>
      <c r="B623">
        <v>41</v>
      </c>
      <c r="C623" t="s">
        <v>9</v>
      </c>
      <c r="D623" t="s">
        <v>15</v>
      </c>
      <c r="E623">
        <v>933</v>
      </c>
      <c r="F623" t="s">
        <v>119</v>
      </c>
      <c r="G623">
        <v>9</v>
      </c>
      <c r="H623">
        <v>4</v>
      </c>
      <c r="I623" t="s">
        <v>21</v>
      </c>
      <c r="J623">
        <v>1</v>
      </c>
      <c r="K623">
        <v>200</v>
      </c>
      <c r="L623">
        <v>3</v>
      </c>
      <c r="M623" t="s">
        <v>23</v>
      </c>
      <c r="N623">
        <v>94</v>
      </c>
      <c r="O623">
        <v>3</v>
      </c>
      <c r="P623">
        <v>1</v>
      </c>
      <c r="Q623" t="s">
        <v>36</v>
      </c>
      <c r="R623">
        <v>1</v>
      </c>
      <c r="S623" t="s">
        <v>28</v>
      </c>
      <c r="T623">
        <v>2238</v>
      </c>
      <c r="U623">
        <v>6961</v>
      </c>
      <c r="V623">
        <v>2</v>
      </c>
      <c r="W623" t="s">
        <v>29</v>
      </c>
      <c r="X623" t="s">
        <v>9</v>
      </c>
      <c r="Y623">
        <v>21</v>
      </c>
      <c r="Z623">
        <v>4</v>
      </c>
      <c r="AA623">
        <v>4</v>
      </c>
      <c r="AB623">
        <v>80</v>
      </c>
      <c r="AC623">
        <v>1</v>
      </c>
      <c r="AD623">
        <v>7</v>
      </c>
      <c r="AE623">
        <v>2</v>
      </c>
      <c r="AF623">
        <v>3</v>
      </c>
      <c r="AG623">
        <v>5</v>
      </c>
      <c r="AH623">
        <v>0</v>
      </c>
      <c r="AI623">
        <v>1</v>
      </c>
      <c r="AJ623">
        <v>4</v>
      </c>
    </row>
    <row r="624" spans="1:36" x14ac:dyDescent="0.25">
      <c r="A624" s="15">
        <v>788</v>
      </c>
      <c r="B624" s="15">
        <v>52</v>
      </c>
      <c r="C624" s="15" t="s">
        <v>10</v>
      </c>
      <c r="D624" s="15" t="s">
        <v>15</v>
      </c>
      <c r="E624" s="15">
        <v>723</v>
      </c>
      <c r="F624" s="15" t="s">
        <v>119</v>
      </c>
      <c r="G624" s="15">
        <v>8</v>
      </c>
      <c r="H624" s="15">
        <v>4</v>
      </c>
      <c r="I624" s="15" t="s">
        <v>17</v>
      </c>
      <c r="J624" s="15">
        <v>1</v>
      </c>
      <c r="K624" s="15">
        <v>433</v>
      </c>
      <c r="L624" s="15">
        <v>3</v>
      </c>
      <c r="M624" s="15" t="s">
        <v>23</v>
      </c>
      <c r="N624" s="15">
        <v>85</v>
      </c>
      <c r="O624" s="15">
        <v>2</v>
      </c>
      <c r="P624" s="15">
        <v>2</v>
      </c>
      <c r="Q624" s="15" t="s">
        <v>32</v>
      </c>
      <c r="R624" s="15">
        <v>2</v>
      </c>
      <c r="S624" s="15" t="s">
        <v>28</v>
      </c>
      <c r="T624" s="15">
        <v>4941</v>
      </c>
      <c r="U624" s="15">
        <v>17747</v>
      </c>
      <c r="V624" s="15">
        <v>2</v>
      </c>
      <c r="W624" s="15" t="s">
        <v>29</v>
      </c>
      <c r="X624" s="15" t="s">
        <v>9</v>
      </c>
      <c r="Y624" s="15">
        <v>15</v>
      </c>
      <c r="Z624" s="15">
        <v>3</v>
      </c>
      <c r="AA624" s="15">
        <v>1</v>
      </c>
      <c r="AB624" s="15">
        <v>80</v>
      </c>
      <c r="AC624" s="15">
        <v>0</v>
      </c>
      <c r="AD624" s="15">
        <v>11</v>
      </c>
      <c r="AE624" s="15">
        <v>3</v>
      </c>
      <c r="AF624" s="15">
        <v>2</v>
      </c>
      <c r="AG624" s="15">
        <v>8</v>
      </c>
      <c r="AH624" s="15">
        <v>2</v>
      </c>
      <c r="AI624" s="15">
        <v>7</v>
      </c>
      <c r="AJ624" s="15">
        <v>7</v>
      </c>
    </row>
    <row r="625" spans="1:36" x14ac:dyDescent="0.25">
      <c r="A625">
        <v>586</v>
      </c>
      <c r="B625">
        <v>40</v>
      </c>
      <c r="C625" t="s">
        <v>9</v>
      </c>
      <c r="D625" t="s">
        <v>15</v>
      </c>
      <c r="E625">
        <v>905</v>
      </c>
      <c r="F625" t="s">
        <v>119</v>
      </c>
      <c r="G625">
        <v>19</v>
      </c>
      <c r="H625">
        <v>2</v>
      </c>
      <c r="I625" t="s">
        <v>17</v>
      </c>
      <c r="J625">
        <v>1</v>
      </c>
      <c r="K625">
        <v>281</v>
      </c>
      <c r="L625">
        <v>3</v>
      </c>
      <c r="M625" t="s">
        <v>23</v>
      </c>
      <c r="N625">
        <v>99</v>
      </c>
      <c r="O625">
        <v>3</v>
      </c>
      <c r="P625">
        <v>2</v>
      </c>
      <c r="Q625" t="s">
        <v>36</v>
      </c>
      <c r="R625">
        <v>4</v>
      </c>
      <c r="S625" t="s">
        <v>28</v>
      </c>
      <c r="T625">
        <v>2741</v>
      </c>
      <c r="U625">
        <v>16523</v>
      </c>
      <c r="V625">
        <v>8</v>
      </c>
      <c r="W625" t="s">
        <v>29</v>
      </c>
      <c r="X625" t="s">
        <v>10</v>
      </c>
      <c r="Y625">
        <v>15</v>
      </c>
      <c r="Z625">
        <v>3</v>
      </c>
      <c r="AA625">
        <v>3</v>
      </c>
      <c r="AB625">
        <v>80</v>
      </c>
      <c r="AC625">
        <v>1</v>
      </c>
      <c r="AD625">
        <v>15</v>
      </c>
      <c r="AE625">
        <v>2</v>
      </c>
      <c r="AF625">
        <v>4</v>
      </c>
      <c r="AG625">
        <v>7</v>
      </c>
      <c r="AH625">
        <v>2</v>
      </c>
      <c r="AI625">
        <v>3</v>
      </c>
      <c r="AJ625">
        <v>7</v>
      </c>
    </row>
    <row r="626" spans="1:36" x14ac:dyDescent="0.25">
      <c r="A626">
        <v>850</v>
      </c>
      <c r="B626">
        <v>26</v>
      </c>
      <c r="C626" t="s">
        <v>9</v>
      </c>
      <c r="D626" t="s">
        <v>11</v>
      </c>
      <c r="E626">
        <v>1096</v>
      </c>
      <c r="F626" t="s">
        <v>119</v>
      </c>
      <c r="G626">
        <v>6</v>
      </c>
      <c r="H626">
        <v>3</v>
      </c>
      <c r="I626" t="s">
        <v>19</v>
      </c>
      <c r="J626">
        <v>1</v>
      </c>
      <c r="K626">
        <v>1918</v>
      </c>
      <c r="L626">
        <v>3</v>
      </c>
      <c r="M626" t="s">
        <v>23</v>
      </c>
      <c r="N626">
        <v>61</v>
      </c>
      <c r="O626">
        <v>4</v>
      </c>
      <c r="P626">
        <v>1</v>
      </c>
      <c r="Q626" t="s">
        <v>36</v>
      </c>
      <c r="R626">
        <v>4</v>
      </c>
      <c r="S626" t="s">
        <v>28</v>
      </c>
      <c r="T626">
        <v>2544</v>
      </c>
      <c r="U626">
        <v>7102</v>
      </c>
      <c r="V626">
        <v>0</v>
      </c>
      <c r="W626" t="s">
        <v>29</v>
      </c>
      <c r="X626" t="s">
        <v>9</v>
      </c>
      <c r="Y626">
        <v>18</v>
      </c>
      <c r="Z626">
        <v>3</v>
      </c>
      <c r="AA626">
        <v>1</v>
      </c>
      <c r="AB626">
        <v>80</v>
      </c>
      <c r="AC626">
        <v>1</v>
      </c>
      <c r="AD626">
        <v>8</v>
      </c>
      <c r="AE626">
        <v>3</v>
      </c>
      <c r="AF626">
        <v>3</v>
      </c>
      <c r="AG626">
        <v>7</v>
      </c>
      <c r="AH626">
        <v>7</v>
      </c>
      <c r="AI626">
        <v>7</v>
      </c>
      <c r="AJ626">
        <v>7</v>
      </c>
    </row>
    <row r="627" spans="1:36" x14ac:dyDescent="0.25">
      <c r="A627">
        <v>730</v>
      </c>
      <c r="B627">
        <v>22</v>
      </c>
      <c r="C627" t="s">
        <v>9</v>
      </c>
      <c r="D627" t="s">
        <v>15</v>
      </c>
      <c r="E627">
        <v>594</v>
      </c>
      <c r="F627" t="s">
        <v>119</v>
      </c>
      <c r="G627">
        <v>2</v>
      </c>
      <c r="H627">
        <v>1</v>
      </c>
      <c r="I627" t="s">
        <v>22</v>
      </c>
      <c r="J627">
        <v>1</v>
      </c>
      <c r="K627">
        <v>169</v>
      </c>
      <c r="L627">
        <v>3</v>
      </c>
      <c r="M627" t="s">
        <v>23</v>
      </c>
      <c r="N627">
        <v>100</v>
      </c>
      <c r="O627">
        <v>3</v>
      </c>
      <c r="P627">
        <v>1</v>
      </c>
      <c r="Q627" t="s">
        <v>36</v>
      </c>
      <c r="R627">
        <v>4</v>
      </c>
      <c r="S627" t="s">
        <v>28</v>
      </c>
      <c r="T627">
        <v>2523</v>
      </c>
      <c r="U627">
        <v>19299</v>
      </c>
      <c r="V627">
        <v>0</v>
      </c>
      <c r="W627" t="s">
        <v>29</v>
      </c>
      <c r="X627" t="s">
        <v>9</v>
      </c>
      <c r="Y627">
        <v>14</v>
      </c>
      <c r="Z627">
        <v>3</v>
      </c>
      <c r="AA627">
        <v>3</v>
      </c>
      <c r="AB627">
        <v>80</v>
      </c>
      <c r="AC627">
        <v>1</v>
      </c>
      <c r="AD627">
        <v>3</v>
      </c>
      <c r="AE627">
        <v>2</v>
      </c>
      <c r="AF627">
        <v>3</v>
      </c>
      <c r="AG627">
        <v>2</v>
      </c>
      <c r="AH627">
        <v>1</v>
      </c>
      <c r="AI627">
        <v>2</v>
      </c>
      <c r="AJ627">
        <v>1</v>
      </c>
    </row>
    <row r="628" spans="1:36" x14ac:dyDescent="0.25">
      <c r="A628">
        <v>108</v>
      </c>
      <c r="B628">
        <v>55</v>
      </c>
      <c r="C628" t="s">
        <v>9</v>
      </c>
      <c r="D628" t="s">
        <v>15</v>
      </c>
      <c r="E628">
        <v>189</v>
      </c>
      <c r="F628" t="s">
        <v>20</v>
      </c>
      <c r="G628">
        <v>26</v>
      </c>
      <c r="H628">
        <v>4</v>
      </c>
      <c r="I628" t="s">
        <v>20</v>
      </c>
      <c r="J628">
        <v>1</v>
      </c>
      <c r="K628">
        <v>1973</v>
      </c>
      <c r="L628">
        <v>3</v>
      </c>
      <c r="M628" t="s">
        <v>23</v>
      </c>
      <c r="N628">
        <v>71</v>
      </c>
      <c r="O628">
        <v>4</v>
      </c>
      <c r="P628">
        <v>5</v>
      </c>
      <c r="Q628" t="s">
        <v>35</v>
      </c>
      <c r="R628">
        <v>2</v>
      </c>
      <c r="S628" t="s">
        <v>28</v>
      </c>
      <c r="T628">
        <v>19636</v>
      </c>
      <c r="U628">
        <v>25811</v>
      </c>
      <c r="V628">
        <v>4</v>
      </c>
      <c r="W628" t="s">
        <v>29</v>
      </c>
      <c r="X628" t="s">
        <v>10</v>
      </c>
      <c r="Y628">
        <v>18</v>
      </c>
      <c r="Z628">
        <v>3</v>
      </c>
      <c r="AA628">
        <v>1</v>
      </c>
      <c r="AB628">
        <v>80</v>
      </c>
      <c r="AC628">
        <v>1</v>
      </c>
      <c r="AD628">
        <v>35</v>
      </c>
      <c r="AE628">
        <v>0</v>
      </c>
      <c r="AF628">
        <v>3</v>
      </c>
      <c r="AG628">
        <v>10</v>
      </c>
      <c r="AH628">
        <v>9</v>
      </c>
      <c r="AI628">
        <v>1</v>
      </c>
      <c r="AJ628">
        <v>4</v>
      </c>
    </row>
    <row r="629" spans="1:36" x14ac:dyDescent="0.25">
      <c r="A629">
        <v>235</v>
      </c>
      <c r="B629">
        <v>43</v>
      </c>
      <c r="C629" t="s">
        <v>9</v>
      </c>
      <c r="D629" t="s">
        <v>11</v>
      </c>
      <c r="E629">
        <v>394</v>
      </c>
      <c r="F629" t="s">
        <v>118</v>
      </c>
      <c r="G629">
        <v>26</v>
      </c>
      <c r="H629">
        <v>2</v>
      </c>
      <c r="I629" t="s">
        <v>21</v>
      </c>
      <c r="J629">
        <v>1</v>
      </c>
      <c r="K629">
        <v>158</v>
      </c>
      <c r="L629">
        <v>3</v>
      </c>
      <c r="M629" t="s">
        <v>23</v>
      </c>
      <c r="N629">
        <v>92</v>
      </c>
      <c r="O629">
        <v>3</v>
      </c>
      <c r="P629">
        <v>4</v>
      </c>
      <c r="Q629" t="s">
        <v>35</v>
      </c>
      <c r="R629">
        <v>4</v>
      </c>
      <c r="S629" t="s">
        <v>28</v>
      </c>
      <c r="T629">
        <v>16959</v>
      </c>
      <c r="U629">
        <v>19494</v>
      </c>
      <c r="V629">
        <v>1</v>
      </c>
      <c r="W629" t="s">
        <v>29</v>
      </c>
      <c r="X629" t="s">
        <v>10</v>
      </c>
      <c r="Y629">
        <v>12</v>
      </c>
      <c r="Z629">
        <v>3</v>
      </c>
      <c r="AA629">
        <v>4</v>
      </c>
      <c r="AB629">
        <v>80</v>
      </c>
      <c r="AC629">
        <v>2</v>
      </c>
      <c r="AD629">
        <v>25</v>
      </c>
      <c r="AE629">
        <v>3</v>
      </c>
      <c r="AF629">
        <v>4</v>
      </c>
      <c r="AG629">
        <v>25</v>
      </c>
      <c r="AH629">
        <v>12</v>
      </c>
      <c r="AI629">
        <v>4</v>
      </c>
      <c r="AJ629">
        <v>12</v>
      </c>
    </row>
    <row r="630" spans="1:36" x14ac:dyDescent="0.25">
      <c r="A630">
        <v>361</v>
      </c>
      <c r="B630">
        <v>52</v>
      </c>
      <c r="C630" t="s">
        <v>9</v>
      </c>
      <c r="D630" t="s">
        <v>15</v>
      </c>
      <c r="E630">
        <v>699</v>
      </c>
      <c r="F630" t="s">
        <v>119</v>
      </c>
      <c r="G630">
        <v>1</v>
      </c>
      <c r="H630">
        <v>4</v>
      </c>
      <c r="I630" t="s">
        <v>21</v>
      </c>
      <c r="J630">
        <v>1</v>
      </c>
      <c r="K630">
        <v>259</v>
      </c>
      <c r="L630">
        <v>3</v>
      </c>
      <c r="M630" t="s">
        <v>23</v>
      </c>
      <c r="N630">
        <v>65</v>
      </c>
      <c r="O630">
        <v>2</v>
      </c>
      <c r="P630">
        <v>5</v>
      </c>
      <c r="Q630" t="s">
        <v>35</v>
      </c>
      <c r="R630">
        <v>3</v>
      </c>
      <c r="S630" t="s">
        <v>28</v>
      </c>
      <c r="T630">
        <v>19999</v>
      </c>
      <c r="U630">
        <v>5678</v>
      </c>
      <c r="V630">
        <v>0</v>
      </c>
      <c r="W630" t="s">
        <v>29</v>
      </c>
      <c r="X630" t="s">
        <v>9</v>
      </c>
      <c r="Y630">
        <v>14</v>
      </c>
      <c r="Z630">
        <v>3</v>
      </c>
      <c r="AA630">
        <v>1</v>
      </c>
      <c r="AB630">
        <v>80</v>
      </c>
      <c r="AC630">
        <v>1</v>
      </c>
      <c r="AD630">
        <v>34</v>
      </c>
      <c r="AE630">
        <v>5</v>
      </c>
      <c r="AF630">
        <v>3</v>
      </c>
      <c r="AG630">
        <v>33</v>
      </c>
      <c r="AH630">
        <v>18</v>
      </c>
      <c r="AI630">
        <v>11</v>
      </c>
      <c r="AJ630">
        <v>9</v>
      </c>
    </row>
    <row r="631" spans="1:36" x14ac:dyDescent="0.25">
      <c r="A631">
        <v>697</v>
      </c>
      <c r="B631">
        <v>48</v>
      </c>
      <c r="C631" t="s">
        <v>9</v>
      </c>
      <c r="D631" t="s">
        <v>11</v>
      </c>
      <c r="E631">
        <v>365</v>
      </c>
      <c r="F631" t="s">
        <v>119</v>
      </c>
      <c r="G631">
        <v>4</v>
      </c>
      <c r="H631">
        <v>5</v>
      </c>
      <c r="I631" t="s">
        <v>17</v>
      </c>
      <c r="J631">
        <v>1</v>
      </c>
      <c r="K631">
        <v>1644</v>
      </c>
      <c r="L631">
        <v>3</v>
      </c>
      <c r="M631" t="s">
        <v>23</v>
      </c>
      <c r="N631">
        <v>89</v>
      </c>
      <c r="O631">
        <v>2</v>
      </c>
      <c r="P631">
        <v>4</v>
      </c>
      <c r="Q631" t="s">
        <v>35</v>
      </c>
      <c r="R631">
        <v>4</v>
      </c>
      <c r="S631" t="s">
        <v>28</v>
      </c>
      <c r="T631">
        <v>15202</v>
      </c>
      <c r="U631">
        <v>5602</v>
      </c>
      <c r="V631">
        <v>2</v>
      </c>
      <c r="W631" t="s">
        <v>29</v>
      </c>
      <c r="X631" t="s">
        <v>9</v>
      </c>
      <c r="Y631">
        <v>25</v>
      </c>
      <c r="Z631">
        <v>4</v>
      </c>
      <c r="AA631">
        <v>2</v>
      </c>
      <c r="AB631">
        <v>80</v>
      </c>
      <c r="AC631">
        <v>1</v>
      </c>
      <c r="AD631">
        <v>23</v>
      </c>
      <c r="AE631">
        <v>3</v>
      </c>
      <c r="AF631">
        <v>3</v>
      </c>
      <c r="AG631">
        <v>2</v>
      </c>
      <c r="AH631">
        <v>2</v>
      </c>
      <c r="AI631">
        <v>2</v>
      </c>
      <c r="AJ631">
        <v>2</v>
      </c>
    </row>
    <row r="632" spans="1:36" x14ac:dyDescent="0.25">
      <c r="A632">
        <v>803</v>
      </c>
      <c r="B632">
        <v>39</v>
      </c>
      <c r="C632" t="s">
        <v>9</v>
      </c>
      <c r="D632" t="s">
        <v>15</v>
      </c>
      <c r="E632">
        <v>117</v>
      </c>
      <c r="F632" t="s">
        <v>119</v>
      </c>
      <c r="G632">
        <v>10</v>
      </c>
      <c r="H632">
        <v>1</v>
      </c>
      <c r="I632" t="s">
        <v>17</v>
      </c>
      <c r="J632">
        <v>1</v>
      </c>
      <c r="K632">
        <v>429</v>
      </c>
      <c r="L632">
        <v>3</v>
      </c>
      <c r="M632" t="s">
        <v>23</v>
      </c>
      <c r="N632">
        <v>99</v>
      </c>
      <c r="O632">
        <v>3</v>
      </c>
      <c r="P632">
        <v>4</v>
      </c>
      <c r="Q632" t="s">
        <v>35</v>
      </c>
      <c r="R632">
        <v>1</v>
      </c>
      <c r="S632" t="s">
        <v>28</v>
      </c>
      <c r="T632">
        <v>17068</v>
      </c>
      <c r="U632">
        <v>5355</v>
      </c>
      <c r="V632">
        <v>1</v>
      </c>
      <c r="W632" t="s">
        <v>29</v>
      </c>
      <c r="X632" t="s">
        <v>10</v>
      </c>
      <c r="Y632">
        <v>14</v>
      </c>
      <c r="Z632">
        <v>3</v>
      </c>
      <c r="AA632">
        <v>4</v>
      </c>
      <c r="AB632">
        <v>80</v>
      </c>
      <c r="AC632">
        <v>0</v>
      </c>
      <c r="AD632">
        <v>21</v>
      </c>
      <c r="AE632">
        <v>3</v>
      </c>
      <c r="AF632">
        <v>3</v>
      </c>
      <c r="AG632">
        <v>21</v>
      </c>
      <c r="AH632">
        <v>9</v>
      </c>
      <c r="AI632">
        <v>11</v>
      </c>
      <c r="AJ632">
        <v>10</v>
      </c>
    </row>
    <row r="633" spans="1:36" x14ac:dyDescent="0.25">
      <c r="A633">
        <v>722</v>
      </c>
      <c r="B633">
        <v>37</v>
      </c>
      <c r="C633" t="s">
        <v>9</v>
      </c>
      <c r="D633" t="s">
        <v>15</v>
      </c>
      <c r="E633">
        <v>671</v>
      </c>
      <c r="F633" t="s">
        <v>119</v>
      </c>
      <c r="G633">
        <v>19</v>
      </c>
      <c r="H633">
        <v>3</v>
      </c>
      <c r="I633" t="s">
        <v>21</v>
      </c>
      <c r="J633">
        <v>1</v>
      </c>
      <c r="K633">
        <v>1631</v>
      </c>
      <c r="L633">
        <v>3</v>
      </c>
      <c r="M633" t="s">
        <v>23</v>
      </c>
      <c r="N633">
        <v>85</v>
      </c>
      <c r="O633">
        <v>3</v>
      </c>
      <c r="P633">
        <v>2</v>
      </c>
      <c r="Q633" t="s">
        <v>31</v>
      </c>
      <c r="R633">
        <v>3</v>
      </c>
      <c r="S633" t="s">
        <v>28</v>
      </c>
      <c r="T633">
        <v>5768</v>
      </c>
      <c r="U633">
        <v>26493</v>
      </c>
      <c r="V633">
        <v>3</v>
      </c>
      <c r="W633" t="s">
        <v>29</v>
      </c>
      <c r="X633" t="s">
        <v>9</v>
      </c>
      <c r="Y633">
        <v>17</v>
      </c>
      <c r="Z633">
        <v>3</v>
      </c>
      <c r="AA633">
        <v>1</v>
      </c>
      <c r="AB633">
        <v>80</v>
      </c>
      <c r="AC633">
        <v>3</v>
      </c>
      <c r="AD633">
        <v>9</v>
      </c>
      <c r="AE633">
        <v>2</v>
      </c>
      <c r="AF633">
        <v>2</v>
      </c>
      <c r="AG633">
        <v>4</v>
      </c>
      <c r="AH633">
        <v>3</v>
      </c>
      <c r="AI633">
        <v>0</v>
      </c>
      <c r="AJ633">
        <v>2</v>
      </c>
    </row>
    <row r="634" spans="1:36" x14ac:dyDescent="0.25">
      <c r="A634">
        <v>270</v>
      </c>
      <c r="B634">
        <v>30</v>
      </c>
      <c r="C634" t="s">
        <v>9</v>
      </c>
      <c r="D634" t="s">
        <v>15</v>
      </c>
      <c r="E634">
        <v>1176</v>
      </c>
      <c r="F634" t="s">
        <v>119</v>
      </c>
      <c r="G634">
        <v>20</v>
      </c>
      <c r="H634">
        <v>3</v>
      </c>
      <c r="I634" t="s">
        <v>19</v>
      </c>
      <c r="J634">
        <v>1</v>
      </c>
      <c r="K634">
        <v>1084</v>
      </c>
      <c r="L634">
        <v>3</v>
      </c>
      <c r="M634" t="s">
        <v>23</v>
      </c>
      <c r="N634">
        <v>85</v>
      </c>
      <c r="O634">
        <v>3</v>
      </c>
      <c r="P634">
        <v>2</v>
      </c>
      <c r="Q634" t="s">
        <v>31</v>
      </c>
      <c r="R634">
        <v>1</v>
      </c>
      <c r="S634" t="s">
        <v>28</v>
      </c>
      <c r="T634">
        <v>9957</v>
      </c>
      <c r="U634">
        <v>9096</v>
      </c>
      <c r="V634">
        <v>0</v>
      </c>
      <c r="W634" t="s">
        <v>29</v>
      </c>
      <c r="X634" t="s">
        <v>9</v>
      </c>
      <c r="Y634">
        <v>15</v>
      </c>
      <c r="Z634">
        <v>3</v>
      </c>
      <c r="AA634">
        <v>3</v>
      </c>
      <c r="AB634">
        <v>80</v>
      </c>
      <c r="AC634">
        <v>1</v>
      </c>
      <c r="AD634">
        <v>7</v>
      </c>
      <c r="AE634">
        <v>1</v>
      </c>
      <c r="AF634">
        <v>2</v>
      </c>
      <c r="AG634">
        <v>6</v>
      </c>
      <c r="AH634">
        <v>2</v>
      </c>
      <c r="AI634">
        <v>0</v>
      </c>
      <c r="AJ634">
        <v>2</v>
      </c>
    </row>
    <row r="635" spans="1:36" x14ac:dyDescent="0.25">
      <c r="A635">
        <v>721</v>
      </c>
      <c r="B635">
        <v>37</v>
      </c>
      <c r="C635" t="s">
        <v>9</v>
      </c>
      <c r="D635" t="s">
        <v>15</v>
      </c>
      <c r="E635">
        <v>482</v>
      </c>
      <c r="F635" t="s">
        <v>119</v>
      </c>
      <c r="G635">
        <v>3</v>
      </c>
      <c r="H635">
        <v>3</v>
      </c>
      <c r="I635" t="s">
        <v>19</v>
      </c>
      <c r="J635">
        <v>1</v>
      </c>
      <c r="K635">
        <v>689</v>
      </c>
      <c r="L635">
        <v>3</v>
      </c>
      <c r="M635" t="s">
        <v>23</v>
      </c>
      <c r="N635">
        <v>36</v>
      </c>
      <c r="O635">
        <v>3</v>
      </c>
      <c r="P635">
        <v>3</v>
      </c>
      <c r="Q635" t="s">
        <v>31</v>
      </c>
      <c r="R635">
        <v>3</v>
      </c>
      <c r="S635" t="s">
        <v>28</v>
      </c>
      <c r="T635">
        <v>9434</v>
      </c>
      <c r="U635">
        <v>9606</v>
      </c>
      <c r="V635">
        <v>1</v>
      </c>
      <c r="W635" t="s">
        <v>29</v>
      </c>
      <c r="X635" t="s">
        <v>9</v>
      </c>
      <c r="Y635">
        <v>15</v>
      </c>
      <c r="Z635">
        <v>3</v>
      </c>
      <c r="AA635">
        <v>3</v>
      </c>
      <c r="AB635">
        <v>80</v>
      </c>
      <c r="AC635">
        <v>1</v>
      </c>
      <c r="AD635">
        <v>10</v>
      </c>
      <c r="AE635">
        <v>2</v>
      </c>
      <c r="AF635">
        <v>3</v>
      </c>
      <c r="AG635">
        <v>10</v>
      </c>
      <c r="AH635">
        <v>7</v>
      </c>
      <c r="AI635">
        <v>7</v>
      </c>
      <c r="AJ635">
        <v>8</v>
      </c>
    </row>
    <row r="636" spans="1:36" x14ac:dyDescent="0.25">
      <c r="A636">
        <v>606</v>
      </c>
      <c r="B636">
        <v>53</v>
      </c>
      <c r="C636" t="s">
        <v>9</v>
      </c>
      <c r="D636" t="s">
        <v>15</v>
      </c>
      <c r="E636">
        <v>970</v>
      </c>
      <c r="F636" t="s">
        <v>119</v>
      </c>
      <c r="G636">
        <v>7</v>
      </c>
      <c r="H636">
        <v>3</v>
      </c>
      <c r="I636" t="s">
        <v>21</v>
      </c>
      <c r="J636">
        <v>1</v>
      </c>
      <c r="K636">
        <v>730</v>
      </c>
      <c r="L636">
        <v>3</v>
      </c>
      <c r="M636" t="s">
        <v>23</v>
      </c>
      <c r="N636">
        <v>59</v>
      </c>
      <c r="O636">
        <v>4</v>
      </c>
      <c r="P636">
        <v>4</v>
      </c>
      <c r="Q636" t="s">
        <v>30</v>
      </c>
      <c r="R636">
        <v>3</v>
      </c>
      <c r="S636" t="s">
        <v>28</v>
      </c>
      <c r="T636">
        <v>14814</v>
      </c>
      <c r="U636">
        <v>13514</v>
      </c>
      <c r="V636">
        <v>3</v>
      </c>
      <c r="W636" t="s">
        <v>29</v>
      </c>
      <c r="X636" t="s">
        <v>9</v>
      </c>
      <c r="Y636">
        <v>19</v>
      </c>
      <c r="Z636">
        <v>3</v>
      </c>
      <c r="AA636">
        <v>3</v>
      </c>
      <c r="AB636">
        <v>80</v>
      </c>
      <c r="AC636">
        <v>0</v>
      </c>
      <c r="AD636">
        <v>32</v>
      </c>
      <c r="AE636">
        <v>3</v>
      </c>
      <c r="AF636">
        <v>3</v>
      </c>
      <c r="AG636">
        <v>5</v>
      </c>
      <c r="AH636">
        <v>1</v>
      </c>
      <c r="AI636">
        <v>1</v>
      </c>
      <c r="AJ636">
        <v>3</v>
      </c>
    </row>
    <row r="637" spans="1:36" x14ac:dyDescent="0.25">
      <c r="A637">
        <v>351</v>
      </c>
      <c r="B637">
        <v>42</v>
      </c>
      <c r="C637" t="s">
        <v>9</v>
      </c>
      <c r="D637" t="s">
        <v>15</v>
      </c>
      <c r="E637">
        <v>1396</v>
      </c>
      <c r="F637" t="s">
        <v>119</v>
      </c>
      <c r="G637">
        <v>6</v>
      </c>
      <c r="H637">
        <v>3</v>
      </c>
      <c r="I637" t="s">
        <v>17</v>
      </c>
      <c r="J637">
        <v>1</v>
      </c>
      <c r="K637">
        <v>1911</v>
      </c>
      <c r="L637">
        <v>3</v>
      </c>
      <c r="M637" t="s">
        <v>23</v>
      </c>
      <c r="N637">
        <v>83</v>
      </c>
      <c r="O637">
        <v>3</v>
      </c>
      <c r="P637">
        <v>3</v>
      </c>
      <c r="Q637" t="s">
        <v>30</v>
      </c>
      <c r="R637">
        <v>1</v>
      </c>
      <c r="S637" t="s">
        <v>28</v>
      </c>
      <c r="T637">
        <v>13348</v>
      </c>
      <c r="U637">
        <v>14842</v>
      </c>
      <c r="V637">
        <v>9</v>
      </c>
      <c r="W637" t="s">
        <v>29</v>
      </c>
      <c r="X637" t="s">
        <v>9</v>
      </c>
      <c r="Y637">
        <v>13</v>
      </c>
      <c r="Z637">
        <v>3</v>
      </c>
      <c r="AA637">
        <v>2</v>
      </c>
      <c r="AB637">
        <v>80</v>
      </c>
      <c r="AC637">
        <v>1</v>
      </c>
      <c r="AD637">
        <v>18</v>
      </c>
      <c r="AE637">
        <v>3</v>
      </c>
      <c r="AF637">
        <v>4</v>
      </c>
      <c r="AG637">
        <v>13</v>
      </c>
      <c r="AH637">
        <v>7</v>
      </c>
      <c r="AI637">
        <v>5</v>
      </c>
      <c r="AJ637">
        <v>7</v>
      </c>
    </row>
    <row r="638" spans="1:36" x14ac:dyDescent="0.25">
      <c r="A638">
        <v>789</v>
      </c>
      <c r="B638">
        <v>55</v>
      </c>
      <c r="C638" t="s">
        <v>9</v>
      </c>
      <c r="D638" t="s">
        <v>15</v>
      </c>
      <c r="E638">
        <v>478</v>
      </c>
      <c r="F638" t="s">
        <v>119</v>
      </c>
      <c r="G638">
        <v>2</v>
      </c>
      <c r="H638">
        <v>3</v>
      </c>
      <c r="I638" t="s">
        <v>17</v>
      </c>
      <c r="J638">
        <v>1</v>
      </c>
      <c r="K638">
        <v>1770</v>
      </c>
      <c r="L638">
        <v>3</v>
      </c>
      <c r="M638" t="s">
        <v>23</v>
      </c>
      <c r="N638">
        <v>60</v>
      </c>
      <c r="O638">
        <v>2</v>
      </c>
      <c r="P638">
        <v>5</v>
      </c>
      <c r="Q638" t="s">
        <v>30</v>
      </c>
      <c r="R638">
        <v>1</v>
      </c>
      <c r="S638" t="s">
        <v>28</v>
      </c>
      <c r="T638">
        <v>19038</v>
      </c>
      <c r="U638">
        <v>19805</v>
      </c>
      <c r="V638">
        <v>8</v>
      </c>
      <c r="W638" t="s">
        <v>29</v>
      </c>
      <c r="X638" t="s">
        <v>9</v>
      </c>
      <c r="Y638">
        <v>12</v>
      </c>
      <c r="Z638">
        <v>3</v>
      </c>
      <c r="AA638">
        <v>2</v>
      </c>
      <c r="AB638">
        <v>80</v>
      </c>
      <c r="AC638">
        <v>3</v>
      </c>
      <c r="AD638">
        <v>34</v>
      </c>
      <c r="AE638">
        <v>2</v>
      </c>
      <c r="AF638">
        <v>3</v>
      </c>
      <c r="AG638">
        <v>1</v>
      </c>
      <c r="AH638">
        <v>0</v>
      </c>
      <c r="AI638">
        <v>0</v>
      </c>
      <c r="AJ638">
        <v>0</v>
      </c>
    </row>
    <row r="639" spans="1:36" x14ac:dyDescent="0.25">
      <c r="A639">
        <v>818</v>
      </c>
      <c r="B639">
        <v>33</v>
      </c>
      <c r="C639" t="s">
        <v>9</v>
      </c>
      <c r="D639" t="s">
        <v>15</v>
      </c>
      <c r="E639">
        <v>213</v>
      </c>
      <c r="F639" t="s">
        <v>119</v>
      </c>
      <c r="G639">
        <v>7</v>
      </c>
      <c r="H639">
        <v>3</v>
      </c>
      <c r="I639" t="s">
        <v>17</v>
      </c>
      <c r="J639">
        <v>1</v>
      </c>
      <c r="K639">
        <v>817</v>
      </c>
      <c r="L639">
        <v>3</v>
      </c>
      <c r="M639" t="s">
        <v>23</v>
      </c>
      <c r="N639">
        <v>49</v>
      </c>
      <c r="O639">
        <v>3</v>
      </c>
      <c r="P639">
        <v>3</v>
      </c>
      <c r="Q639" t="s">
        <v>30</v>
      </c>
      <c r="R639">
        <v>3</v>
      </c>
      <c r="S639" t="s">
        <v>28</v>
      </c>
      <c r="T639">
        <v>11691</v>
      </c>
      <c r="U639">
        <v>25995</v>
      </c>
      <c r="V639">
        <v>0</v>
      </c>
      <c r="W639" t="s">
        <v>29</v>
      </c>
      <c r="X639" t="s">
        <v>9</v>
      </c>
      <c r="Y639">
        <v>11</v>
      </c>
      <c r="Z639">
        <v>3</v>
      </c>
      <c r="AA639">
        <v>4</v>
      </c>
      <c r="AB639">
        <v>80</v>
      </c>
      <c r="AC639">
        <v>0</v>
      </c>
      <c r="AD639">
        <v>14</v>
      </c>
      <c r="AE639">
        <v>3</v>
      </c>
      <c r="AF639">
        <v>4</v>
      </c>
      <c r="AG639">
        <v>13</v>
      </c>
      <c r="AH639">
        <v>9</v>
      </c>
      <c r="AI639">
        <v>3</v>
      </c>
      <c r="AJ639">
        <v>7</v>
      </c>
    </row>
    <row r="640" spans="1:36" x14ac:dyDescent="0.25">
      <c r="A640">
        <v>196</v>
      </c>
      <c r="B640">
        <v>51</v>
      </c>
      <c r="C640" t="s">
        <v>9</v>
      </c>
      <c r="D640" t="s">
        <v>15</v>
      </c>
      <c r="E640">
        <v>833</v>
      </c>
      <c r="F640" t="s">
        <v>119</v>
      </c>
      <c r="G640">
        <v>1</v>
      </c>
      <c r="H640">
        <v>3</v>
      </c>
      <c r="I640" t="s">
        <v>21</v>
      </c>
      <c r="J640">
        <v>1</v>
      </c>
      <c r="K640">
        <v>353</v>
      </c>
      <c r="L640">
        <v>3</v>
      </c>
      <c r="M640" t="s">
        <v>23</v>
      </c>
      <c r="N640">
        <v>96</v>
      </c>
      <c r="O640">
        <v>3</v>
      </c>
      <c r="P640">
        <v>1</v>
      </c>
      <c r="Q640" t="s">
        <v>32</v>
      </c>
      <c r="R640">
        <v>4</v>
      </c>
      <c r="S640" t="s">
        <v>28</v>
      </c>
      <c r="T640">
        <v>2723</v>
      </c>
      <c r="U640">
        <v>23231</v>
      </c>
      <c r="V640">
        <v>1</v>
      </c>
      <c r="W640" t="s">
        <v>29</v>
      </c>
      <c r="X640" t="s">
        <v>9</v>
      </c>
      <c r="Y640">
        <v>11</v>
      </c>
      <c r="Z640">
        <v>3</v>
      </c>
      <c r="AA640">
        <v>2</v>
      </c>
      <c r="AB640">
        <v>80</v>
      </c>
      <c r="AC640">
        <v>0</v>
      </c>
      <c r="AD640">
        <v>1</v>
      </c>
      <c r="AE640">
        <v>0</v>
      </c>
      <c r="AF640">
        <v>2</v>
      </c>
      <c r="AG640">
        <v>1</v>
      </c>
      <c r="AH640">
        <v>0</v>
      </c>
      <c r="AI640">
        <v>0</v>
      </c>
      <c r="AJ640">
        <v>0</v>
      </c>
    </row>
    <row r="641" spans="1:36" x14ac:dyDescent="0.25">
      <c r="A641">
        <v>243</v>
      </c>
      <c r="B641">
        <v>29</v>
      </c>
      <c r="C641" t="s">
        <v>9</v>
      </c>
      <c r="D641" t="s">
        <v>15</v>
      </c>
      <c r="E641">
        <v>1328</v>
      </c>
      <c r="F641" t="s">
        <v>119</v>
      </c>
      <c r="G641">
        <v>2</v>
      </c>
      <c r="H641">
        <v>3</v>
      </c>
      <c r="I641" t="s">
        <v>21</v>
      </c>
      <c r="J641">
        <v>1</v>
      </c>
      <c r="K641">
        <v>94</v>
      </c>
      <c r="L641">
        <v>3</v>
      </c>
      <c r="M641" t="s">
        <v>23</v>
      </c>
      <c r="N641">
        <v>76</v>
      </c>
      <c r="O641">
        <v>3</v>
      </c>
      <c r="P641">
        <v>1</v>
      </c>
      <c r="Q641" t="s">
        <v>32</v>
      </c>
      <c r="R641">
        <v>2</v>
      </c>
      <c r="S641" t="s">
        <v>28</v>
      </c>
      <c r="T641">
        <v>2703</v>
      </c>
      <c r="U641">
        <v>4956</v>
      </c>
      <c r="V641">
        <v>0</v>
      </c>
      <c r="W641" t="s">
        <v>29</v>
      </c>
      <c r="X641" t="s">
        <v>9</v>
      </c>
      <c r="Y641">
        <v>23</v>
      </c>
      <c r="Z641">
        <v>4</v>
      </c>
      <c r="AA641">
        <v>4</v>
      </c>
      <c r="AB641">
        <v>80</v>
      </c>
      <c r="AC641">
        <v>1</v>
      </c>
      <c r="AD641">
        <v>6</v>
      </c>
      <c r="AE641">
        <v>3</v>
      </c>
      <c r="AF641">
        <v>3</v>
      </c>
      <c r="AG641">
        <v>5</v>
      </c>
      <c r="AH641">
        <v>4</v>
      </c>
      <c r="AI641">
        <v>0</v>
      </c>
      <c r="AJ641">
        <v>4</v>
      </c>
    </row>
    <row r="642" spans="1:36" x14ac:dyDescent="0.25">
      <c r="A642">
        <v>308</v>
      </c>
      <c r="B642">
        <v>34</v>
      </c>
      <c r="C642" t="s">
        <v>9</v>
      </c>
      <c r="D642" t="s">
        <v>16</v>
      </c>
      <c r="E642">
        <v>697</v>
      </c>
      <c r="F642" t="s">
        <v>119</v>
      </c>
      <c r="G642">
        <v>3</v>
      </c>
      <c r="H642">
        <v>4</v>
      </c>
      <c r="I642" t="s">
        <v>21</v>
      </c>
      <c r="J642">
        <v>1</v>
      </c>
      <c r="K642">
        <v>1115</v>
      </c>
      <c r="L642">
        <v>3</v>
      </c>
      <c r="M642" t="s">
        <v>23</v>
      </c>
      <c r="N642">
        <v>40</v>
      </c>
      <c r="O642">
        <v>2</v>
      </c>
      <c r="P642">
        <v>1</v>
      </c>
      <c r="Q642" t="s">
        <v>32</v>
      </c>
      <c r="R642">
        <v>4</v>
      </c>
      <c r="S642" t="s">
        <v>28</v>
      </c>
      <c r="T642">
        <v>2979</v>
      </c>
      <c r="U642">
        <v>22478</v>
      </c>
      <c r="V642">
        <v>3</v>
      </c>
      <c r="W642" t="s">
        <v>29</v>
      </c>
      <c r="X642" t="s">
        <v>9</v>
      </c>
      <c r="Y642">
        <v>17</v>
      </c>
      <c r="Z642">
        <v>3</v>
      </c>
      <c r="AA642">
        <v>4</v>
      </c>
      <c r="AB642">
        <v>80</v>
      </c>
      <c r="AC642">
        <v>3</v>
      </c>
      <c r="AD642">
        <v>6</v>
      </c>
      <c r="AE642">
        <v>2</v>
      </c>
      <c r="AF642">
        <v>3</v>
      </c>
      <c r="AG642">
        <v>0</v>
      </c>
      <c r="AH642">
        <v>0</v>
      </c>
      <c r="AI642">
        <v>0</v>
      </c>
      <c r="AJ642">
        <v>0</v>
      </c>
    </row>
    <row r="643" spans="1:36" x14ac:dyDescent="0.25">
      <c r="A643">
        <v>525</v>
      </c>
      <c r="B643">
        <v>59</v>
      </c>
      <c r="C643" t="s">
        <v>9</v>
      </c>
      <c r="D643" t="s">
        <v>15</v>
      </c>
      <c r="E643">
        <v>142</v>
      </c>
      <c r="F643" t="s">
        <v>119</v>
      </c>
      <c r="G643">
        <v>3</v>
      </c>
      <c r="H643">
        <v>3</v>
      </c>
      <c r="I643" t="s">
        <v>21</v>
      </c>
      <c r="J643">
        <v>1</v>
      </c>
      <c r="K643">
        <v>309</v>
      </c>
      <c r="L643">
        <v>3</v>
      </c>
      <c r="M643" t="s">
        <v>23</v>
      </c>
      <c r="N643">
        <v>70</v>
      </c>
      <c r="O643">
        <v>2</v>
      </c>
      <c r="P643">
        <v>1</v>
      </c>
      <c r="Q643" t="s">
        <v>32</v>
      </c>
      <c r="R643">
        <v>4</v>
      </c>
      <c r="S643" t="s">
        <v>28</v>
      </c>
      <c r="T643">
        <v>2177</v>
      </c>
      <c r="U643">
        <v>8456</v>
      </c>
      <c r="V643">
        <v>3</v>
      </c>
      <c r="W643" t="s">
        <v>29</v>
      </c>
      <c r="X643" t="s">
        <v>9</v>
      </c>
      <c r="Y643">
        <v>17</v>
      </c>
      <c r="Z643">
        <v>3</v>
      </c>
      <c r="AA643">
        <v>1</v>
      </c>
      <c r="AB643">
        <v>80</v>
      </c>
      <c r="AC643">
        <v>1</v>
      </c>
      <c r="AD643">
        <v>7</v>
      </c>
      <c r="AE643">
        <v>6</v>
      </c>
      <c r="AF643">
        <v>3</v>
      </c>
      <c r="AG643">
        <v>1</v>
      </c>
      <c r="AH643">
        <v>0</v>
      </c>
      <c r="AI643">
        <v>0</v>
      </c>
      <c r="AJ643">
        <v>0</v>
      </c>
    </row>
    <row r="644" spans="1:36" x14ac:dyDescent="0.25">
      <c r="A644">
        <v>533</v>
      </c>
      <c r="B644">
        <v>29</v>
      </c>
      <c r="C644" t="s">
        <v>9</v>
      </c>
      <c r="D644" t="s">
        <v>15</v>
      </c>
      <c r="E644">
        <v>1252</v>
      </c>
      <c r="F644" t="s">
        <v>119</v>
      </c>
      <c r="G644">
        <v>23</v>
      </c>
      <c r="H644">
        <v>2</v>
      </c>
      <c r="I644" t="s">
        <v>21</v>
      </c>
      <c r="J644">
        <v>1</v>
      </c>
      <c r="K644">
        <v>824</v>
      </c>
      <c r="L644">
        <v>3</v>
      </c>
      <c r="M644" t="s">
        <v>23</v>
      </c>
      <c r="N644">
        <v>81</v>
      </c>
      <c r="O644">
        <v>4</v>
      </c>
      <c r="P644">
        <v>1</v>
      </c>
      <c r="Q644" t="s">
        <v>32</v>
      </c>
      <c r="R644">
        <v>3</v>
      </c>
      <c r="S644" t="s">
        <v>28</v>
      </c>
      <c r="T644">
        <v>2700</v>
      </c>
      <c r="U644">
        <v>23779</v>
      </c>
      <c r="V644">
        <v>1</v>
      </c>
      <c r="W644" t="s">
        <v>29</v>
      </c>
      <c r="X644" t="s">
        <v>9</v>
      </c>
      <c r="Y644">
        <v>24</v>
      </c>
      <c r="Z644">
        <v>4</v>
      </c>
      <c r="AA644">
        <v>3</v>
      </c>
      <c r="AB644">
        <v>80</v>
      </c>
      <c r="AC644">
        <v>1</v>
      </c>
      <c r="AD644">
        <v>10</v>
      </c>
      <c r="AE644">
        <v>3</v>
      </c>
      <c r="AF644">
        <v>3</v>
      </c>
      <c r="AG644">
        <v>10</v>
      </c>
      <c r="AH644">
        <v>7</v>
      </c>
      <c r="AI644">
        <v>0</v>
      </c>
      <c r="AJ644">
        <v>7</v>
      </c>
    </row>
    <row r="645" spans="1:36" x14ac:dyDescent="0.25">
      <c r="A645">
        <v>837</v>
      </c>
      <c r="B645">
        <v>37</v>
      </c>
      <c r="C645" t="s">
        <v>9</v>
      </c>
      <c r="D645" t="s">
        <v>15</v>
      </c>
      <c r="E645">
        <v>1439</v>
      </c>
      <c r="F645" t="s">
        <v>119</v>
      </c>
      <c r="G645">
        <v>4</v>
      </c>
      <c r="H645">
        <v>1</v>
      </c>
      <c r="I645" t="s">
        <v>21</v>
      </c>
      <c r="J645">
        <v>1</v>
      </c>
      <c r="K645">
        <v>1394</v>
      </c>
      <c r="L645">
        <v>3</v>
      </c>
      <c r="M645" t="s">
        <v>23</v>
      </c>
      <c r="N645">
        <v>54</v>
      </c>
      <c r="O645">
        <v>3</v>
      </c>
      <c r="P645">
        <v>1</v>
      </c>
      <c r="Q645" t="s">
        <v>32</v>
      </c>
      <c r="R645">
        <v>3</v>
      </c>
      <c r="S645" t="s">
        <v>28</v>
      </c>
      <c r="T645">
        <v>2996</v>
      </c>
      <c r="U645">
        <v>5182</v>
      </c>
      <c r="V645">
        <v>7</v>
      </c>
      <c r="W645" t="s">
        <v>29</v>
      </c>
      <c r="X645" t="s">
        <v>10</v>
      </c>
      <c r="Y645">
        <v>15</v>
      </c>
      <c r="Z645">
        <v>3</v>
      </c>
      <c r="AA645">
        <v>4</v>
      </c>
      <c r="AB645">
        <v>80</v>
      </c>
      <c r="AC645">
        <v>0</v>
      </c>
      <c r="AD645">
        <v>8</v>
      </c>
      <c r="AE645">
        <v>2</v>
      </c>
      <c r="AF645">
        <v>3</v>
      </c>
      <c r="AG645">
        <v>6</v>
      </c>
      <c r="AH645">
        <v>4</v>
      </c>
      <c r="AI645">
        <v>1</v>
      </c>
      <c r="AJ645">
        <v>3</v>
      </c>
    </row>
    <row r="646" spans="1:36" x14ac:dyDescent="0.25">
      <c r="A646" s="15">
        <v>522</v>
      </c>
      <c r="B646" s="15">
        <v>28</v>
      </c>
      <c r="C646" s="15" t="s">
        <v>10</v>
      </c>
      <c r="D646" s="15" t="s">
        <v>15</v>
      </c>
      <c r="E646" s="15">
        <v>329</v>
      </c>
      <c r="F646" s="15" t="s">
        <v>119</v>
      </c>
      <c r="G646" s="15">
        <v>24</v>
      </c>
      <c r="H646" s="15">
        <v>3</v>
      </c>
      <c r="I646" s="15" t="s">
        <v>17</v>
      </c>
      <c r="J646" s="15">
        <v>1</v>
      </c>
      <c r="K646" s="15">
        <v>1604</v>
      </c>
      <c r="L646" s="15">
        <v>3</v>
      </c>
      <c r="M646" s="15" t="s">
        <v>23</v>
      </c>
      <c r="N646" s="15">
        <v>51</v>
      </c>
      <c r="O646" s="15">
        <v>3</v>
      </c>
      <c r="P646" s="15">
        <v>1</v>
      </c>
      <c r="Q646" s="15" t="s">
        <v>36</v>
      </c>
      <c r="R646" s="15">
        <v>2</v>
      </c>
      <c r="S646" s="15" t="s">
        <v>28</v>
      </c>
      <c r="T646" s="15">
        <v>2408</v>
      </c>
      <c r="U646" s="15">
        <v>7324</v>
      </c>
      <c r="V646" s="15">
        <v>1</v>
      </c>
      <c r="W646" s="15" t="s">
        <v>29</v>
      </c>
      <c r="X646" s="15" t="s">
        <v>10</v>
      </c>
      <c r="Y646" s="15">
        <v>17</v>
      </c>
      <c r="Z646" s="15">
        <v>3</v>
      </c>
      <c r="AA646" s="15">
        <v>3</v>
      </c>
      <c r="AB646" s="15">
        <v>80</v>
      </c>
      <c r="AC646" s="15">
        <v>3</v>
      </c>
      <c r="AD646" s="15">
        <v>1</v>
      </c>
      <c r="AE646" s="15">
        <v>3</v>
      </c>
      <c r="AF646" s="15">
        <v>3</v>
      </c>
      <c r="AG646" s="15">
        <v>1</v>
      </c>
      <c r="AH646" s="15">
        <v>1</v>
      </c>
      <c r="AI646" s="15">
        <v>0</v>
      </c>
      <c r="AJ646" s="15">
        <v>0</v>
      </c>
    </row>
    <row r="647" spans="1:36" x14ac:dyDescent="0.25">
      <c r="A647">
        <v>685</v>
      </c>
      <c r="B647">
        <v>28</v>
      </c>
      <c r="C647" t="s">
        <v>9</v>
      </c>
      <c r="D647" t="s">
        <v>15</v>
      </c>
      <c r="E647">
        <v>440</v>
      </c>
      <c r="F647" t="s">
        <v>119</v>
      </c>
      <c r="G647">
        <v>21</v>
      </c>
      <c r="H647">
        <v>3</v>
      </c>
      <c r="I647" t="s">
        <v>17</v>
      </c>
      <c r="J647">
        <v>1</v>
      </c>
      <c r="K647">
        <v>221</v>
      </c>
      <c r="L647">
        <v>3</v>
      </c>
      <c r="M647" t="s">
        <v>23</v>
      </c>
      <c r="N647">
        <v>42</v>
      </c>
      <c r="O647">
        <v>3</v>
      </c>
      <c r="P647">
        <v>1</v>
      </c>
      <c r="Q647" t="s">
        <v>32</v>
      </c>
      <c r="R647">
        <v>4</v>
      </c>
      <c r="S647" t="s">
        <v>28</v>
      </c>
      <c r="T647">
        <v>2713</v>
      </c>
      <c r="U647">
        <v>6672</v>
      </c>
      <c r="V647">
        <v>1</v>
      </c>
      <c r="W647" t="s">
        <v>29</v>
      </c>
      <c r="X647" t="s">
        <v>9</v>
      </c>
      <c r="Y647">
        <v>11</v>
      </c>
      <c r="Z647">
        <v>3</v>
      </c>
      <c r="AA647">
        <v>3</v>
      </c>
      <c r="AB647">
        <v>80</v>
      </c>
      <c r="AC647">
        <v>1</v>
      </c>
      <c r="AD647">
        <v>5</v>
      </c>
      <c r="AE647">
        <v>2</v>
      </c>
      <c r="AF647">
        <v>1</v>
      </c>
      <c r="AG647">
        <v>5</v>
      </c>
      <c r="AH647">
        <v>2</v>
      </c>
      <c r="AI647">
        <v>0</v>
      </c>
      <c r="AJ647">
        <v>2</v>
      </c>
    </row>
    <row r="648" spans="1:36" x14ac:dyDescent="0.25">
      <c r="A648">
        <v>808</v>
      </c>
      <c r="B648">
        <v>22</v>
      </c>
      <c r="C648" t="s">
        <v>9</v>
      </c>
      <c r="D648" t="s">
        <v>15</v>
      </c>
      <c r="E648">
        <v>1256</v>
      </c>
      <c r="F648" t="s">
        <v>119</v>
      </c>
      <c r="G648">
        <v>19</v>
      </c>
      <c r="H648">
        <v>1</v>
      </c>
      <c r="I648" t="s">
        <v>17</v>
      </c>
      <c r="J648">
        <v>1</v>
      </c>
      <c r="K648">
        <v>217</v>
      </c>
      <c r="L648">
        <v>3</v>
      </c>
      <c r="M648" t="s">
        <v>23</v>
      </c>
      <c r="N648">
        <v>80</v>
      </c>
      <c r="O648">
        <v>3</v>
      </c>
      <c r="P648">
        <v>1</v>
      </c>
      <c r="Q648" t="s">
        <v>32</v>
      </c>
      <c r="R648">
        <v>4</v>
      </c>
      <c r="S648" t="s">
        <v>28</v>
      </c>
      <c r="T648">
        <v>2323</v>
      </c>
      <c r="U648">
        <v>11992</v>
      </c>
      <c r="V648">
        <v>1</v>
      </c>
      <c r="W648" t="s">
        <v>29</v>
      </c>
      <c r="X648" t="s">
        <v>9</v>
      </c>
      <c r="Y648">
        <v>24</v>
      </c>
      <c r="Z648">
        <v>4</v>
      </c>
      <c r="AA648">
        <v>1</v>
      </c>
      <c r="AB648">
        <v>80</v>
      </c>
      <c r="AC648">
        <v>2</v>
      </c>
      <c r="AD648">
        <v>2</v>
      </c>
      <c r="AE648">
        <v>6</v>
      </c>
      <c r="AF648">
        <v>3</v>
      </c>
      <c r="AG648">
        <v>2</v>
      </c>
      <c r="AH648">
        <v>2</v>
      </c>
      <c r="AI648">
        <v>2</v>
      </c>
      <c r="AJ648">
        <v>2</v>
      </c>
    </row>
    <row r="649" spans="1:36" x14ac:dyDescent="0.25">
      <c r="A649">
        <v>483</v>
      </c>
      <c r="B649">
        <v>34</v>
      </c>
      <c r="C649" t="s">
        <v>9</v>
      </c>
      <c r="D649" t="s">
        <v>11</v>
      </c>
      <c r="E649">
        <v>735</v>
      </c>
      <c r="F649" t="s">
        <v>119</v>
      </c>
      <c r="G649">
        <v>22</v>
      </c>
      <c r="H649">
        <v>4</v>
      </c>
      <c r="I649" t="s">
        <v>19</v>
      </c>
      <c r="J649">
        <v>1</v>
      </c>
      <c r="K649">
        <v>1932</v>
      </c>
      <c r="L649">
        <v>3</v>
      </c>
      <c r="M649" t="s">
        <v>23</v>
      </c>
      <c r="N649">
        <v>86</v>
      </c>
      <c r="O649">
        <v>2</v>
      </c>
      <c r="P649">
        <v>2</v>
      </c>
      <c r="Q649" t="s">
        <v>32</v>
      </c>
      <c r="R649">
        <v>4</v>
      </c>
      <c r="S649" t="s">
        <v>28</v>
      </c>
      <c r="T649">
        <v>5747</v>
      </c>
      <c r="U649">
        <v>26496</v>
      </c>
      <c r="V649">
        <v>1</v>
      </c>
      <c r="W649" t="s">
        <v>29</v>
      </c>
      <c r="X649" t="s">
        <v>10</v>
      </c>
      <c r="Y649">
        <v>15</v>
      </c>
      <c r="Z649">
        <v>3</v>
      </c>
      <c r="AA649">
        <v>2</v>
      </c>
      <c r="AB649">
        <v>80</v>
      </c>
      <c r="AC649">
        <v>0</v>
      </c>
      <c r="AD649">
        <v>16</v>
      </c>
      <c r="AE649">
        <v>3</v>
      </c>
      <c r="AF649">
        <v>3</v>
      </c>
      <c r="AG649">
        <v>15</v>
      </c>
      <c r="AH649">
        <v>10</v>
      </c>
      <c r="AI649">
        <v>6</v>
      </c>
      <c r="AJ649">
        <v>11</v>
      </c>
    </row>
    <row r="650" spans="1:36" x14ac:dyDescent="0.25">
      <c r="A650">
        <v>172</v>
      </c>
      <c r="B650">
        <v>47</v>
      </c>
      <c r="C650" t="s">
        <v>9</v>
      </c>
      <c r="D650" t="s">
        <v>16</v>
      </c>
      <c r="E650">
        <v>1169</v>
      </c>
      <c r="F650" t="s">
        <v>119</v>
      </c>
      <c r="G650">
        <v>14</v>
      </c>
      <c r="H650">
        <v>4</v>
      </c>
      <c r="I650" t="s">
        <v>22</v>
      </c>
      <c r="J650">
        <v>1</v>
      </c>
      <c r="K650">
        <v>1934</v>
      </c>
      <c r="L650">
        <v>3</v>
      </c>
      <c r="M650" t="s">
        <v>23</v>
      </c>
      <c r="N650">
        <v>64</v>
      </c>
      <c r="O650">
        <v>3</v>
      </c>
      <c r="P650">
        <v>2</v>
      </c>
      <c r="Q650" t="s">
        <v>32</v>
      </c>
      <c r="R650">
        <v>2</v>
      </c>
      <c r="S650" t="s">
        <v>28</v>
      </c>
      <c r="T650">
        <v>5467</v>
      </c>
      <c r="U650">
        <v>2125</v>
      </c>
      <c r="V650">
        <v>8</v>
      </c>
      <c r="W650" t="s">
        <v>29</v>
      </c>
      <c r="X650" t="s">
        <v>9</v>
      </c>
      <c r="Y650">
        <v>18</v>
      </c>
      <c r="Z650">
        <v>3</v>
      </c>
      <c r="AA650">
        <v>3</v>
      </c>
      <c r="AB650">
        <v>80</v>
      </c>
      <c r="AC650">
        <v>1</v>
      </c>
      <c r="AD650">
        <v>16</v>
      </c>
      <c r="AE650">
        <v>4</v>
      </c>
      <c r="AF650">
        <v>4</v>
      </c>
      <c r="AG650">
        <v>8</v>
      </c>
      <c r="AH650">
        <v>7</v>
      </c>
      <c r="AI650">
        <v>1</v>
      </c>
      <c r="AJ650">
        <v>7</v>
      </c>
    </row>
    <row r="651" spans="1:36" x14ac:dyDescent="0.25">
      <c r="A651">
        <v>810</v>
      </c>
      <c r="B651">
        <v>27</v>
      </c>
      <c r="C651" t="s">
        <v>9</v>
      </c>
      <c r="D651" t="s">
        <v>15</v>
      </c>
      <c r="E651">
        <v>1157</v>
      </c>
      <c r="F651" t="s">
        <v>119</v>
      </c>
      <c r="G651">
        <v>17</v>
      </c>
      <c r="H651">
        <v>3</v>
      </c>
      <c r="I651" t="s">
        <v>22</v>
      </c>
      <c r="J651">
        <v>1</v>
      </c>
      <c r="K651">
        <v>233</v>
      </c>
      <c r="L651">
        <v>3</v>
      </c>
      <c r="M651" t="s">
        <v>23</v>
      </c>
      <c r="N651">
        <v>51</v>
      </c>
      <c r="O651">
        <v>3</v>
      </c>
      <c r="P651">
        <v>1</v>
      </c>
      <c r="Q651" t="s">
        <v>32</v>
      </c>
      <c r="R651">
        <v>2</v>
      </c>
      <c r="S651" t="s">
        <v>28</v>
      </c>
      <c r="T651">
        <v>3058</v>
      </c>
      <c r="U651">
        <v>13364</v>
      </c>
      <c r="V651">
        <v>0</v>
      </c>
      <c r="W651" t="s">
        <v>29</v>
      </c>
      <c r="X651" t="s">
        <v>10</v>
      </c>
      <c r="Y651">
        <v>16</v>
      </c>
      <c r="Z651">
        <v>3</v>
      </c>
      <c r="AA651">
        <v>4</v>
      </c>
      <c r="AB651">
        <v>80</v>
      </c>
      <c r="AC651">
        <v>1</v>
      </c>
      <c r="AD651">
        <v>6</v>
      </c>
      <c r="AE651">
        <v>3</v>
      </c>
      <c r="AF651">
        <v>2</v>
      </c>
      <c r="AG651">
        <v>5</v>
      </c>
      <c r="AH651">
        <v>2</v>
      </c>
      <c r="AI651">
        <v>1</v>
      </c>
      <c r="AJ651">
        <v>1</v>
      </c>
    </row>
    <row r="652" spans="1:36" x14ac:dyDescent="0.25">
      <c r="A652" s="15">
        <v>465</v>
      </c>
      <c r="B652" s="15">
        <v>43</v>
      </c>
      <c r="C652" s="15" t="s">
        <v>10</v>
      </c>
      <c r="D652" s="15" t="s">
        <v>11</v>
      </c>
      <c r="E652" s="15">
        <v>807</v>
      </c>
      <c r="F652" s="15" t="s">
        <v>119</v>
      </c>
      <c r="G652" s="15">
        <v>17</v>
      </c>
      <c r="H652" s="15">
        <v>3</v>
      </c>
      <c r="I652" s="15" t="s">
        <v>22</v>
      </c>
      <c r="J652" s="15">
        <v>1</v>
      </c>
      <c r="K652" s="15">
        <v>1767</v>
      </c>
      <c r="L652" s="15">
        <v>3</v>
      </c>
      <c r="M652" s="15" t="s">
        <v>23</v>
      </c>
      <c r="N652" s="15">
        <v>38</v>
      </c>
      <c r="O652" s="15">
        <v>2</v>
      </c>
      <c r="P652" s="15">
        <v>1</v>
      </c>
      <c r="Q652" s="15" t="s">
        <v>32</v>
      </c>
      <c r="R652" s="15">
        <v>3</v>
      </c>
      <c r="S652" s="15" t="s">
        <v>28</v>
      </c>
      <c r="T652" s="15">
        <v>2437</v>
      </c>
      <c r="U652" s="15">
        <v>15587</v>
      </c>
      <c r="V652" s="15">
        <v>9</v>
      </c>
      <c r="W652" s="15" t="s">
        <v>29</v>
      </c>
      <c r="X652" s="15" t="s">
        <v>10</v>
      </c>
      <c r="Y652" s="15">
        <v>16</v>
      </c>
      <c r="Z652" s="15">
        <v>3</v>
      </c>
      <c r="AA652" s="15">
        <v>4</v>
      </c>
      <c r="AB652" s="15">
        <v>80</v>
      </c>
      <c r="AC652" s="15">
        <v>1</v>
      </c>
      <c r="AD652" s="15">
        <v>6</v>
      </c>
      <c r="AE652" s="15">
        <v>4</v>
      </c>
      <c r="AF652" s="15">
        <v>3</v>
      </c>
      <c r="AG652" s="15">
        <v>1</v>
      </c>
      <c r="AH652" s="15">
        <v>0</v>
      </c>
      <c r="AI652" s="15">
        <v>0</v>
      </c>
      <c r="AJ652" s="15">
        <v>0</v>
      </c>
    </row>
    <row r="653" spans="1:36" x14ac:dyDescent="0.25">
      <c r="A653" s="15">
        <v>61</v>
      </c>
      <c r="B653" s="15">
        <v>36</v>
      </c>
      <c r="C653" s="15" t="s">
        <v>10</v>
      </c>
      <c r="D653" s="15" t="s">
        <v>15</v>
      </c>
      <c r="E653" s="15">
        <v>530</v>
      </c>
      <c r="F653" s="15" t="s">
        <v>118</v>
      </c>
      <c r="G653" s="15">
        <v>3</v>
      </c>
      <c r="H653" s="15">
        <v>1</v>
      </c>
      <c r="I653" s="15" t="s">
        <v>21</v>
      </c>
      <c r="J653" s="15">
        <v>1</v>
      </c>
      <c r="K653" s="15">
        <v>967</v>
      </c>
      <c r="L653" s="15">
        <v>3</v>
      </c>
      <c r="M653" s="15" t="s">
        <v>23</v>
      </c>
      <c r="N653" s="15">
        <v>51</v>
      </c>
      <c r="O653" s="15">
        <v>2</v>
      </c>
      <c r="P653" s="15">
        <v>3</v>
      </c>
      <c r="Q653" s="15" t="s">
        <v>25</v>
      </c>
      <c r="R653" s="15">
        <v>4</v>
      </c>
      <c r="S653" s="15" t="s">
        <v>28</v>
      </c>
      <c r="T653" s="15">
        <v>10325</v>
      </c>
      <c r="U653" s="15">
        <v>5518</v>
      </c>
      <c r="V653" s="15">
        <v>1</v>
      </c>
      <c r="W653" s="15" t="s">
        <v>29</v>
      </c>
      <c r="X653" s="15" t="s">
        <v>10</v>
      </c>
      <c r="Y653" s="15">
        <v>11</v>
      </c>
      <c r="Z653" s="15">
        <v>3</v>
      </c>
      <c r="AA653" s="15">
        <v>1</v>
      </c>
      <c r="AB653" s="15">
        <v>80</v>
      </c>
      <c r="AC653" s="15">
        <v>1</v>
      </c>
      <c r="AD653" s="15">
        <v>16</v>
      </c>
      <c r="AE653" s="15">
        <v>6</v>
      </c>
      <c r="AF653" s="15">
        <v>3</v>
      </c>
      <c r="AG653" s="15">
        <v>16</v>
      </c>
      <c r="AH653" s="15">
        <v>7</v>
      </c>
      <c r="AI653" s="15">
        <v>3</v>
      </c>
      <c r="AJ653" s="15">
        <v>7</v>
      </c>
    </row>
    <row r="654" spans="1:36" x14ac:dyDescent="0.25">
      <c r="A654">
        <v>27</v>
      </c>
      <c r="B654">
        <v>38</v>
      </c>
      <c r="C654" t="s">
        <v>9</v>
      </c>
      <c r="D654" t="s">
        <v>15</v>
      </c>
      <c r="E654">
        <v>1245</v>
      </c>
      <c r="F654" t="s">
        <v>118</v>
      </c>
      <c r="G654">
        <v>14</v>
      </c>
      <c r="H654">
        <v>3</v>
      </c>
      <c r="I654" t="s">
        <v>21</v>
      </c>
      <c r="J654">
        <v>1</v>
      </c>
      <c r="K654">
        <v>1582</v>
      </c>
      <c r="L654">
        <v>3</v>
      </c>
      <c r="M654" t="s">
        <v>23</v>
      </c>
      <c r="N654">
        <v>80</v>
      </c>
      <c r="O654">
        <v>3</v>
      </c>
      <c r="P654">
        <v>2</v>
      </c>
      <c r="Q654" t="s">
        <v>25</v>
      </c>
      <c r="R654">
        <v>2</v>
      </c>
      <c r="S654" t="s">
        <v>28</v>
      </c>
      <c r="T654">
        <v>9924</v>
      </c>
      <c r="U654">
        <v>12355</v>
      </c>
      <c r="V654">
        <v>0</v>
      </c>
      <c r="W654" t="s">
        <v>29</v>
      </c>
      <c r="X654" t="s">
        <v>9</v>
      </c>
      <c r="Y654">
        <v>11</v>
      </c>
      <c r="Z654">
        <v>3</v>
      </c>
      <c r="AA654">
        <v>4</v>
      </c>
      <c r="AB654">
        <v>80</v>
      </c>
      <c r="AC654">
        <v>1</v>
      </c>
      <c r="AD654">
        <v>10</v>
      </c>
      <c r="AE654">
        <v>3</v>
      </c>
      <c r="AF654">
        <v>3</v>
      </c>
      <c r="AG654">
        <v>9</v>
      </c>
      <c r="AH654">
        <v>8</v>
      </c>
      <c r="AI654">
        <v>7</v>
      </c>
      <c r="AJ654">
        <v>7</v>
      </c>
    </row>
    <row r="655" spans="1:36" x14ac:dyDescent="0.25">
      <c r="A655">
        <v>115</v>
      </c>
      <c r="B655">
        <v>35</v>
      </c>
      <c r="C655" t="s">
        <v>9</v>
      </c>
      <c r="D655" t="s">
        <v>15</v>
      </c>
      <c r="E655">
        <v>1361</v>
      </c>
      <c r="F655" t="s">
        <v>118</v>
      </c>
      <c r="G655">
        <v>17</v>
      </c>
      <c r="H655">
        <v>4</v>
      </c>
      <c r="I655" t="s">
        <v>21</v>
      </c>
      <c r="J655">
        <v>1</v>
      </c>
      <c r="K655">
        <v>1218</v>
      </c>
      <c r="L655">
        <v>3</v>
      </c>
      <c r="M655" t="s">
        <v>23</v>
      </c>
      <c r="N655">
        <v>94</v>
      </c>
      <c r="O655">
        <v>3</v>
      </c>
      <c r="P655">
        <v>2</v>
      </c>
      <c r="Q655" t="s">
        <v>25</v>
      </c>
      <c r="R655">
        <v>1</v>
      </c>
      <c r="S655" t="s">
        <v>28</v>
      </c>
      <c r="T655">
        <v>8966</v>
      </c>
      <c r="U655">
        <v>21026</v>
      </c>
      <c r="V655">
        <v>3</v>
      </c>
      <c r="W655" t="s">
        <v>29</v>
      </c>
      <c r="X655" t="s">
        <v>10</v>
      </c>
      <c r="Y655">
        <v>15</v>
      </c>
      <c r="Z655">
        <v>3</v>
      </c>
      <c r="AA655">
        <v>4</v>
      </c>
      <c r="AB655">
        <v>80</v>
      </c>
      <c r="AC655">
        <v>3</v>
      </c>
      <c r="AD655">
        <v>15</v>
      </c>
      <c r="AE655">
        <v>2</v>
      </c>
      <c r="AF655">
        <v>3</v>
      </c>
      <c r="AG655">
        <v>7</v>
      </c>
      <c r="AH655">
        <v>7</v>
      </c>
      <c r="AI655">
        <v>1</v>
      </c>
      <c r="AJ655">
        <v>7</v>
      </c>
    </row>
    <row r="656" spans="1:36" x14ac:dyDescent="0.25">
      <c r="A656">
        <v>259</v>
      </c>
      <c r="B656">
        <v>34</v>
      </c>
      <c r="C656" t="s">
        <v>9</v>
      </c>
      <c r="D656" t="s">
        <v>15</v>
      </c>
      <c r="E656">
        <v>1480</v>
      </c>
      <c r="F656" t="s">
        <v>118</v>
      </c>
      <c r="G656">
        <v>4</v>
      </c>
      <c r="H656">
        <v>3</v>
      </c>
      <c r="I656" t="s">
        <v>21</v>
      </c>
      <c r="J656">
        <v>1</v>
      </c>
      <c r="K656">
        <v>1882</v>
      </c>
      <c r="L656">
        <v>3</v>
      </c>
      <c r="M656" t="s">
        <v>23</v>
      </c>
      <c r="N656">
        <v>64</v>
      </c>
      <c r="O656">
        <v>3</v>
      </c>
      <c r="P656">
        <v>3</v>
      </c>
      <c r="Q656" t="s">
        <v>25</v>
      </c>
      <c r="R656">
        <v>4</v>
      </c>
      <c r="S656" t="s">
        <v>28</v>
      </c>
      <c r="T656">
        <v>9713</v>
      </c>
      <c r="U656">
        <v>24444</v>
      </c>
      <c r="V656">
        <v>2</v>
      </c>
      <c r="W656" t="s">
        <v>29</v>
      </c>
      <c r="X656" t="s">
        <v>10</v>
      </c>
      <c r="Y656">
        <v>13</v>
      </c>
      <c r="Z656">
        <v>3</v>
      </c>
      <c r="AA656">
        <v>4</v>
      </c>
      <c r="AB656">
        <v>80</v>
      </c>
      <c r="AC656">
        <v>3</v>
      </c>
      <c r="AD656">
        <v>9</v>
      </c>
      <c r="AE656">
        <v>3</v>
      </c>
      <c r="AF656">
        <v>3</v>
      </c>
      <c r="AG656">
        <v>5</v>
      </c>
      <c r="AH656">
        <v>3</v>
      </c>
      <c r="AI656">
        <v>1</v>
      </c>
      <c r="AJ656">
        <v>0</v>
      </c>
    </row>
    <row r="657" spans="1:36" x14ac:dyDescent="0.25">
      <c r="A657">
        <v>425</v>
      </c>
      <c r="B657">
        <v>28</v>
      </c>
      <c r="C657" t="s">
        <v>9</v>
      </c>
      <c r="D657" t="s">
        <v>15</v>
      </c>
      <c r="E657">
        <v>736</v>
      </c>
      <c r="F657" t="s">
        <v>118</v>
      </c>
      <c r="G657">
        <v>26</v>
      </c>
      <c r="H657">
        <v>3</v>
      </c>
      <c r="I657" t="s">
        <v>21</v>
      </c>
      <c r="J657">
        <v>1</v>
      </c>
      <c r="K657">
        <v>1387</v>
      </c>
      <c r="L657">
        <v>3</v>
      </c>
      <c r="M657" t="s">
        <v>23</v>
      </c>
      <c r="N657">
        <v>48</v>
      </c>
      <c r="O657">
        <v>2</v>
      </c>
      <c r="P657">
        <v>2</v>
      </c>
      <c r="Q657" t="s">
        <v>25</v>
      </c>
      <c r="R657">
        <v>1</v>
      </c>
      <c r="S657" t="s">
        <v>28</v>
      </c>
      <c r="T657">
        <v>4724</v>
      </c>
      <c r="U657">
        <v>24232</v>
      </c>
      <c r="V657">
        <v>1</v>
      </c>
      <c r="W657" t="s">
        <v>29</v>
      </c>
      <c r="X657" t="s">
        <v>9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5</v>
      </c>
      <c r="AE657">
        <v>0</v>
      </c>
      <c r="AF657">
        <v>3</v>
      </c>
      <c r="AG657">
        <v>5</v>
      </c>
      <c r="AH657">
        <v>3</v>
      </c>
      <c r="AI657">
        <v>0</v>
      </c>
      <c r="AJ657">
        <v>4</v>
      </c>
    </row>
    <row r="658" spans="1:36" x14ac:dyDescent="0.25">
      <c r="A658">
        <v>560</v>
      </c>
      <c r="B658">
        <v>26</v>
      </c>
      <c r="C658" t="s">
        <v>9</v>
      </c>
      <c r="D658" t="s">
        <v>15</v>
      </c>
      <c r="E658">
        <v>933</v>
      </c>
      <c r="F658" t="s">
        <v>118</v>
      </c>
      <c r="G658">
        <v>1</v>
      </c>
      <c r="H658">
        <v>3</v>
      </c>
      <c r="I658" t="s">
        <v>21</v>
      </c>
      <c r="J658">
        <v>1</v>
      </c>
      <c r="K658">
        <v>476</v>
      </c>
      <c r="L658">
        <v>3</v>
      </c>
      <c r="M658" t="s">
        <v>23</v>
      </c>
      <c r="N658">
        <v>57</v>
      </c>
      <c r="O658">
        <v>3</v>
      </c>
      <c r="P658">
        <v>2</v>
      </c>
      <c r="Q658" t="s">
        <v>25</v>
      </c>
      <c r="R658">
        <v>3</v>
      </c>
      <c r="S658" t="s">
        <v>28</v>
      </c>
      <c r="T658">
        <v>5296</v>
      </c>
      <c r="U658">
        <v>20156</v>
      </c>
      <c r="V658">
        <v>1</v>
      </c>
      <c r="W658" t="s">
        <v>29</v>
      </c>
      <c r="X658" t="s">
        <v>9</v>
      </c>
      <c r="Y658">
        <v>17</v>
      </c>
      <c r="Z658">
        <v>3</v>
      </c>
      <c r="AA658">
        <v>2</v>
      </c>
      <c r="AB658">
        <v>80</v>
      </c>
      <c r="AC658">
        <v>1</v>
      </c>
      <c r="AD658">
        <v>8</v>
      </c>
      <c r="AE658">
        <v>3</v>
      </c>
      <c r="AF658">
        <v>3</v>
      </c>
      <c r="AG658">
        <v>8</v>
      </c>
      <c r="AH658">
        <v>7</v>
      </c>
      <c r="AI658">
        <v>7</v>
      </c>
      <c r="AJ658">
        <v>7</v>
      </c>
    </row>
    <row r="659" spans="1:36" x14ac:dyDescent="0.25">
      <c r="A659">
        <v>573</v>
      </c>
      <c r="B659">
        <v>28</v>
      </c>
      <c r="C659" t="s">
        <v>9</v>
      </c>
      <c r="D659" t="s">
        <v>11</v>
      </c>
      <c r="E659">
        <v>783</v>
      </c>
      <c r="F659" t="s">
        <v>118</v>
      </c>
      <c r="G659">
        <v>1</v>
      </c>
      <c r="H659">
        <v>2</v>
      </c>
      <c r="I659" t="s">
        <v>21</v>
      </c>
      <c r="J659">
        <v>1</v>
      </c>
      <c r="K659">
        <v>1927</v>
      </c>
      <c r="L659">
        <v>3</v>
      </c>
      <c r="M659" t="s">
        <v>23</v>
      </c>
      <c r="N659">
        <v>42</v>
      </c>
      <c r="O659">
        <v>2</v>
      </c>
      <c r="P659">
        <v>2</v>
      </c>
      <c r="Q659" t="s">
        <v>25</v>
      </c>
      <c r="R659">
        <v>4</v>
      </c>
      <c r="S659" t="s">
        <v>28</v>
      </c>
      <c r="T659">
        <v>6834</v>
      </c>
      <c r="U659">
        <v>19255</v>
      </c>
      <c r="V659">
        <v>1</v>
      </c>
      <c r="W659" t="s">
        <v>29</v>
      </c>
      <c r="X659" t="s">
        <v>10</v>
      </c>
      <c r="Y659">
        <v>12</v>
      </c>
      <c r="Z659">
        <v>3</v>
      </c>
      <c r="AA659">
        <v>3</v>
      </c>
      <c r="AB659">
        <v>80</v>
      </c>
      <c r="AC659">
        <v>1</v>
      </c>
      <c r="AD659">
        <v>7</v>
      </c>
      <c r="AE659">
        <v>2</v>
      </c>
      <c r="AF659">
        <v>3</v>
      </c>
      <c r="AG659">
        <v>7</v>
      </c>
      <c r="AH659">
        <v>7</v>
      </c>
      <c r="AI659">
        <v>0</v>
      </c>
      <c r="AJ659">
        <v>7</v>
      </c>
    </row>
    <row r="660" spans="1:36" x14ac:dyDescent="0.25">
      <c r="A660">
        <v>165</v>
      </c>
      <c r="B660">
        <v>35</v>
      </c>
      <c r="C660" t="s">
        <v>9</v>
      </c>
      <c r="D660" t="s">
        <v>15</v>
      </c>
      <c r="E660">
        <v>1232</v>
      </c>
      <c r="F660" t="s">
        <v>118</v>
      </c>
      <c r="G660">
        <v>16</v>
      </c>
      <c r="H660">
        <v>3</v>
      </c>
      <c r="I660" t="s">
        <v>18</v>
      </c>
      <c r="J660">
        <v>1</v>
      </c>
      <c r="K660">
        <v>406</v>
      </c>
      <c r="L660">
        <v>3</v>
      </c>
      <c r="M660" t="s">
        <v>23</v>
      </c>
      <c r="N660">
        <v>96</v>
      </c>
      <c r="O660">
        <v>3</v>
      </c>
      <c r="P660">
        <v>3</v>
      </c>
      <c r="Q660" t="s">
        <v>25</v>
      </c>
      <c r="R660">
        <v>2</v>
      </c>
      <c r="S660" t="s">
        <v>28</v>
      </c>
      <c r="T660">
        <v>8020</v>
      </c>
      <c r="U660">
        <v>5100</v>
      </c>
      <c r="V660">
        <v>0</v>
      </c>
      <c r="W660" t="s">
        <v>29</v>
      </c>
      <c r="X660" t="s">
        <v>9</v>
      </c>
      <c r="Y660">
        <v>15</v>
      </c>
      <c r="Z660">
        <v>3</v>
      </c>
      <c r="AA660">
        <v>3</v>
      </c>
      <c r="AB660">
        <v>80</v>
      </c>
      <c r="AC660">
        <v>2</v>
      </c>
      <c r="AD660">
        <v>12</v>
      </c>
      <c r="AE660">
        <v>3</v>
      </c>
      <c r="AF660">
        <v>2</v>
      </c>
      <c r="AG660">
        <v>11</v>
      </c>
      <c r="AH660">
        <v>9</v>
      </c>
      <c r="AI660">
        <v>6</v>
      </c>
      <c r="AJ660">
        <v>9</v>
      </c>
    </row>
    <row r="661" spans="1:36" x14ac:dyDescent="0.25">
      <c r="A661">
        <v>646</v>
      </c>
      <c r="B661">
        <v>40</v>
      </c>
      <c r="C661" t="s">
        <v>9</v>
      </c>
      <c r="D661" t="s">
        <v>15</v>
      </c>
      <c r="E661">
        <v>630</v>
      </c>
      <c r="F661" t="s">
        <v>118</v>
      </c>
      <c r="G661">
        <v>4</v>
      </c>
      <c r="H661">
        <v>4</v>
      </c>
      <c r="I661" t="s">
        <v>18</v>
      </c>
      <c r="J661">
        <v>1</v>
      </c>
      <c r="K661">
        <v>215</v>
      </c>
      <c r="L661">
        <v>3</v>
      </c>
      <c r="M661" t="s">
        <v>23</v>
      </c>
      <c r="N661">
        <v>67</v>
      </c>
      <c r="O661">
        <v>2</v>
      </c>
      <c r="P661">
        <v>3</v>
      </c>
      <c r="Q661" t="s">
        <v>25</v>
      </c>
      <c r="R661">
        <v>4</v>
      </c>
      <c r="S661" t="s">
        <v>28</v>
      </c>
      <c r="T661">
        <v>10855</v>
      </c>
      <c r="U661">
        <v>8552</v>
      </c>
      <c r="V661">
        <v>7</v>
      </c>
      <c r="W661" t="s">
        <v>29</v>
      </c>
      <c r="X661" t="s">
        <v>9</v>
      </c>
      <c r="Y661">
        <v>11</v>
      </c>
      <c r="Z661">
        <v>3</v>
      </c>
      <c r="AA661">
        <v>1</v>
      </c>
      <c r="AB661">
        <v>80</v>
      </c>
      <c r="AC661">
        <v>1</v>
      </c>
      <c r="AD661">
        <v>15</v>
      </c>
      <c r="AE661">
        <v>2</v>
      </c>
      <c r="AF661">
        <v>2</v>
      </c>
      <c r="AG661">
        <v>12</v>
      </c>
      <c r="AH661">
        <v>11</v>
      </c>
      <c r="AI661">
        <v>2</v>
      </c>
      <c r="AJ661">
        <v>11</v>
      </c>
    </row>
    <row r="662" spans="1:36" x14ac:dyDescent="0.25">
      <c r="A662">
        <v>681</v>
      </c>
      <c r="B662">
        <v>25</v>
      </c>
      <c r="C662" t="s">
        <v>9</v>
      </c>
      <c r="D662" t="s">
        <v>15</v>
      </c>
      <c r="E662">
        <v>583</v>
      </c>
      <c r="F662" t="s">
        <v>118</v>
      </c>
      <c r="G662">
        <v>4</v>
      </c>
      <c r="H662">
        <v>1</v>
      </c>
      <c r="I662" t="s">
        <v>18</v>
      </c>
      <c r="J662">
        <v>1</v>
      </c>
      <c r="K662">
        <v>885</v>
      </c>
      <c r="L662">
        <v>3</v>
      </c>
      <c r="M662" t="s">
        <v>23</v>
      </c>
      <c r="N662">
        <v>87</v>
      </c>
      <c r="O662">
        <v>2</v>
      </c>
      <c r="P662">
        <v>2</v>
      </c>
      <c r="Q662" t="s">
        <v>25</v>
      </c>
      <c r="R662">
        <v>1</v>
      </c>
      <c r="S662" t="s">
        <v>28</v>
      </c>
      <c r="T662">
        <v>4256</v>
      </c>
      <c r="U662">
        <v>18154</v>
      </c>
      <c r="V662">
        <v>1</v>
      </c>
      <c r="W662" t="s">
        <v>29</v>
      </c>
      <c r="X662" t="s">
        <v>9</v>
      </c>
      <c r="Y662">
        <v>12</v>
      </c>
      <c r="Z662">
        <v>3</v>
      </c>
      <c r="AA662">
        <v>1</v>
      </c>
      <c r="AB662">
        <v>80</v>
      </c>
      <c r="AC662">
        <v>0</v>
      </c>
      <c r="AD662">
        <v>5</v>
      </c>
      <c r="AE662">
        <v>1</v>
      </c>
      <c r="AF662">
        <v>4</v>
      </c>
      <c r="AG662">
        <v>5</v>
      </c>
      <c r="AH662">
        <v>2</v>
      </c>
      <c r="AI662">
        <v>0</v>
      </c>
      <c r="AJ662">
        <v>3</v>
      </c>
    </row>
    <row r="663" spans="1:36" x14ac:dyDescent="0.25">
      <c r="A663">
        <v>717</v>
      </c>
      <c r="B663">
        <v>30</v>
      </c>
      <c r="C663" t="s">
        <v>9</v>
      </c>
      <c r="D663" t="s">
        <v>15</v>
      </c>
      <c r="E663">
        <v>852</v>
      </c>
      <c r="F663" t="s">
        <v>118</v>
      </c>
      <c r="G663">
        <v>10</v>
      </c>
      <c r="H663">
        <v>3</v>
      </c>
      <c r="I663" t="s">
        <v>18</v>
      </c>
      <c r="J663">
        <v>1</v>
      </c>
      <c r="K663">
        <v>1179</v>
      </c>
      <c r="L663">
        <v>3</v>
      </c>
      <c r="M663" t="s">
        <v>23</v>
      </c>
      <c r="N663">
        <v>72</v>
      </c>
      <c r="O663">
        <v>2</v>
      </c>
      <c r="P663">
        <v>2</v>
      </c>
      <c r="Q663" t="s">
        <v>25</v>
      </c>
      <c r="R663">
        <v>3</v>
      </c>
      <c r="S663" t="s">
        <v>28</v>
      </c>
      <c r="T663">
        <v>6578</v>
      </c>
      <c r="U663">
        <v>2706</v>
      </c>
      <c r="V663">
        <v>1</v>
      </c>
      <c r="W663" t="s">
        <v>29</v>
      </c>
      <c r="X663" t="s">
        <v>9</v>
      </c>
      <c r="Y663">
        <v>18</v>
      </c>
      <c r="Z663">
        <v>3</v>
      </c>
      <c r="AA663">
        <v>1</v>
      </c>
      <c r="AB663">
        <v>80</v>
      </c>
      <c r="AC663">
        <v>1</v>
      </c>
      <c r="AD663">
        <v>10</v>
      </c>
      <c r="AE663">
        <v>3</v>
      </c>
      <c r="AF663">
        <v>3</v>
      </c>
      <c r="AG663">
        <v>10</v>
      </c>
      <c r="AH663">
        <v>3</v>
      </c>
      <c r="AI663">
        <v>1</v>
      </c>
      <c r="AJ663">
        <v>4</v>
      </c>
    </row>
    <row r="664" spans="1:36" x14ac:dyDescent="0.25">
      <c r="A664">
        <v>785</v>
      </c>
      <c r="B664">
        <v>47</v>
      </c>
      <c r="C664" t="s">
        <v>9</v>
      </c>
      <c r="D664" t="s">
        <v>16</v>
      </c>
      <c r="E664">
        <v>543</v>
      </c>
      <c r="F664" t="s">
        <v>118</v>
      </c>
      <c r="G664">
        <v>2</v>
      </c>
      <c r="H664">
        <v>4</v>
      </c>
      <c r="I664" t="s">
        <v>18</v>
      </c>
      <c r="J664">
        <v>1</v>
      </c>
      <c r="K664">
        <v>1731</v>
      </c>
      <c r="L664">
        <v>3</v>
      </c>
      <c r="M664" t="s">
        <v>23</v>
      </c>
      <c r="N664">
        <v>87</v>
      </c>
      <c r="O664">
        <v>3</v>
      </c>
      <c r="P664">
        <v>2</v>
      </c>
      <c r="Q664" t="s">
        <v>25</v>
      </c>
      <c r="R664">
        <v>2</v>
      </c>
      <c r="S664" t="s">
        <v>28</v>
      </c>
      <c r="T664">
        <v>4978</v>
      </c>
      <c r="U664">
        <v>3536</v>
      </c>
      <c r="V664">
        <v>7</v>
      </c>
      <c r="W664" t="s">
        <v>29</v>
      </c>
      <c r="X664" t="s">
        <v>9</v>
      </c>
      <c r="Y664">
        <v>11</v>
      </c>
      <c r="Z664">
        <v>3</v>
      </c>
      <c r="AA664">
        <v>4</v>
      </c>
      <c r="AB664">
        <v>80</v>
      </c>
      <c r="AC664">
        <v>1</v>
      </c>
      <c r="AD664">
        <v>4</v>
      </c>
      <c r="AE664">
        <v>3</v>
      </c>
      <c r="AF664">
        <v>1</v>
      </c>
      <c r="AG664">
        <v>1</v>
      </c>
      <c r="AH664">
        <v>0</v>
      </c>
      <c r="AI664">
        <v>0</v>
      </c>
      <c r="AJ664">
        <v>0</v>
      </c>
    </row>
    <row r="665" spans="1:36" x14ac:dyDescent="0.25">
      <c r="A665">
        <v>867</v>
      </c>
      <c r="B665">
        <v>32</v>
      </c>
      <c r="C665" t="s">
        <v>9</v>
      </c>
      <c r="D665" t="s">
        <v>16</v>
      </c>
      <c r="E665">
        <v>976</v>
      </c>
      <c r="F665" t="s">
        <v>118</v>
      </c>
      <c r="G665">
        <v>26</v>
      </c>
      <c r="H665">
        <v>4</v>
      </c>
      <c r="I665" t="s">
        <v>18</v>
      </c>
      <c r="J665">
        <v>1</v>
      </c>
      <c r="K665">
        <v>333</v>
      </c>
      <c r="L665">
        <v>3</v>
      </c>
      <c r="M665" t="s">
        <v>23</v>
      </c>
      <c r="N665">
        <v>100</v>
      </c>
      <c r="O665">
        <v>3</v>
      </c>
      <c r="P665">
        <v>2</v>
      </c>
      <c r="Q665" t="s">
        <v>25</v>
      </c>
      <c r="R665">
        <v>4</v>
      </c>
      <c r="S665" t="s">
        <v>28</v>
      </c>
      <c r="T665">
        <v>4465</v>
      </c>
      <c r="U665">
        <v>12069</v>
      </c>
      <c r="V665">
        <v>0</v>
      </c>
      <c r="W665" t="s">
        <v>29</v>
      </c>
      <c r="X665" t="s">
        <v>9</v>
      </c>
      <c r="Y665">
        <v>18</v>
      </c>
      <c r="Z665">
        <v>3</v>
      </c>
      <c r="AA665">
        <v>1</v>
      </c>
      <c r="AB665">
        <v>80</v>
      </c>
      <c r="AC665">
        <v>0</v>
      </c>
      <c r="AD665">
        <v>4</v>
      </c>
      <c r="AE665">
        <v>2</v>
      </c>
      <c r="AF665">
        <v>3</v>
      </c>
      <c r="AG665">
        <v>3</v>
      </c>
      <c r="AH665">
        <v>2</v>
      </c>
      <c r="AI665">
        <v>2</v>
      </c>
      <c r="AJ665">
        <v>2</v>
      </c>
    </row>
    <row r="666" spans="1:36" x14ac:dyDescent="0.25">
      <c r="A666" s="15">
        <v>849</v>
      </c>
      <c r="B666" s="15">
        <v>40</v>
      </c>
      <c r="C666" s="15" t="s">
        <v>10</v>
      </c>
      <c r="D666" s="15" t="s">
        <v>15</v>
      </c>
      <c r="E666" s="15">
        <v>575</v>
      </c>
      <c r="F666" s="15" t="s">
        <v>118</v>
      </c>
      <c r="G666" s="15">
        <v>22</v>
      </c>
      <c r="H666" s="15">
        <v>2</v>
      </c>
      <c r="I666" s="15" t="s">
        <v>18</v>
      </c>
      <c r="J666" s="15">
        <v>1</v>
      </c>
      <c r="K666" s="15">
        <v>492</v>
      </c>
      <c r="L666" s="15">
        <v>3</v>
      </c>
      <c r="M666" s="15" t="s">
        <v>23</v>
      </c>
      <c r="N666" s="15">
        <v>68</v>
      </c>
      <c r="O666" s="15">
        <v>2</v>
      </c>
      <c r="P666" s="15">
        <v>2</v>
      </c>
      <c r="Q666" s="15" t="s">
        <v>25</v>
      </c>
      <c r="R666" s="15">
        <v>3</v>
      </c>
      <c r="S666" s="15" t="s">
        <v>28</v>
      </c>
      <c r="T666" s="15">
        <v>6380</v>
      </c>
      <c r="U666" s="15">
        <v>6110</v>
      </c>
      <c r="V666" s="15">
        <v>2</v>
      </c>
      <c r="W666" s="15" t="s">
        <v>29</v>
      </c>
      <c r="X666" s="15" t="s">
        <v>10</v>
      </c>
      <c r="Y666" s="15">
        <v>12</v>
      </c>
      <c r="Z666" s="15">
        <v>3</v>
      </c>
      <c r="AA666" s="15">
        <v>1</v>
      </c>
      <c r="AB666" s="15">
        <v>80</v>
      </c>
      <c r="AC666" s="15">
        <v>2</v>
      </c>
      <c r="AD666" s="15">
        <v>8</v>
      </c>
      <c r="AE666" s="15">
        <v>6</v>
      </c>
      <c r="AF666" s="15">
        <v>3</v>
      </c>
      <c r="AG666" s="15">
        <v>6</v>
      </c>
      <c r="AH666" s="15">
        <v>4</v>
      </c>
      <c r="AI666" s="15">
        <v>1</v>
      </c>
      <c r="AJ666" s="15">
        <v>0</v>
      </c>
    </row>
    <row r="667" spans="1:36" x14ac:dyDescent="0.25">
      <c r="A667">
        <v>144</v>
      </c>
      <c r="B667">
        <v>37</v>
      </c>
      <c r="C667" t="s">
        <v>9</v>
      </c>
      <c r="D667" t="s">
        <v>15</v>
      </c>
      <c r="E667">
        <v>228</v>
      </c>
      <c r="F667" t="s">
        <v>118</v>
      </c>
      <c r="G667">
        <v>6</v>
      </c>
      <c r="H667">
        <v>4</v>
      </c>
      <c r="I667" t="s">
        <v>17</v>
      </c>
      <c r="J667">
        <v>1</v>
      </c>
      <c r="K667">
        <v>378</v>
      </c>
      <c r="L667">
        <v>3</v>
      </c>
      <c r="M667" t="s">
        <v>23</v>
      </c>
      <c r="N667">
        <v>98</v>
      </c>
      <c r="O667">
        <v>3</v>
      </c>
      <c r="P667">
        <v>2</v>
      </c>
      <c r="Q667" t="s">
        <v>25</v>
      </c>
      <c r="R667">
        <v>4</v>
      </c>
      <c r="S667" t="s">
        <v>28</v>
      </c>
      <c r="T667">
        <v>6502</v>
      </c>
      <c r="U667">
        <v>22825</v>
      </c>
      <c r="V667">
        <v>4</v>
      </c>
      <c r="W667" t="s">
        <v>29</v>
      </c>
      <c r="X667" t="s">
        <v>9</v>
      </c>
      <c r="Y667">
        <v>14</v>
      </c>
      <c r="Z667">
        <v>3</v>
      </c>
      <c r="AA667">
        <v>2</v>
      </c>
      <c r="AB667">
        <v>80</v>
      </c>
      <c r="AC667">
        <v>1</v>
      </c>
      <c r="AD667">
        <v>7</v>
      </c>
      <c r="AE667">
        <v>5</v>
      </c>
      <c r="AF667">
        <v>4</v>
      </c>
      <c r="AG667">
        <v>5</v>
      </c>
      <c r="AH667">
        <v>4</v>
      </c>
      <c r="AI667">
        <v>0</v>
      </c>
      <c r="AJ667">
        <v>1</v>
      </c>
    </row>
    <row r="668" spans="1:36" x14ac:dyDescent="0.25">
      <c r="A668">
        <v>40</v>
      </c>
      <c r="B668">
        <v>31</v>
      </c>
      <c r="C668" t="s">
        <v>9</v>
      </c>
      <c r="D668" t="s">
        <v>11</v>
      </c>
      <c r="E668">
        <v>793</v>
      </c>
      <c r="F668" t="s">
        <v>118</v>
      </c>
      <c r="G668">
        <v>20</v>
      </c>
      <c r="H668">
        <v>3</v>
      </c>
      <c r="I668" t="s">
        <v>21</v>
      </c>
      <c r="J668">
        <v>1</v>
      </c>
      <c r="K668">
        <v>1135</v>
      </c>
      <c r="L668">
        <v>3</v>
      </c>
      <c r="M668" t="s">
        <v>23</v>
      </c>
      <c r="N668">
        <v>67</v>
      </c>
      <c r="O668">
        <v>4</v>
      </c>
      <c r="P668">
        <v>1</v>
      </c>
      <c r="Q668" t="s">
        <v>33</v>
      </c>
      <c r="R668">
        <v>4</v>
      </c>
      <c r="S668" t="s">
        <v>28</v>
      </c>
      <c r="T668">
        <v>2791</v>
      </c>
      <c r="U668">
        <v>21981</v>
      </c>
      <c r="V668">
        <v>0</v>
      </c>
      <c r="W668" t="s">
        <v>29</v>
      </c>
      <c r="X668" t="s">
        <v>9</v>
      </c>
      <c r="Y668">
        <v>12</v>
      </c>
      <c r="Z668">
        <v>3</v>
      </c>
      <c r="AA668">
        <v>1</v>
      </c>
      <c r="AB668">
        <v>80</v>
      </c>
      <c r="AC668">
        <v>1</v>
      </c>
      <c r="AD668">
        <v>3</v>
      </c>
      <c r="AE668">
        <v>4</v>
      </c>
      <c r="AF668">
        <v>3</v>
      </c>
      <c r="AG668">
        <v>2</v>
      </c>
      <c r="AH668">
        <v>2</v>
      </c>
      <c r="AI668">
        <v>2</v>
      </c>
      <c r="AJ668">
        <v>2</v>
      </c>
    </row>
    <row r="669" spans="1:36" x14ac:dyDescent="0.25">
      <c r="A669" s="15">
        <v>517</v>
      </c>
      <c r="B669" s="15">
        <v>25</v>
      </c>
      <c r="C669" s="15" t="s">
        <v>10</v>
      </c>
      <c r="D669" s="15" t="s">
        <v>15</v>
      </c>
      <c r="E669" s="15">
        <v>867</v>
      </c>
      <c r="F669" s="15" t="s">
        <v>118</v>
      </c>
      <c r="G669" s="15">
        <v>19</v>
      </c>
      <c r="H669" s="15">
        <v>2</v>
      </c>
      <c r="I669" s="15" t="s">
        <v>18</v>
      </c>
      <c r="J669" s="15">
        <v>1</v>
      </c>
      <c r="K669" s="15">
        <v>952</v>
      </c>
      <c r="L669" s="15">
        <v>3</v>
      </c>
      <c r="M669" s="15" t="s">
        <v>23</v>
      </c>
      <c r="N669" s="15">
        <v>36</v>
      </c>
      <c r="O669" s="15">
        <v>2</v>
      </c>
      <c r="P669" s="15">
        <v>1</v>
      </c>
      <c r="Q669" s="15" t="s">
        <v>33</v>
      </c>
      <c r="R669" s="15">
        <v>2</v>
      </c>
      <c r="S669" s="15" t="s">
        <v>28</v>
      </c>
      <c r="T669" s="15">
        <v>2413</v>
      </c>
      <c r="U669" s="15">
        <v>18798</v>
      </c>
      <c r="V669" s="15">
        <v>1</v>
      </c>
      <c r="W669" s="15" t="s">
        <v>29</v>
      </c>
      <c r="X669" s="15" t="s">
        <v>10</v>
      </c>
      <c r="Y669" s="15">
        <v>18</v>
      </c>
      <c r="Z669" s="15">
        <v>3</v>
      </c>
      <c r="AA669" s="15">
        <v>3</v>
      </c>
      <c r="AB669" s="15">
        <v>80</v>
      </c>
      <c r="AC669" s="15">
        <v>3</v>
      </c>
      <c r="AD669" s="15">
        <v>1</v>
      </c>
      <c r="AE669" s="15">
        <v>2</v>
      </c>
      <c r="AF669" s="15">
        <v>3</v>
      </c>
      <c r="AG669" s="15">
        <v>1</v>
      </c>
      <c r="AH669" s="15">
        <v>0</v>
      </c>
      <c r="AI669" s="15">
        <v>0</v>
      </c>
      <c r="AJ669" s="15">
        <v>0</v>
      </c>
    </row>
    <row r="670" spans="1:36" x14ac:dyDescent="0.25">
      <c r="A670">
        <v>14</v>
      </c>
      <c r="B670">
        <v>30</v>
      </c>
      <c r="C670" t="s">
        <v>9</v>
      </c>
      <c r="D670" t="s">
        <v>15</v>
      </c>
      <c r="E670">
        <v>202</v>
      </c>
      <c r="F670" t="s">
        <v>118</v>
      </c>
      <c r="G670">
        <v>2</v>
      </c>
      <c r="H670">
        <v>1</v>
      </c>
      <c r="I670" t="s">
        <v>22</v>
      </c>
      <c r="J670">
        <v>1</v>
      </c>
      <c r="K670">
        <v>508</v>
      </c>
      <c r="L670">
        <v>3</v>
      </c>
      <c r="M670" t="s">
        <v>23</v>
      </c>
      <c r="N670">
        <v>72</v>
      </c>
      <c r="O670">
        <v>3</v>
      </c>
      <c r="P670">
        <v>1</v>
      </c>
      <c r="Q670" t="s">
        <v>33</v>
      </c>
      <c r="R670">
        <v>2</v>
      </c>
      <c r="S670" t="s">
        <v>28</v>
      </c>
      <c r="T670">
        <v>2476</v>
      </c>
      <c r="U670">
        <v>17434</v>
      </c>
      <c r="V670">
        <v>1</v>
      </c>
      <c r="W670" t="s">
        <v>29</v>
      </c>
      <c r="X670" t="s">
        <v>9</v>
      </c>
      <c r="Y670">
        <v>18</v>
      </c>
      <c r="Z670">
        <v>3</v>
      </c>
      <c r="AA670">
        <v>1</v>
      </c>
      <c r="AB670">
        <v>80</v>
      </c>
      <c r="AC670">
        <v>1</v>
      </c>
      <c r="AD670">
        <v>1</v>
      </c>
      <c r="AE670">
        <v>3</v>
      </c>
      <c r="AF670">
        <v>3</v>
      </c>
      <c r="AG670">
        <v>1</v>
      </c>
      <c r="AH670">
        <v>0</v>
      </c>
      <c r="AI670">
        <v>0</v>
      </c>
      <c r="AJ670">
        <v>0</v>
      </c>
    </row>
    <row r="671" spans="1:36" x14ac:dyDescent="0.25">
      <c r="A671" s="15">
        <v>729</v>
      </c>
      <c r="B671" s="15">
        <v>26</v>
      </c>
      <c r="C671" s="15" t="s">
        <v>10</v>
      </c>
      <c r="D671" s="15" t="s">
        <v>15</v>
      </c>
      <c r="E671" s="15">
        <v>471</v>
      </c>
      <c r="F671" s="15" t="s">
        <v>119</v>
      </c>
      <c r="G671" s="15">
        <v>24</v>
      </c>
      <c r="H671" s="15">
        <v>3</v>
      </c>
      <c r="I671" s="15" t="s">
        <v>22</v>
      </c>
      <c r="J671" s="15">
        <v>1</v>
      </c>
      <c r="K671" s="15">
        <v>622</v>
      </c>
      <c r="L671" s="15">
        <v>3</v>
      </c>
      <c r="M671" s="15" t="s">
        <v>23</v>
      </c>
      <c r="N671" s="15">
        <v>66</v>
      </c>
      <c r="O671" s="15">
        <v>1</v>
      </c>
      <c r="P671" s="15">
        <v>1</v>
      </c>
      <c r="Q671" s="15" t="s">
        <v>36</v>
      </c>
      <c r="R671" s="15">
        <v>4</v>
      </c>
      <c r="S671" s="15" t="s">
        <v>27</v>
      </c>
      <c r="T671" s="15">
        <v>2340</v>
      </c>
      <c r="U671" s="15">
        <v>23213</v>
      </c>
      <c r="V671" s="15">
        <v>1</v>
      </c>
      <c r="W671" s="15" t="s">
        <v>29</v>
      </c>
      <c r="X671" s="15" t="s">
        <v>10</v>
      </c>
      <c r="Y671" s="15">
        <v>18</v>
      </c>
      <c r="Z671" s="15">
        <v>3</v>
      </c>
      <c r="AA671" s="15">
        <v>2</v>
      </c>
      <c r="AB671" s="15">
        <v>80</v>
      </c>
      <c r="AC671" s="15">
        <v>0</v>
      </c>
      <c r="AD671" s="15">
        <v>1</v>
      </c>
      <c r="AE671" s="15">
        <v>3</v>
      </c>
      <c r="AF671" s="15">
        <v>1</v>
      </c>
      <c r="AG671" s="15">
        <v>1</v>
      </c>
      <c r="AH671" s="15">
        <v>0</v>
      </c>
      <c r="AI671" s="15">
        <v>0</v>
      </c>
      <c r="AJ671" s="15">
        <v>0</v>
      </c>
    </row>
    <row r="672" spans="1:36" x14ac:dyDescent="0.25">
      <c r="A672" s="15">
        <v>625</v>
      </c>
      <c r="B672" s="15">
        <v>28</v>
      </c>
      <c r="C672" s="15" t="s">
        <v>10</v>
      </c>
      <c r="D672" s="15" t="s">
        <v>11</v>
      </c>
      <c r="E672" s="15">
        <v>289</v>
      </c>
      <c r="F672" s="15" t="s">
        <v>119</v>
      </c>
      <c r="G672" s="15">
        <v>2</v>
      </c>
      <c r="H672" s="15">
        <v>2</v>
      </c>
      <c r="I672" s="15" t="s">
        <v>17</v>
      </c>
      <c r="J672" s="15">
        <v>1</v>
      </c>
      <c r="K672" s="15">
        <v>1504</v>
      </c>
      <c r="L672" s="15">
        <v>3</v>
      </c>
      <c r="M672" s="15" t="s">
        <v>23</v>
      </c>
      <c r="N672" s="15">
        <v>38</v>
      </c>
      <c r="O672" s="15">
        <v>2</v>
      </c>
      <c r="P672" s="15">
        <v>1</v>
      </c>
      <c r="Q672" s="15" t="s">
        <v>36</v>
      </c>
      <c r="R672" s="15">
        <v>1</v>
      </c>
      <c r="S672" s="15" t="s">
        <v>27</v>
      </c>
      <c r="T672" s="15">
        <v>2561</v>
      </c>
      <c r="U672" s="15">
        <v>5355</v>
      </c>
      <c r="V672" s="15">
        <v>7</v>
      </c>
      <c r="W672" s="15" t="s">
        <v>29</v>
      </c>
      <c r="X672" s="15" t="s">
        <v>9</v>
      </c>
      <c r="Y672" s="15">
        <v>11</v>
      </c>
      <c r="Z672" s="15">
        <v>3</v>
      </c>
      <c r="AA672" s="15">
        <v>3</v>
      </c>
      <c r="AB672" s="15">
        <v>80</v>
      </c>
      <c r="AC672" s="15">
        <v>0</v>
      </c>
      <c r="AD672" s="15">
        <v>8</v>
      </c>
      <c r="AE672" s="15">
        <v>2</v>
      </c>
      <c r="AF672" s="15">
        <v>2</v>
      </c>
      <c r="AG672" s="15">
        <v>0</v>
      </c>
      <c r="AH672" s="15">
        <v>0</v>
      </c>
      <c r="AI672" s="15">
        <v>0</v>
      </c>
      <c r="AJ672" s="15">
        <v>0</v>
      </c>
    </row>
    <row r="673" spans="1:36" x14ac:dyDescent="0.25">
      <c r="A673" s="15">
        <v>437</v>
      </c>
      <c r="B673" s="15">
        <v>28</v>
      </c>
      <c r="C673" s="15" t="s">
        <v>10</v>
      </c>
      <c r="D673" s="15" t="s">
        <v>15</v>
      </c>
      <c r="E673" s="15">
        <v>890</v>
      </c>
      <c r="F673" s="15" t="s">
        <v>119</v>
      </c>
      <c r="G673" s="15">
        <v>2</v>
      </c>
      <c r="H673" s="15">
        <v>4</v>
      </c>
      <c r="I673" s="15" t="s">
        <v>17</v>
      </c>
      <c r="J673" s="15">
        <v>1</v>
      </c>
      <c r="K673" s="15">
        <v>828</v>
      </c>
      <c r="L673" s="15">
        <v>3</v>
      </c>
      <c r="M673" s="15" t="s">
        <v>23</v>
      </c>
      <c r="N673" s="15">
        <v>46</v>
      </c>
      <c r="O673" s="15">
        <v>3</v>
      </c>
      <c r="P673" s="15">
        <v>1</v>
      </c>
      <c r="Q673" s="15" t="s">
        <v>32</v>
      </c>
      <c r="R673" s="15">
        <v>3</v>
      </c>
      <c r="S673" s="15" t="s">
        <v>27</v>
      </c>
      <c r="T673" s="15">
        <v>4382</v>
      </c>
      <c r="U673" s="15">
        <v>16374</v>
      </c>
      <c r="V673" s="15">
        <v>6</v>
      </c>
      <c r="W673" s="15" t="s">
        <v>29</v>
      </c>
      <c r="X673" s="15" t="s">
        <v>9</v>
      </c>
      <c r="Y673" s="15">
        <v>17</v>
      </c>
      <c r="Z673" s="15">
        <v>3</v>
      </c>
      <c r="AA673" s="15">
        <v>4</v>
      </c>
      <c r="AB673" s="15">
        <v>80</v>
      </c>
      <c r="AC673" s="15">
        <v>0</v>
      </c>
      <c r="AD673" s="15">
        <v>5</v>
      </c>
      <c r="AE673" s="15">
        <v>3</v>
      </c>
      <c r="AF673" s="15">
        <v>2</v>
      </c>
      <c r="AG673" s="15">
        <v>2</v>
      </c>
      <c r="AH673" s="15">
        <v>2</v>
      </c>
      <c r="AI673" s="15">
        <v>2</v>
      </c>
      <c r="AJ673" s="15">
        <v>1</v>
      </c>
    </row>
    <row r="674" spans="1:36" x14ac:dyDescent="0.25">
      <c r="A674">
        <v>578</v>
      </c>
      <c r="B674">
        <v>44</v>
      </c>
      <c r="C674" t="s">
        <v>9</v>
      </c>
      <c r="D674" t="s">
        <v>16</v>
      </c>
      <c r="E674">
        <v>981</v>
      </c>
      <c r="F674" t="s">
        <v>119</v>
      </c>
      <c r="G674">
        <v>5</v>
      </c>
      <c r="H674">
        <v>3</v>
      </c>
      <c r="I674" t="s">
        <v>21</v>
      </c>
      <c r="J674">
        <v>1</v>
      </c>
      <c r="K674">
        <v>1471</v>
      </c>
      <c r="L674">
        <v>3</v>
      </c>
      <c r="M674" t="s">
        <v>23</v>
      </c>
      <c r="N674">
        <v>90</v>
      </c>
      <c r="O674">
        <v>2</v>
      </c>
      <c r="P674">
        <v>1</v>
      </c>
      <c r="Q674" t="s">
        <v>36</v>
      </c>
      <c r="R674">
        <v>3</v>
      </c>
      <c r="S674" t="s">
        <v>27</v>
      </c>
      <c r="T674">
        <v>3162</v>
      </c>
      <c r="U674">
        <v>7973</v>
      </c>
      <c r="V674">
        <v>3</v>
      </c>
      <c r="W674" t="s">
        <v>29</v>
      </c>
      <c r="X674" t="s">
        <v>9</v>
      </c>
      <c r="Y674">
        <v>14</v>
      </c>
      <c r="Z674">
        <v>3</v>
      </c>
      <c r="AA674">
        <v>4</v>
      </c>
      <c r="AB674">
        <v>80</v>
      </c>
      <c r="AC674">
        <v>0</v>
      </c>
      <c r="AD674">
        <v>7</v>
      </c>
      <c r="AE674">
        <v>5</v>
      </c>
      <c r="AF674">
        <v>3</v>
      </c>
      <c r="AG674">
        <v>5</v>
      </c>
      <c r="AH674">
        <v>2</v>
      </c>
      <c r="AI674">
        <v>0</v>
      </c>
      <c r="AJ674">
        <v>3</v>
      </c>
    </row>
    <row r="675" spans="1:36" x14ac:dyDescent="0.25">
      <c r="A675">
        <v>438</v>
      </c>
      <c r="B675">
        <v>26</v>
      </c>
      <c r="C675" t="s">
        <v>9</v>
      </c>
      <c r="D675" t="s">
        <v>15</v>
      </c>
      <c r="E675">
        <v>157</v>
      </c>
      <c r="F675" t="s">
        <v>119</v>
      </c>
      <c r="G675">
        <v>1</v>
      </c>
      <c r="H675">
        <v>3</v>
      </c>
      <c r="I675" t="s">
        <v>17</v>
      </c>
      <c r="J675">
        <v>1</v>
      </c>
      <c r="K675">
        <v>1952</v>
      </c>
      <c r="L675">
        <v>3</v>
      </c>
      <c r="M675" t="s">
        <v>23</v>
      </c>
      <c r="N675">
        <v>95</v>
      </c>
      <c r="O675">
        <v>3</v>
      </c>
      <c r="P675">
        <v>1</v>
      </c>
      <c r="Q675" t="s">
        <v>36</v>
      </c>
      <c r="R675">
        <v>1</v>
      </c>
      <c r="S675" t="s">
        <v>27</v>
      </c>
      <c r="T675">
        <v>2867</v>
      </c>
      <c r="U675">
        <v>20006</v>
      </c>
      <c r="V675">
        <v>0</v>
      </c>
      <c r="W675" t="s">
        <v>29</v>
      </c>
      <c r="X675" t="s">
        <v>9</v>
      </c>
      <c r="Y675">
        <v>13</v>
      </c>
      <c r="Z675">
        <v>3</v>
      </c>
      <c r="AA675">
        <v>4</v>
      </c>
      <c r="AB675">
        <v>80</v>
      </c>
      <c r="AC675">
        <v>0</v>
      </c>
      <c r="AD675">
        <v>8</v>
      </c>
      <c r="AE675">
        <v>6</v>
      </c>
      <c r="AF675">
        <v>2</v>
      </c>
      <c r="AG675">
        <v>7</v>
      </c>
      <c r="AH675">
        <v>7</v>
      </c>
      <c r="AI675">
        <v>7</v>
      </c>
      <c r="AJ675">
        <v>6</v>
      </c>
    </row>
    <row r="676" spans="1:36" x14ac:dyDescent="0.25">
      <c r="A676">
        <v>609</v>
      </c>
      <c r="B676">
        <v>26</v>
      </c>
      <c r="C676" t="s">
        <v>9</v>
      </c>
      <c r="D676" t="s">
        <v>15</v>
      </c>
      <c r="E676">
        <v>652</v>
      </c>
      <c r="F676" t="s">
        <v>119</v>
      </c>
      <c r="G676">
        <v>7</v>
      </c>
      <c r="H676">
        <v>3</v>
      </c>
      <c r="I676" t="s">
        <v>19</v>
      </c>
      <c r="J676">
        <v>1</v>
      </c>
      <c r="K676">
        <v>1417</v>
      </c>
      <c r="L676">
        <v>3</v>
      </c>
      <c r="M676" t="s">
        <v>23</v>
      </c>
      <c r="N676">
        <v>100</v>
      </c>
      <c r="O676">
        <v>4</v>
      </c>
      <c r="P676">
        <v>1</v>
      </c>
      <c r="Q676" t="s">
        <v>36</v>
      </c>
      <c r="R676">
        <v>1</v>
      </c>
      <c r="S676" t="s">
        <v>27</v>
      </c>
      <c r="T676">
        <v>3578</v>
      </c>
      <c r="U676">
        <v>23577</v>
      </c>
      <c r="V676">
        <v>0</v>
      </c>
      <c r="W676" t="s">
        <v>29</v>
      </c>
      <c r="X676" t="s">
        <v>9</v>
      </c>
      <c r="Y676">
        <v>12</v>
      </c>
      <c r="Z676">
        <v>3</v>
      </c>
      <c r="AA676">
        <v>4</v>
      </c>
      <c r="AB676">
        <v>80</v>
      </c>
      <c r="AC676">
        <v>0</v>
      </c>
      <c r="AD676">
        <v>8</v>
      </c>
      <c r="AE676">
        <v>2</v>
      </c>
      <c r="AF676">
        <v>3</v>
      </c>
      <c r="AG676">
        <v>7</v>
      </c>
      <c r="AH676">
        <v>7</v>
      </c>
      <c r="AI676">
        <v>0</v>
      </c>
      <c r="AJ676">
        <v>7</v>
      </c>
    </row>
    <row r="677" spans="1:36" x14ac:dyDescent="0.25">
      <c r="A677">
        <v>331</v>
      </c>
      <c r="B677">
        <v>49</v>
      </c>
      <c r="C677" t="s">
        <v>9</v>
      </c>
      <c r="D677" t="s">
        <v>15</v>
      </c>
      <c r="E677">
        <v>809</v>
      </c>
      <c r="F677" t="s">
        <v>119</v>
      </c>
      <c r="G677">
        <v>1</v>
      </c>
      <c r="H677">
        <v>3</v>
      </c>
      <c r="I677" t="s">
        <v>21</v>
      </c>
      <c r="J677">
        <v>1</v>
      </c>
      <c r="K677">
        <v>1677</v>
      </c>
      <c r="L677">
        <v>3</v>
      </c>
      <c r="M677" t="s">
        <v>23</v>
      </c>
      <c r="N677">
        <v>36</v>
      </c>
      <c r="O677">
        <v>3</v>
      </c>
      <c r="P677">
        <v>4</v>
      </c>
      <c r="Q677" t="s">
        <v>35</v>
      </c>
      <c r="R677">
        <v>3</v>
      </c>
      <c r="S677" t="s">
        <v>27</v>
      </c>
      <c r="T677">
        <v>15379</v>
      </c>
      <c r="U677">
        <v>22384</v>
      </c>
      <c r="V677">
        <v>4</v>
      </c>
      <c r="W677" t="s">
        <v>29</v>
      </c>
      <c r="X677" t="s">
        <v>9</v>
      </c>
      <c r="Y677">
        <v>14</v>
      </c>
      <c r="Z677">
        <v>3</v>
      </c>
      <c r="AA677">
        <v>1</v>
      </c>
      <c r="AB677">
        <v>80</v>
      </c>
      <c r="AC677">
        <v>0</v>
      </c>
      <c r="AD677">
        <v>23</v>
      </c>
      <c r="AE677">
        <v>2</v>
      </c>
      <c r="AF677">
        <v>3</v>
      </c>
      <c r="AG677">
        <v>8</v>
      </c>
      <c r="AH677">
        <v>7</v>
      </c>
      <c r="AI677">
        <v>0</v>
      </c>
      <c r="AJ677">
        <v>0</v>
      </c>
    </row>
    <row r="678" spans="1:36" x14ac:dyDescent="0.25">
      <c r="A678">
        <v>295</v>
      </c>
      <c r="B678">
        <v>40</v>
      </c>
      <c r="C678" t="s">
        <v>9</v>
      </c>
      <c r="D678" t="s">
        <v>15</v>
      </c>
      <c r="E678">
        <v>898</v>
      </c>
      <c r="F678" t="s">
        <v>20</v>
      </c>
      <c r="G678">
        <v>6</v>
      </c>
      <c r="H678">
        <v>2</v>
      </c>
      <c r="I678" t="s">
        <v>17</v>
      </c>
      <c r="J678">
        <v>1</v>
      </c>
      <c r="K678">
        <v>1550</v>
      </c>
      <c r="L678">
        <v>3</v>
      </c>
      <c r="M678" t="s">
        <v>23</v>
      </c>
      <c r="N678">
        <v>38</v>
      </c>
      <c r="O678">
        <v>3</v>
      </c>
      <c r="P678">
        <v>4</v>
      </c>
      <c r="Q678" t="s">
        <v>35</v>
      </c>
      <c r="R678">
        <v>4</v>
      </c>
      <c r="S678" t="s">
        <v>27</v>
      </c>
      <c r="T678">
        <v>16437</v>
      </c>
      <c r="U678">
        <v>17381</v>
      </c>
      <c r="V678">
        <v>1</v>
      </c>
      <c r="W678" t="s">
        <v>29</v>
      </c>
      <c r="X678" t="s">
        <v>10</v>
      </c>
      <c r="Y678">
        <v>21</v>
      </c>
      <c r="Z678">
        <v>4</v>
      </c>
      <c r="AA678">
        <v>4</v>
      </c>
      <c r="AB678">
        <v>80</v>
      </c>
      <c r="AC678">
        <v>0</v>
      </c>
      <c r="AD678">
        <v>21</v>
      </c>
      <c r="AE678">
        <v>2</v>
      </c>
      <c r="AF678">
        <v>3</v>
      </c>
      <c r="AG678">
        <v>21</v>
      </c>
      <c r="AH678">
        <v>7</v>
      </c>
      <c r="AI678">
        <v>7</v>
      </c>
      <c r="AJ678">
        <v>7</v>
      </c>
    </row>
    <row r="679" spans="1:36" x14ac:dyDescent="0.25">
      <c r="A679">
        <v>643</v>
      </c>
      <c r="B679">
        <v>55</v>
      </c>
      <c r="C679" t="s">
        <v>9</v>
      </c>
      <c r="D679" t="s">
        <v>16</v>
      </c>
      <c r="E679">
        <v>444</v>
      </c>
      <c r="F679" t="s">
        <v>119</v>
      </c>
      <c r="G679">
        <v>2</v>
      </c>
      <c r="H679">
        <v>1</v>
      </c>
      <c r="I679" t="s">
        <v>17</v>
      </c>
      <c r="J679">
        <v>1</v>
      </c>
      <c r="K679">
        <v>1074</v>
      </c>
      <c r="L679">
        <v>3</v>
      </c>
      <c r="M679" t="s">
        <v>23</v>
      </c>
      <c r="N679">
        <v>40</v>
      </c>
      <c r="O679">
        <v>2</v>
      </c>
      <c r="P679">
        <v>4</v>
      </c>
      <c r="Q679" t="s">
        <v>35</v>
      </c>
      <c r="R679">
        <v>1</v>
      </c>
      <c r="S679" t="s">
        <v>27</v>
      </c>
      <c r="T679">
        <v>16756</v>
      </c>
      <c r="U679">
        <v>17323</v>
      </c>
      <c r="V679">
        <v>7</v>
      </c>
      <c r="W679" t="s">
        <v>29</v>
      </c>
      <c r="X679" t="s">
        <v>9</v>
      </c>
      <c r="Y679">
        <v>15</v>
      </c>
      <c r="Z679">
        <v>3</v>
      </c>
      <c r="AA679">
        <v>2</v>
      </c>
      <c r="AB679">
        <v>80</v>
      </c>
      <c r="AC679">
        <v>0</v>
      </c>
      <c r="AD679">
        <v>31</v>
      </c>
      <c r="AE679">
        <v>3</v>
      </c>
      <c r="AF679">
        <v>4</v>
      </c>
      <c r="AG679">
        <v>9</v>
      </c>
      <c r="AH679">
        <v>7</v>
      </c>
      <c r="AI679">
        <v>6</v>
      </c>
      <c r="AJ679">
        <v>2</v>
      </c>
    </row>
    <row r="680" spans="1:36" x14ac:dyDescent="0.25">
      <c r="A680">
        <v>3</v>
      </c>
      <c r="B680">
        <v>35</v>
      </c>
      <c r="C680" t="s">
        <v>9</v>
      </c>
      <c r="D680" t="s">
        <v>11</v>
      </c>
      <c r="E680">
        <v>200</v>
      </c>
      <c r="F680" t="s">
        <v>119</v>
      </c>
      <c r="G680">
        <v>18</v>
      </c>
      <c r="H680">
        <v>2</v>
      </c>
      <c r="I680" t="s">
        <v>21</v>
      </c>
      <c r="J680">
        <v>1</v>
      </c>
      <c r="K680">
        <v>1412</v>
      </c>
      <c r="L680">
        <v>3</v>
      </c>
      <c r="M680" t="s">
        <v>23</v>
      </c>
      <c r="N680">
        <v>60</v>
      </c>
      <c r="O680">
        <v>3</v>
      </c>
      <c r="P680">
        <v>3</v>
      </c>
      <c r="Q680" t="s">
        <v>31</v>
      </c>
      <c r="R680">
        <v>4</v>
      </c>
      <c r="S680" t="s">
        <v>27</v>
      </c>
      <c r="T680">
        <v>9362</v>
      </c>
      <c r="U680">
        <v>19944</v>
      </c>
      <c r="V680">
        <v>2</v>
      </c>
      <c r="W680" t="s">
        <v>29</v>
      </c>
      <c r="X680" t="s">
        <v>9</v>
      </c>
      <c r="Y680">
        <v>11</v>
      </c>
      <c r="Z680">
        <v>3</v>
      </c>
      <c r="AA680">
        <v>3</v>
      </c>
      <c r="AB680">
        <v>80</v>
      </c>
      <c r="AC680">
        <v>0</v>
      </c>
      <c r="AD680">
        <v>10</v>
      </c>
      <c r="AE680">
        <v>2</v>
      </c>
      <c r="AF680">
        <v>3</v>
      </c>
      <c r="AG680">
        <v>2</v>
      </c>
      <c r="AH680">
        <v>2</v>
      </c>
      <c r="AI680">
        <v>2</v>
      </c>
      <c r="AJ680">
        <v>2</v>
      </c>
    </row>
    <row r="681" spans="1:36" x14ac:dyDescent="0.25">
      <c r="A681">
        <v>13</v>
      </c>
      <c r="B681">
        <v>35</v>
      </c>
      <c r="C681" t="s">
        <v>9</v>
      </c>
      <c r="D681" t="s">
        <v>15</v>
      </c>
      <c r="E681">
        <v>950</v>
      </c>
      <c r="F681" t="s">
        <v>119</v>
      </c>
      <c r="G681">
        <v>7</v>
      </c>
      <c r="H681">
        <v>3</v>
      </c>
      <c r="I681" t="s">
        <v>19</v>
      </c>
      <c r="J681">
        <v>1</v>
      </c>
      <c r="K681">
        <v>845</v>
      </c>
      <c r="L681">
        <v>3</v>
      </c>
      <c r="M681" t="s">
        <v>23</v>
      </c>
      <c r="N681">
        <v>59</v>
      </c>
      <c r="O681">
        <v>3</v>
      </c>
      <c r="P681">
        <v>3</v>
      </c>
      <c r="Q681" t="s">
        <v>31</v>
      </c>
      <c r="R681">
        <v>3</v>
      </c>
      <c r="S681" t="s">
        <v>27</v>
      </c>
      <c r="T681">
        <v>10221</v>
      </c>
      <c r="U681">
        <v>18869</v>
      </c>
      <c r="V681">
        <v>3</v>
      </c>
      <c r="W681" t="s">
        <v>29</v>
      </c>
      <c r="X681" t="s">
        <v>9</v>
      </c>
      <c r="Y681">
        <v>21</v>
      </c>
      <c r="Z681">
        <v>4</v>
      </c>
      <c r="AA681">
        <v>2</v>
      </c>
      <c r="AB681">
        <v>80</v>
      </c>
      <c r="AC681">
        <v>0</v>
      </c>
      <c r="AD681">
        <v>17</v>
      </c>
      <c r="AE681">
        <v>3</v>
      </c>
      <c r="AF681">
        <v>4</v>
      </c>
      <c r="AG681">
        <v>8</v>
      </c>
      <c r="AH681">
        <v>5</v>
      </c>
      <c r="AI681">
        <v>1</v>
      </c>
      <c r="AJ681">
        <v>6</v>
      </c>
    </row>
    <row r="682" spans="1:36" x14ac:dyDescent="0.25">
      <c r="A682">
        <v>2</v>
      </c>
      <c r="B682">
        <v>40</v>
      </c>
      <c r="C682" t="s">
        <v>9</v>
      </c>
      <c r="D682" t="s">
        <v>15</v>
      </c>
      <c r="E682">
        <v>1308</v>
      </c>
      <c r="F682" t="s">
        <v>119</v>
      </c>
      <c r="G682">
        <v>14</v>
      </c>
      <c r="H682">
        <v>3</v>
      </c>
      <c r="I682" t="s">
        <v>17</v>
      </c>
      <c r="J682">
        <v>1</v>
      </c>
      <c r="K682">
        <v>1128</v>
      </c>
      <c r="L682">
        <v>3</v>
      </c>
      <c r="M682" t="s">
        <v>23</v>
      </c>
      <c r="N682">
        <v>44</v>
      </c>
      <c r="O682">
        <v>2</v>
      </c>
      <c r="P682">
        <v>5</v>
      </c>
      <c r="Q682" t="s">
        <v>30</v>
      </c>
      <c r="R682">
        <v>3</v>
      </c>
      <c r="S682" t="s">
        <v>27</v>
      </c>
      <c r="T682">
        <v>19626</v>
      </c>
      <c r="U682">
        <v>17544</v>
      </c>
      <c r="V682">
        <v>1</v>
      </c>
      <c r="W682" t="s">
        <v>29</v>
      </c>
      <c r="X682" t="s">
        <v>9</v>
      </c>
      <c r="Y682">
        <v>14</v>
      </c>
      <c r="Z682">
        <v>3</v>
      </c>
      <c r="AA682">
        <v>1</v>
      </c>
      <c r="AB682">
        <v>80</v>
      </c>
      <c r="AC682">
        <v>0</v>
      </c>
      <c r="AD682">
        <v>21</v>
      </c>
      <c r="AE682">
        <v>2</v>
      </c>
      <c r="AF682">
        <v>4</v>
      </c>
      <c r="AG682">
        <v>20</v>
      </c>
      <c r="AH682">
        <v>7</v>
      </c>
      <c r="AI682">
        <v>4</v>
      </c>
      <c r="AJ682">
        <v>9</v>
      </c>
    </row>
    <row r="683" spans="1:36" x14ac:dyDescent="0.25">
      <c r="A683">
        <v>275</v>
      </c>
      <c r="B683">
        <v>55</v>
      </c>
      <c r="C683" t="s">
        <v>9</v>
      </c>
      <c r="D683" t="s">
        <v>15</v>
      </c>
      <c r="E683">
        <v>692</v>
      </c>
      <c r="F683" t="s">
        <v>119</v>
      </c>
      <c r="G683">
        <v>14</v>
      </c>
      <c r="H683">
        <v>4</v>
      </c>
      <c r="I683" t="s">
        <v>17</v>
      </c>
      <c r="J683">
        <v>1</v>
      </c>
      <c r="K683">
        <v>254</v>
      </c>
      <c r="L683">
        <v>3</v>
      </c>
      <c r="M683" t="s">
        <v>23</v>
      </c>
      <c r="N683">
        <v>61</v>
      </c>
      <c r="O683">
        <v>4</v>
      </c>
      <c r="P683">
        <v>5</v>
      </c>
      <c r="Q683" t="s">
        <v>30</v>
      </c>
      <c r="R683">
        <v>2</v>
      </c>
      <c r="S683" t="s">
        <v>27</v>
      </c>
      <c r="T683">
        <v>18722</v>
      </c>
      <c r="U683">
        <v>13339</v>
      </c>
      <c r="V683">
        <v>8</v>
      </c>
      <c r="W683" t="s">
        <v>29</v>
      </c>
      <c r="X683" t="s">
        <v>9</v>
      </c>
      <c r="Y683">
        <v>11</v>
      </c>
      <c r="Z683">
        <v>3</v>
      </c>
      <c r="AA683">
        <v>4</v>
      </c>
      <c r="AB683">
        <v>80</v>
      </c>
      <c r="AC683">
        <v>0</v>
      </c>
      <c r="AD683">
        <v>36</v>
      </c>
      <c r="AE683">
        <v>3</v>
      </c>
      <c r="AF683">
        <v>3</v>
      </c>
      <c r="AG683">
        <v>24</v>
      </c>
      <c r="AH683">
        <v>15</v>
      </c>
      <c r="AI683">
        <v>2</v>
      </c>
      <c r="AJ683">
        <v>15</v>
      </c>
    </row>
    <row r="684" spans="1:36" x14ac:dyDescent="0.25">
      <c r="A684">
        <v>376</v>
      </c>
      <c r="B684">
        <v>50</v>
      </c>
      <c r="C684" t="s">
        <v>9</v>
      </c>
      <c r="D684" t="s">
        <v>11</v>
      </c>
      <c r="E684">
        <v>333</v>
      </c>
      <c r="F684" t="s">
        <v>119</v>
      </c>
      <c r="G684">
        <v>22</v>
      </c>
      <c r="H684">
        <v>5</v>
      </c>
      <c r="I684" t="s">
        <v>17</v>
      </c>
      <c r="J684">
        <v>1</v>
      </c>
      <c r="K684">
        <v>1539</v>
      </c>
      <c r="L684">
        <v>3</v>
      </c>
      <c r="M684" t="s">
        <v>23</v>
      </c>
      <c r="N684">
        <v>88</v>
      </c>
      <c r="O684">
        <v>1</v>
      </c>
      <c r="P684">
        <v>4</v>
      </c>
      <c r="Q684" t="s">
        <v>30</v>
      </c>
      <c r="R684">
        <v>4</v>
      </c>
      <c r="S684" t="s">
        <v>27</v>
      </c>
      <c r="T684">
        <v>14411</v>
      </c>
      <c r="U684">
        <v>24450</v>
      </c>
      <c r="V684">
        <v>1</v>
      </c>
      <c r="W684" t="s">
        <v>29</v>
      </c>
      <c r="X684" t="s">
        <v>10</v>
      </c>
      <c r="Y684">
        <v>13</v>
      </c>
      <c r="Z684">
        <v>3</v>
      </c>
      <c r="AA684">
        <v>4</v>
      </c>
      <c r="AB684">
        <v>80</v>
      </c>
      <c r="AC684">
        <v>0</v>
      </c>
      <c r="AD684">
        <v>32</v>
      </c>
      <c r="AE684">
        <v>2</v>
      </c>
      <c r="AF684">
        <v>3</v>
      </c>
      <c r="AG684">
        <v>32</v>
      </c>
      <c r="AH684">
        <v>6</v>
      </c>
      <c r="AI684">
        <v>13</v>
      </c>
      <c r="AJ684">
        <v>9</v>
      </c>
    </row>
    <row r="685" spans="1:36" x14ac:dyDescent="0.25">
      <c r="A685" s="15">
        <v>502</v>
      </c>
      <c r="B685" s="15">
        <v>28</v>
      </c>
      <c r="C685" s="15" t="s">
        <v>10</v>
      </c>
      <c r="D685" s="15" t="s">
        <v>15</v>
      </c>
      <c r="E685" s="15">
        <v>103</v>
      </c>
      <c r="F685" s="15" t="s">
        <v>119</v>
      </c>
      <c r="G685" s="15">
        <v>24</v>
      </c>
      <c r="H685" s="15">
        <v>3</v>
      </c>
      <c r="I685" s="15" t="s">
        <v>21</v>
      </c>
      <c r="J685" s="15">
        <v>1</v>
      </c>
      <c r="K685" s="15">
        <v>19</v>
      </c>
      <c r="L685" s="15">
        <v>3</v>
      </c>
      <c r="M685" s="15" t="s">
        <v>23</v>
      </c>
      <c r="N685" s="15">
        <v>50</v>
      </c>
      <c r="O685" s="15">
        <v>2</v>
      </c>
      <c r="P685" s="15">
        <v>1</v>
      </c>
      <c r="Q685" s="15" t="s">
        <v>36</v>
      </c>
      <c r="R685" s="15">
        <v>3</v>
      </c>
      <c r="S685" s="15" t="s">
        <v>27</v>
      </c>
      <c r="T685" s="15">
        <v>2028</v>
      </c>
      <c r="U685" s="15">
        <v>12947</v>
      </c>
      <c r="V685" s="15">
        <v>5</v>
      </c>
      <c r="W685" s="15" t="s">
        <v>29</v>
      </c>
      <c r="X685" s="15" t="s">
        <v>10</v>
      </c>
      <c r="Y685" s="15">
        <v>14</v>
      </c>
      <c r="Z685" s="15">
        <v>3</v>
      </c>
      <c r="AA685" s="15">
        <v>2</v>
      </c>
      <c r="AB685" s="15">
        <v>80</v>
      </c>
      <c r="AC685" s="15">
        <v>0</v>
      </c>
      <c r="AD685" s="15">
        <v>6</v>
      </c>
      <c r="AE685" s="15">
        <v>4</v>
      </c>
      <c r="AF685" s="15">
        <v>3</v>
      </c>
      <c r="AG685" s="15">
        <v>4</v>
      </c>
      <c r="AH685" s="15">
        <v>2</v>
      </c>
      <c r="AI685" s="15">
        <v>0</v>
      </c>
      <c r="AJ685" s="15">
        <v>3</v>
      </c>
    </row>
    <row r="686" spans="1:36" x14ac:dyDescent="0.25">
      <c r="A686">
        <v>220</v>
      </c>
      <c r="B686">
        <v>26</v>
      </c>
      <c r="C686" t="s">
        <v>9</v>
      </c>
      <c r="D686" t="s">
        <v>15</v>
      </c>
      <c r="E686">
        <v>583</v>
      </c>
      <c r="F686" t="s">
        <v>119</v>
      </c>
      <c r="G686">
        <v>4</v>
      </c>
      <c r="H686">
        <v>2</v>
      </c>
      <c r="I686" t="s">
        <v>21</v>
      </c>
      <c r="J686">
        <v>1</v>
      </c>
      <c r="K686">
        <v>1275</v>
      </c>
      <c r="L686">
        <v>3</v>
      </c>
      <c r="M686" t="s">
        <v>23</v>
      </c>
      <c r="N686">
        <v>53</v>
      </c>
      <c r="O686">
        <v>3</v>
      </c>
      <c r="P686">
        <v>1</v>
      </c>
      <c r="Q686" t="s">
        <v>32</v>
      </c>
      <c r="R686">
        <v>4</v>
      </c>
      <c r="S686" t="s">
        <v>27</v>
      </c>
      <c r="T686">
        <v>2875</v>
      </c>
      <c r="U686">
        <v>9973</v>
      </c>
      <c r="V686">
        <v>1</v>
      </c>
      <c r="W686" t="s">
        <v>29</v>
      </c>
      <c r="X686" t="s">
        <v>10</v>
      </c>
      <c r="Y686">
        <v>20</v>
      </c>
      <c r="Z686">
        <v>4</v>
      </c>
      <c r="AA686">
        <v>2</v>
      </c>
      <c r="AB686">
        <v>80</v>
      </c>
      <c r="AC686">
        <v>0</v>
      </c>
      <c r="AD686">
        <v>8</v>
      </c>
      <c r="AE686">
        <v>2</v>
      </c>
      <c r="AF686">
        <v>2</v>
      </c>
      <c r="AG686">
        <v>8</v>
      </c>
      <c r="AH686">
        <v>5</v>
      </c>
      <c r="AI686">
        <v>2</v>
      </c>
      <c r="AJ686">
        <v>2</v>
      </c>
    </row>
    <row r="687" spans="1:36" x14ac:dyDescent="0.25">
      <c r="A687">
        <v>750</v>
      </c>
      <c r="B687">
        <v>33</v>
      </c>
      <c r="C687" t="s">
        <v>9</v>
      </c>
      <c r="D687" t="s">
        <v>15</v>
      </c>
      <c r="E687">
        <v>134</v>
      </c>
      <c r="F687" t="s">
        <v>119</v>
      </c>
      <c r="G687">
        <v>2</v>
      </c>
      <c r="H687">
        <v>3</v>
      </c>
      <c r="I687" t="s">
        <v>21</v>
      </c>
      <c r="J687">
        <v>1</v>
      </c>
      <c r="K687">
        <v>242</v>
      </c>
      <c r="L687">
        <v>3</v>
      </c>
      <c r="M687" t="s">
        <v>23</v>
      </c>
      <c r="N687">
        <v>90</v>
      </c>
      <c r="O687">
        <v>3</v>
      </c>
      <c r="P687">
        <v>1</v>
      </c>
      <c r="Q687" t="s">
        <v>32</v>
      </c>
      <c r="R687">
        <v>4</v>
      </c>
      <c r="S687" t="s">
        <v>27</v>
      </c>
      <c r="T687">
        <v>2500</v>
      </c>
      <c r="U687">
        <v>10515</v>
      </c>
      <c r="V687">
        <v>0</v>
      </c>
      <c r="W687" t="s">
        <v>29</v>
      </c>
      <c r="X687" t="s">
        <v>9</v>
      </c>
      <c r="Y687">
        <v>14</v>
      </c>
      <c r="Z687">
        <v>3</v>
      </c>
      <c r="AA687">
        <v>1</v>
      </c>
      <c r="AB687">
        <v>80</v>
      </c>
      <c r="AC687">
        <v>0</v>
      </c>
      <c r="AD687">
        <v>4</v>
      </c>
      <c r="AE687">
        <v>2</v>
      </c>
      <c r="AF687">
        <v>4</v>
      </c>
      <c r="AG687">
        <v>3</v>
      </c>
      <c r="AH687">
        <v>1</v>
      </c>
      <c r="AI687">
        <v>0</v>
      </c>
      <c r="AJ687">
        <v>2</v>
      </c>
    </row>
    <row r="688" spans="1:36" x14ac:dyDescent="0.25">
      <c r="A688">
        <v>834</v>
      </c>
      <c r="B688">
        <v>19</v>
      </c>
      <c r="C688" t="s">
        <v>9</v>
      </c>
      <c r="D688" t="s">
        <v>15</v>
      </c>
      <c r="E688">
        <v>645</v>
      </c>
      <c r="F688" t="s">
        <v>119</v>
      </c>
      <c r="G688">
        <v>9</v>
      </c>
      <c r="H688">
        <v>2</v>
      </c>
      <c r="I688" t="s">
        <v>21</v>
      </c>
      <c r="J688">
        <v>1</v>
      </c>
      <c r="K688">
        <v>1193</v>
      </c>
      <c r="L688">
        <v>3</v>
      </c>
      <c r="M688" t="s">
        <v>23</v>
      </c>
      <c r="N688">
        <v>54</v>
      </c>
      <c r="O688">
        <v>3</v>
      </c>
      <c r="P688">
        <v>1</v>
      </c>
      <c r="Q688" t="s">
        <v>32</v>
      </c>
      <c r="R688">
        <v>1</v>
      </c>
      <c r="S688" t="s">
        <v>27</v>
      </c>
      <c r="T688">
        <v>2552</v>
      </c>
      <c r="U688">
        <v>7172</v>
      </c>
      <c r="V688">
        <v>1</v>
      </c>
      <c r="W688" t="s">
        <v>29</v>
      </c>
      <c r="X688" t="s">
        <v>9</v>
      </c>
      <c r="Y688">
        <v>25</v>
      </c>
      <c r="Z688">
        <v>4</v>
      </c>
      <c r="AA688">
        <v>3</v>
      </c>
      <c r="AB688">
        <v>80</v>
      </c>
      <c r="AC688">
        <v>0</v>
      </c>
      <c r="AD688">
        <v>1</v>
      </c>
      <c r="AE688">
        <v>4</v>
      </c>
      <c r="AF688">
        <v>3</v>
      </c>
      <c r="AG688">
        <v>1</v>
      </c>
      <c r="AH688">
        <v>1</v>
      </c>
      <c r="AI688">
        <v>0</v>
      </c>
      <c r="AJ688">
        <v>0</v>
      </c>
    </row>
    <row r="689" spans="1:36" x14ac:dyDescent="0.25">
      <c r="A689" s="15">
        <v>841</v>
      </c>
      <c r="B689" s="15">
        <v>18</v>
      </c>
      <c r="C689" s="15" t="s">
        <v>10</v>
      </c>
      <c r="D689" s="15" t="s">
        <v>15</v>
      </c>
      <c r="E689" s="15">
        <v>230</v>
      </c>
      <c r="F689" s="15" t="s">
        <v>119</v>
      </c>
      <c r="G689" s="15">
        <v>3</v>
      </c>
      <c r="H689" s="15">
        <v>3</v>
      </c>
      <c r="I689" s="15" t="s">
        <v>21</v>
      </c>
      <c r="J689" s="15">
        <v>1</v>
      </c>
      <c r="K689" s="15">
        <v>405</v>
      </c>
      <c r="L689" s="15">
        <v>3</v>
      </c>
      <c r="M689" s="15" t="s">
        <v>23</v>
      </c>
      <c r="N689" s="15">
        <v>54</v>
      </c>
      <c r="O689" s="15">
        <v>3</v>
      </c>
      <c r="P689" s="15">
        <v>1</v>
      </c>
      <c r="Q689" s="15" t="s">
        <v>36</v>
      </c>
      <c r="R689" s="15">
        <v>3</v>
      </c>
      <c r="S689" s="15" t="s">
        <v>27</v>
      </c>
      <c r="T689" s="15">
        <v>1420</v>
      </c>
      <c r="U689" s="15">
        <v>25233</v>
      </c>
      <c r="V689" s="15">
        <v>1</v>
      </c>
      <c r="W689" s="15" t="s">
        <v>29</v>
      </c>
      <c r="X689" s="15" t="s">
        <v>9</v>
      </c>
      <c r="Y689" s="15">
        <v>13</v>
      </c>
      <c r="Z689" s="15">
        <v>3</v>
      </c>
      <c r="AA689" s="15">
        <v>3</v>
      </c>
      <c r="AB689" s="15">
        <v>80</v>
      </c>
      <c r="AC689" s="15">
        <v>0</v>
      </c>
      <c r="AD689" s="15">
        <v>0</v>
      </c>
      <c r="AE689" s="15">
        <v>2</v>
      </c>
      <c r="AF689" s="15">
        <v>3</v>
      </c>
      <c r="AG689" s="15">
        <v>0</v>
      </c>
      <c r="AH689" s="15">
        <v>0</v>
      </c>
      <c r="AI689" s="15">
        <v>0</v>
      </c>
      <c r="AJ689" s="15">
        <v>0</v>
      </c>
    </row>
    <row r="690" spans="1:36" x14ac:dyDescent="0.25">
      <c r="A690" s="15">
        <v>647</v>
      </c>
      <c r="B690" s="15">
        <v>18</v>
      </c>
      <c r="C690" s="15" t="s">
        <v>10</v>
      </c>
      <c r="D690" s="15" t="s">
        <v>16</v>
      </c>
      <c r="E690" s="15">
        <v>247</v>
      </c>
      <c r="F690" s="15" t="s">
        <v>119</v>
      </c>
      <c r="G690" s="15">
        <v>8</v>
      </c>
      <c r="H690" s="15">
        <v>1</v>
      </c>
      <c r="I690" s="15" t="s">
        <v>17</v>
      </c>
      <c r="J690" s="15">
        <v>1</v>
      </c>
      <c r="K690" s="15">
        <v>1156</v>
      </c>
      <c r="L690" s="15">
        <v>3</v>
      </c>
      <c r="M690" s="15" t="s">
        <v>23</v>
      </c>
      <c r="N690" s="15">
        <v>80</v>
      </c>
      <c r="O690" s="15">
        <v>3</v>
      </c>
      <c r="P690" s="15">
        <v>1</v>
      </c>
      <c r="Q690" s="15" t="s">
        <v>36</v>
      </c>
      <c r="R690" s="15">
        <v>3</v>
      </c>
      <c r="S690" s="15" t="s">
        <v>27</v>
      </c>
      <c r="T690" s="15">
        <v>1904</v>
      </c>
      <c r="U690" s="15">
        <v>13556</v>
      </c>
      <c r="V690" s="15">
        <v>1</v>
      </c>
      <c r="W690" s="15" t="s">
        <v>29</v>
      </c>
      <c r="X690" s="15" t="s">
        <v>9</v>
      </c>
      <c r="Y690" s="15">
        <v>12</v>
      </c>
      <c r="Z690" s="15">
        <v>3</v>
      </c>
      <c r="AA690" s="15">
        <v>4</v>
      </c>
      <c r="AB690" s="15">
        <v>80</v>
      </c>
      <c r="AC690" s="15">
        <v>0</v>
      </c>
      <c r="AD690" s="15">
        <v>0</v>
      </c>
      <c r="AE690" s="15">
        <v>0</v>
      </c>
      <c r="AF690" s="15">
        <v>3</v>
      </c>
      <c r="AG690" s="15">
        <v>0</v>
      </c>
      <c r="AH690" s="15">
        <v>0</v>
      </c>
      <c r="AI690" s="15">
        <v>0</v>
      </c>
      <c r="AJ690" s="15">
        <v>0</v>
      </c>
    </row>
    <row r="691" spans="1:36" x14ac:dyDescent="0.25">
      <c r="A691" s="15">
        <v>655</v>
      </c>
      <c r="B691" s="15">
        <v>22</v>
      </c>
      <c r="C691" s="15" t="s">
        <v>10</v>
      </c>
      <c r="D691" s="15" t="s">
        <v>11</v>
      </c>
      <c r="E691" s="15">
        <v>1368</v>
      </c>
      <c r="F691" s="15" t="s">
        <v>119</v>
      </c>
      <c r="G691" s="15">
        <v>4</v>
      </c>
      <c r="H691" s="15">
        <v>1</v>
      </c>
      <c r="I691" s="15" t="s">
        <v>22</v>
      </c>
      <c r="J691" s="15">
        <v>1</v>
      </c>
      <c r="K691" s="15">
        <v>593</v>
      </c>
      <c r="L691" s="15">
        <v>3</v>
      </c>
      <c r="M691" s="15" t="s">
        <v>23</v>
      </c>
      <c r="N691" s="15">
        <v>99</v>
      </c>
      <c r="O691" s="15">
        <v>2</v>
      </c>
      <c r="P691" s="15">
        <v>1</v>
      </c>
      <c r="Q691" s="15" t="s">
        <v>36</v>
      </c>
      <c r="R691" s="15">
        <v>3</v>
      </c>
      <c r="S691" s="15" t="s">
        <v>27</v>
      </c>
      <c r="T691" s="15">
        <v>3894</v>
      </c>
      <c r="U691" s="15">
        <v>9129</v>
      </c>
      <c r="V691" s="15">
        <v>5</v>
      </c>
      <c r="W691" s="15" t="s">
        <v>29</v>
      </c>
      <c r="X691" s="15" t="s">
        <v>9</v>
      </c>
      <c r="Y691" s="15">
        <v>16</v>
      </c>
      <c r="Z691" s="15">
        <v>3</v>
      </c>
      <c r="AA691" s="15">
        <v>3</v>
      </c>
      <c r="AB691" s="15">
        <v>80</v>
      </c>
      <c r="AC691" s="15">
        <v>0</v>
      </c>
      <c r="AD691" s="15">
        <v>4</v>
      </c>
      <c r="AE691" s="15">
        <v>3</v>
      </c>
      <c r="AF691" s="15">
        <v>3</v>
      </c>
      <c r="AG691" s="15">
        <v>2</v>
      </c>
      <c r="AH691" s="15">
        <v>2</v>
      </c>
      <c r="AI691" s="15">
        <v>1</v>
      </c>
      <c r="AJ691" s="15">
        <v>2</v>
      </c>
    </row>
    <row r="692" spans="1:36" x14ac:dyDescent="0.25">
      <c r="A692">
        <v>474</v>
      </c>
      <c r="B692">
        <v>45</v>
      </c>
      <c r="C692" t="s">
        <v>9</v>
      </c>
      <c r="D692" t="s">
        <v>15</v>
      </c>
      <c r="E692">
        <v>1316</v>
      </c>
      <c r="F692" t="s">
        <v>119</v>
      </c>
      <c r="G692">
        <v>29</v>
      </c>
      <c r="H692">
        <v>3</v>
      </c>
      <c r="I692" t="s">
        <v>17</v>
      </c>
      <c r="J692">
        <v>1</v>
      </c>
      <c r="K692">
        <v>192</v>
      </c>
      <c r="L692">
        <v>3</v>
      </c>
      <c r="M692" t="s">
        <v>23</v>
      </c>
      <c r="N692">
        <v>83</v>
      </c>
      <c r="O692">
        <v>3</v>
      </c>
      <c r="P692">
        <v>1</v>
      </c>
      <c r="Q692" t="s">
        <v>32</v>
      </c>
      <c r="R692">
        <v>4</v>
      </c>
      <c r="S692" t="s">
        <v>27</v>
      </c>
      <c r="T692">
        <v>3452</v>
      </c>
      <c r="U692">
        <v>9752</v>
      </c>
      <c r="V692">
        <v>5</v>
      </c>
      <c r="W692" t="s">
        <v>29</v>
      </c>
      <c r="X692" t="s">
        <v>9</v>
      </c>
      <c r="Y692">
        <v>13</v>
      </c>
      <c r="Z692">
        <v>3</v>
      </c>
      <c r="AA692">
        <v>2</v>
      </c>
      <c r="AB692">
        <v>80</v>
      </c>
      <c r="AC692">
        <v>0</v>
      </c>
      <c r="AD692">
        <v>9</v>
      </c>
      <c r="AE692">
        <v>2</v>
      </c>
      <c r="AF692">
        <v>2</v>
      </c>
      <c r="AG692">
        <v>6</v>
      </c>
      <c r="AH692">
        <v>5</v>
      </c>
      <c r="AI692">
        <v>0</v>
      </c>
      <c r="AJ692">
        <v>3</v>
      </c>
    </row>
    <row r="693" spans="1:36" x14ac:dyDescent="0.25">
      <c r="A693" s="15">
        <v>299</v>
      </c>
      <c r="B693" s="15">
        <v>31</v>
      </c>
      <c r="C693" s="15" t="s">
        <v>10</v>
      </c>
      <c r="D693" s="15" t="s">
        <v>16</v>
      </c>
      <c r="E693" s="15">
        <v>335</v>
      </c>
      <c r="F693" s="15" t="s">
        <v>119</v>
      </c>
      <c r="G693" s="15">
        <v>9</v>
      </c>
      <c r="H693" s="15">
        <v>2</v>
      </c>
      <c r="I693" s="15" t="s">
        <v>17</v>
      </c>
      <c r="J693" s="15">
        <v>1</v>
      </c>
      <c r="K693" s="15">
        <v>991</v>
      </c>
      <c r="L693" s="15">
        <v>3</v>
      </c>
      <c r="M693" s="15" t="s">
        <v>23</v>
      </c>
      <c r="N693" s="15">
        <v>46</v>
      </c>
      <c r="O693" s="15">
        <v>2</v>
      </c>
      <c r="P693" s="15">
        <v>1</v>
      </c>
      <c r="Q693" s="15" t="s">
        <v>32</v>
      </c>
      <c r="R693" s="15">
        <v>1</v>
      </c>
      <c r="S693" s="15" t="s">
        <v>27</v>
      </c>
      <c r="T693" s="15">
        <v>2321</v>
      </c>
      <c r="U693" s="15">
        <v>10322</v>
      </c>
      <c r="V693" s="15">
        <v>0</v>
      </c>
      <c r="W693" s="15" t="s">
        <v>29</v>
      </c>
      <c r="X693" s="15" t="s">
        <v>10</v>
      </c>
      <c r="Y693" s="15">
        <v>22</v>
      </c>
      <c r="Z693" s="15">
        <v>4</v>
      </c>
      <c r="AA693" s="15">
        <v>1</v>
      </c>
      <c r="AB693" s="15">
        <v>80</v>
      </c>
      <c r="AC693" s="15">
        <v>0</v>
      </c>
      <c r="AD693" s="15">
        <v>4</v>
      </c>
      <c r="AE693" s="15">
        <v>0</v>
      </c>
      <c r="AF693" s="15">
        <v>3</v>
      </c>
      <c r="AG693" s="15">
        <v>3</v>
      </c>
      <c r="AH693" s="15">
        <v>2</v>
      </c>
      <c r="AI693" s="15">
        <v>1</v>
      </c>
      <c r="AJ693" s="15">
        <v>2</v>
      </c>
    </row>
    <row r="694" spans="1:36" x14ac:dyDescent="0.25">
      <c r="A694" s="15">
        <v>694</v>
      </c>
      <c r="B694" s="15">
        <v>30</v>
      </c>
      <c r="C694" s="15" t="s">
        <v>10</v>
      </c>
      <c r="D694" s="15" t="s">
        <v>11</v>
      </c>
      <c r="E694" s="15">
        <v>464</v>
      </c>
      <c r="F694" s="15" t="s">
        <v>119</v>
      </c>
      <c r="G694" s="15">
        <v>4</v>
      </c>
      <c r="H694" s="15">
        <v>3</v>
      </c>
      <c r="I694" s="15" t="s">
        <v>22</v>
      </c>
      <c r="J694" s="15">
        <v>1</v>
      </c>
      <c r="K694" s="15">
        <v>514</v>
      </c>
      <c r="L694" s="15">
        <v>3</v>
      </c>
      <c r="M694" s="15" t="s">
        <v>23</v>
      </c>
      <c r="N694" s="15">
        <v>40</v>
      </c>
      <c r="O694" s="15">
        <v>3</v>
      </c>
      <c r="P694" s="15">
        <v>1</v>
      </c>
      <c r="Q694" s="15" t="s">
        <v>32</v>
      </c>
      <c r="R694" s="15">
        <v>4</v>
      </c>
      <c r="S694" s="15" t="s">
        <v>27</v>
      </c>
      <c r="T694" s="15">
        <v>2285</v>
      </c>
      <c r="U694" s="15">
        <v>3427</v>
      </c>
      <c r="V694" s="15">
        <v>9</v>
      </c>
      <c r="W694" s="15" t="s">
        <v>29</v>
      </c>
      <c r="X694" s="15" t="s">
        <v>10</v>
      </c>
      <c r="Y694" s="15">
        <v>23</v>
      </c>
      <c r="Z694" s="15">
        <v>4</v>
      </c>
      <c r="AA694" s="15">
        <v>3</v>
      </c>
      <c r="AB694" s="15">
        <v>80</v>
      </c>
      <c r="AC694" s="15">
        <v>0</v>
      </c>
      <c r="AD694" s="15">
        <v>3</v>
      </c>
      <c r="AE694" s="15">
        <v>4</v>
      </c>
      <c r="AF694" s="15">
        <v>3</v>
      </c>
      <c r="AG694" s="15">
        <v>1</v>
      </c>
      <c r="AH694" s="15">
        <v>0</v>
      </c>
      <c r="AI694" s="15">
        <v>0</v>
      </c>
      <c r="AJ694" s="15">
        <v>0</v>
      </c>
    </row>
    <row r="695" spans="1:36" x14ac:dyDescent="0.25">
      <c r="A695">
        <v>117</v>
      </c>
      <c r="B695">
        <v>25</v>
      </c>
      <c r="C695" t="s">
        <v>9</v>
      </c>
      <c r="D695" t="s">
        <v>15</v>
      </c>
      <c r="E695">
        <v>1356</v>
      </c>
      <c r="F695" t="s">
        <v>118</v>
      </c>
      <c r="G695">
        <v>10</v>
      </c>
      <c r="H695">
        <v>4</v>
      </c>
      <c r="I695" t="s">
        <v>21</v>
      </c>
      <c r="J695">
        <v>1</v>
      </c>
      <c r="K695">
        <v>1240</v>
      </c>
      <c r="L695">
        <v>3</v>
      </c>
      <c r="M695" t="s">
        <v>23</v>
      </c>
      <c r="N695">
        <v>57</v>
      </c>
      <c r="O695">
        <v>3</v>
      </c>
      <c r="P695">
        <v>2</v>
      </c>
      <c r="Q695" t="s">
        <v>25</v>
      </c>
      <c r="R695">
        <v>4</v>
      </c>
      <c r="S695" t="s">
        <v>27</v>
      </c>
      <c r="T695">
        <v>4950</v>
      </c>
      <c r="U695">
        <v>20623</v>
      </c>
      <c r="V695">
        <v>0</v>
      </c>
      <c r="W695" t="s">
        <v>29</v>
      </c>
      <c r="X695" t="s">
        <v>9</v>
      </c>
      <c r="Y695">
        <v>14</v>
      </c>
      <c r="Z695">
        <v>3</v>
      </c>
      <c r="AA695">
        <v>2</v>
      </c>
      <c r="AB695">
        <v>80</v>
      </c>
      <c r="AC695">
        <v>0</v>
      </c>
      <c r="AD695">
        <v>5</v>
      </c>
      <c r="AE695">
        <v>4</v>
      </c>
      <c r="AF695">
        <v>3</v>
      </c>
      <c r="AG695">
        <v>4</v>
      </c>
      <c r="AH695">
        <v>3</v>
      </c>
      <c r="AI695">
        <v>1</v>
      </c>
      <c r="AJ695">
        <v>1</v>
      </c>
    </row>
    <row r="696" spans="1:36" x14ac:dyDescent="0.25">
      <c r="A696">
        <v>140</v>
      </c>
      <c r="B696">
        <v>37</v>
      </c>
      <c r="C696" t="s">
        <v>9</v>
      </c>
      <c r="D696" t="s">
        <v>15</v>
      </c>
      <c r="E696">
        <v>1189</v>
      </c>
      <c r="F696" t="s">
        <v>118</v>
      </c>
      <c r="G696">
        <v>3</v>
      </c>
      <c r="H696">
        <v>3</v>
      </c>
      <c r="I696" t="s">
        <v>21</v>
      </c>
      <c r="J696">
        <v>1</v>
      </c>
      <c r="K696">
        <v>152</v>
      </c>
      <c r="L696">
        <v>3</v>
      </c>
      <c r="M696" t="s">
        <v>23</v>
      </c>
      <c r="N696">
        <v>87</v>
      </c>
      <c r="O696">
        <v>3</v>
      </c>
      <c r="P696">
        <v>3</v>
      </c>
      <c r="Q696" t="s">
        <v>25</v>
      </c>
      <c r="R696">
        <v>4</v>
      </c>
      <c r="S696" t="s">
        <v>27</v>
      </c>
      <c r="T696">
        <v>7428</v>
      </c>
      <c r="U696">
        <v>14506</v>
      </c>
      <c r="V696">
        <v>2</v>
      </c>
      <c r="W696" t="s">
        <v>29</v>
      </c>
      <c r="X696" t="s">
        <v>9</v>
      </c>
      <c r="Y696">
        <v>12</v>
      </c>
      <c r="Z696">
        <v>3</v>
      </c>
      <c r="AA696">
        <v>1</v>
      </c>
      <c r="AB696">
        <v>80</v>
      </c>
      <c r="AC696">
        <v>0</v>
      </c>
      <c r="AD696">
        <v>12</v>
      </c>
      <c r="AE696">
        <v>3</v>
      </c>
      <c r="AF696">
        <v>3</v>
      </c>
      <c r="AG696">
        <v>5</v>
      </c>
      <c r="AH696">
        <v>3</v>
      </c>
      <c r="AI696">
        <v>1</v>
      </c>
      <c r="AJ696">
        <v>3</v>
      </c>
    </row>
    <row r="697" spans="1:36" x14ac:dyDescent="0.25">
      <c r="A697">
        <v>673</v>
      </c>
      <c r="B697">
        <v>28</v>
      </c>
      <c r="C697" t="s">
        <v>9</v>
      </c>
      <c r="D697" t="s">
        <v>11</v>
      </c>
      <c r="E697">
        <v>467</v>
      </c>
      <c r="F697" t="s">
        <v>118</v>
      </c>
      <c r="G697">
        <v>7</v>
      </c>
      <c r="H697">
        <v>3</v>
      </c>
      <c r="I697" t="s">
        <v>21</v>
      </c>
      <c r="J697">
        <v>1</v>
      </c>
      <c r="K697">
        <v>1507</v>
      </c>
      <c r="L697">
        <v>3</v>
      </c>
      <c r="M697" t="s">
        <v>23</v>
      </c>
      <c r="N697">
        <v>55</v>
      </c>
      <c r="O697">
        <v>3</v>
      </c>
      <c r="P697">
        <v>2</v>
      </c>
      <c r="Q697" t="s">
        <v>25</v>
      </c>
      <c r="R697">
        <v>1</v>
      </c>
      <c r="S697" t="s">
        <v>27</v>
      </c>
      <c r="T697">
        <v>4898</v>
      </c>
      <c r="U697">
        <v>11827</v>
      </c>
      <c r="V697">
        <v>0</v>
      </c>
      <c r="W697" t="s">
        <v>29</v>
      </c>
      <c r="X697" t="s">
        <v>9</v>
      </c>
      <c r="Y697">
        <v>14</v>
      </c>
      <c r="Z697">
        <v>3</v>
      </c>
      <c r="AA697">
        <v>4</v>
      </c>
      <c r="AB697">
        <v>80</v>
      </c>
      <c r="AC697">
        <v>0</v>
      </c>
      <c r="AD697">
        <v>5</v>
      </c>
      <c r="AE697">
        <v>5</v>
      </c>
      <c r="AF697">
        <v>3</v>
      </c>
      <c r="AG697">
        <v>4</v>
      </c>
      <c r="AH697">
        <v>2</v>
      </c>
      <c r="AI697">
        <v>1</v>
      </c>
      <c r="AJ697">
        <v>3</v>
      </c>
    </row>
    <row r="698" spans="1:36" x14ac:dyDescent="0.25">
      <c r="A698" s="15">
        <v>453</v>
      </c>
      <c r="B698" s="15">
        <v>35</v>
      </c>
      <c r="C698" s="15" t="s">
        <v>10</v>
      </c>
      <c r="D698" s="15" t="s">
        <v>15</v>
      </c>
      <c r="E698" s="15">
        <v>303</v>
      </c>
      <c r="F698" s="15" t="s">
        <v>118</v>
      </c>
      <c r="G698" s="15">
        <v>27</v>
      </c>
      <c r="H698" s="15">
        <v>3</v>
      </c>
      <c r="I698" s="15" t="s">
        <v>21</v>
      </c>
      <c r="J698" s="15">
        <v>1</v>
      </c>
      <c r="K698" s="15">
        <v>1797</v>
      </c>
      <c r="L698" s="15">
        <v>3</v>
      </c>
      <c r="M698" s="15" t="s">
        <v>23</v>
      </c>
      <c r="N698" s="15">
        <v>84</v>
      </c>
      <c r="O698" s="15">
        <v>3</v>
      </c>
      <c r="P698" s="15">
        <v>2</v>
      </c>
      <c r="Q698" s="15" t="s">
        <v>25</v>
      </c>
      <c r="R698" s="15">
        <v>4</v>
      </c>
      <c r="S698" s="15" t="s">
        <v>27</v>
      </c>
      <c r="T698" s="15">
        <v>5813</v>
      </c>
      <c r="U698" s="15">
        <v>13492</v>
      </c>
      <c r="V698" s="15">
        <v>1</v>
      </c>
      <c r="W698" s="15" t="s">
        <v>29</v>
      </c>
      <c r="X698" s="15" t="s">
        <v>10</v>
      </c>
      <c r="Y698" s="15">
        <v>18</v>
      </c>
      <c r="Z698" s="15">
        <v>3</v>
      </c>
      <c r="AA698" s="15">
        <v>4</v>
      </c>
      <c r="AB698" s="15">
        <v>80</v>
      </c>
      <c r="AC698" s="15">
        <v>0</v>
      </c>
      <c r="AD698" s="15">
        <v>10</v>
      </c>
      <c r="AE698" s="15">
        <v>2</v>
      </c>
      <c r="AF698" s="15">
        <v>3</v>
      </c>
      <c r="AG698" s="15">
        <v>10</v>
      </c>
      <c r="AH698" s="15">
        <v>7</v>
      </c>
      <c r="AI698" s="15">
        <v>7</v>
      </c>
      <c r="AJ698" s="15">
        <v>7</v>
      </c>
    </row>
    <row r="699" spans="1:36" x14ac:dyDescent="0.25">
      <c r="A699" s="15">
        <v>279</v>
      </c>
      <c r="B699" s="15">
        <v>25</v>
      </c>
      <c r="C699" s="15" t="s">
        <v>10</v>
      </c>
      <c r="D699" s="15" t="s">
        <v>15</v>
      </c>
      <c r="E699" s="15">
        <v>240</v>
      </c>
      <c r="F699" s="15" t="s">
        <v>118</v>
      </c>
      <c r="G699" s="15">
        <v>5</v>
      </c>
      <c r="H699" s="15">
        <v>3</v>
      </c>
      <c r="I699" s="15" t="s">
        <v>18</v>
      </c>
      <c r="J699" s="15">
        <v>1</v>
      </c>
      <c r="K699" s="15">
        <v>142</v>
      </c>
      <c r="L699" s="15">
        <v>3</v>
      </c>
      <c r="M699" s="15" t="s">
        <v>23</v>
      </c>
      <c r="N699" s="15">
        <v>46</v>
      </c>
      <c r="O699" s="15">
        <v>2</v>
      </c>
      <c r="P699" s="15">
        <v>2</v>
      </c>
      <c r="Q699" s="15" t="s">
        <v>25</v>
      </c>
      <c r="R699" s="15">
        <v>3</v>
      </c>
      <c r="S699" s="15" t="s">
        <v>27</v>
      </c>
      <c r="T699" s="15">
        <v>5744</v>
      </c>
      <c r="U699" s="15">
        <v>26959</v>
      </c>
      <c r="V699" s="15">
        <v>1</v>
      </c>
      <c r="W699" s="15" t="s">
        <v>29</v>
      </c>
      <c r="X699" s="15" t="s">
        <v>10</v>
      </c>
      <c r="Y699" s="15">
        <v>11</v>
      </c>
      <c r="Z699" s="15">
        <v>3</v>
      </c>
      <c r="AA699" s="15">
        <v>4</v>
      </c>
      <c r="AB699" s="15">
        <v>80</v>
      </c>
      <c r="AC699" s="15">
        <v>0</v>
      </c>
      <c r="AD699" s="15">
        <v>6</v>
      </c>
      <c r="AE699" s="15">
        <v>1</v>
      </c>
      <c r="AF699" s="15">
        <v>3</v>
      </c>
      <c r="AG699" s="15">
        <v>6</v>
      </c>
      <c r="AH699" s="15">
        <v>4</v>
      </c>
      <c r="AI699" s="15">
        <v>0</v>
      </c>
      <c r="AJ699" s="15">
        <v>3</v>
      </c>
    </row>
    <row r="700" spans="1:36" x14ac:dyDescent="0.25">
      <c r="A700">
        <v>458</v>
      </c>
      <c r="B700">
        <v>51</v>
      </c>
      <c r="C700" t="s">
        <v>9</v>
      </c>
      <c r="D700" t="s">
        <v>15</v>
      </c>
      <c r="E700">
        <v>632</v>
      </c>
      <c r="F700" t="s">
        <v>118</v>
      </c>
      <c r="G700">
        <v>21</v>
      </c>
      <c r="H700">
        <v>4</v>
      </c>
      <c r="I700" t="s">
        <v>18</v>
      </c>
      <c r="J700">
        <v>1</v>
      </c>
      <c r="K700">
        <v>120</v>
      </c>
      <c r="L700">
        <v>3</v>
      </c>
      <c r="M700" t="s">
        <v>23</v>
      </c>
      <c r="N700">
        <v>71</v>
      </c>
      <c r="O700">
        <v>3</v>
      </c>
      <c r="P700">
        <v>2</v>
      </c>
      <c r="Q700" t="s">
        <v>25</v>
      </c>
      <c r="R700">
        <v>4</v>
      </c>
      <c r="S700" t="s">
        <v>27</v>
      </c>
      <c r="T700">
        <v>5441</v>
      </c>
      <c r="U700">
        <v>8423</v>
      </c>
      <c r="V700">
        <v>0</v>
      </c>
      <c r="W700" t="s">
        <v>29</v>
      </c>
      <c r="X700" t="s">
        <v>10</v>
      </c>
      <c r="Y700">
        <v>22</v>
      </c>
      <c r="Z700">
        <v>4</v>
      </c>
      <c r="AA700">
        <v>4</v>
      </c>
      <c r="AB700">
        <v>80</v>
      </c>
      <c r="AC700">
        <v>0</v>
      </c>
      <c r="AD700">
        <v>11</v>
      </c>
      <c r="AE700">
        <v>2</v>
      </c>
      <c r="AF700">
        <v>1</v>
      </c>
      <c r="AG700">
        <v>10</v>
      </c>
      <c r="AH700">
        <v>7</v>
      </c>
      <c r="AI700">
        <v>1</v>
      </c>
      <c r="AJ700">
        <v>0</v>
      </c>
    </row>
    <row r="701" spans="1:36" x14ac:dyDescent="0.25">
      <c r="A701">
        <v>649</v>
      </c>
      <c r="B701">
        <v>35</v>
      </c>
      <c r="C701" t="s">
        <v>9</v>
      </c>
      <c r="D701" t="s">
        <v>15</v>
      </c>
      <c r="E701">
        <v>776</v>
      </c>
      <c r="F701" t="s">
        <v>118</v>
      </c>
      <c r="G701">
        <v>1</v>
      </c>
      <c r="H701">
        <v>4</v>
      </c>
      <c r="I701" t="s">
        <v>18</v>
      </c>
      <c r="J701">
        <v>1</v>
      </c>
      <c r="K701">
        <v>100</v>
      </c>
      <c r="L701">
        <v>3</v>
      </c>
      <c r="M701" t="s">
        <v>23</v>
      </c>
      <c r="N701">
        <v>32</v>
      </c>
      <c r="O701">
        <v>2</v>
      </c>
      <c r="P701">
        <v>2</v>
      </c>
      <c r="Q701" t="s">
        <v>25</v>
      </c>
      <c r="R701">
        <v>1</v>
      </c>
      <c r="S701" t="s">
        <v>27</v>
      </c>
      <c r="T701">
        <v>4312</v>
      </c>
      <c r="U701">
        <v>23016</v>
      </c>
      <c r="V701">
        <v>0</v>
      </c>
      <c r="W701" t="s">
        <v>29</v>
      </c>
      <c r="X701" t="s">
        <v>9</v>
      </c>
      <c r="Y701">
        <v>14</v>
      </c>
      <c r="Z701">
        <v>3</v>
      </c>
      <c r="AA701">
        <v>2</v>
      </c>
      <c r="AB701">
        <v>80</v>
      </c>
      <c r="AC701">
        <v>0</v>
      </c>
      <c r="AD701">
        <v>16</v>
      </c>
      <c r="AE701">
        <v>2</v>
      </c>
      <c r="AF701">
        <v>3</v>
      </c>
      <c r="AG701">
        <v>15</v>
      </c>
      <c r="AH701">
        <v>13</v>
      </c>
      <c r="AI701">
        <v>2</v>
      </c>
      <c r="AJ701">
        <v>8</v>
      </c>
    </row>
    <row r="702" spans="1:36" x14ac:dyDescent="0.25">
      <c r="A702">
        <v>493</v>
      </c>
      <c r="B702">
        <v>29</v>
      </c>
      <c r="C702" t="s">
        <v>9</v>
      </c>
      <c r="D702" t="s">
        <v>15</v>
      </c>
      <c r="E702">
        <v>469</v>
      </c>
      <c r="F702" t="s">
        <v>118</v>
      </c>
      <c r="G702">
        <v>10</v>
      </c>
      <c r="H702">
        <v>3</v>
      </c>
      <c r="I702" t="s">
        <v>17</v>
      </c>
      <c r="J702">
        <v>1</v>
      </c>
      <c r="K702">
        <v>1650</v>
      </c>
      <c r="L702">
        <v>3</v>
      </c>
      <c r="M702" t="s">
        <v>23</v>
      </c>
      <c r="N702">
        <v>42</v>
      </c>
      <c r="O702">
        <v>2</v>
      </c>
      <c r="P702">
        <v>2</v>
      </c>
      <c r="Q702" t="s">
        <v>25</v>
      </c>
      <c r="R702">
        <v>3</v>
      </c>
      <c r="S702" t="s">
        <v>27</v>
      </c>
      <c r="T702">
        <v>5869</v>
      </c>
      <c r="U702">
        <v>23413</v>
      </c>
      <c r="V702">
        <v>9</v>
      </c>
      <c r="W702" t="s">
        <v>29</v>
      </c>
      <c r="X702" t="s">
        <v>9</v>
      </c>
      <c r="Y702">
        <v>11</v>
      </c>
      <c r="Z702">
        <v>3</v>
      </c>
      <c r="AA702">
        <v>3</v>
      </c>
      <c r="AB702">
        <v>80</v>
      </c>
      <c r="AC702">
        <v>0</v>
      </c>
      <c r="AD702">
        <v>8</v>
      </c>
      <c r="AE702">
        <v>2</v>
      </c>
      <c r="AF702">
        <v>3</v>
      </c>
      <c r="AG702">
        <v>5</v>
      </c>
      <c r="AH702">
        <v>2</v>
      </c>
      <c r="AI702">
        <v>1</v>
      </c>
      <c r="AJ702">
        <v>4</v>
      </c>
    </row>
    <row r="703" spans="1:36" x14ac:dyDescent="0.25">
      <c r="A703">
        <v>763</v>
      </c>
      <c r="B703">
        <v>41</v>
      </c>
      <c r="C703" t="s">
        <v>9</v>
      </c>
      <c r="D703" t="s">
        <v>16</v>
      </c>
      <c r="E703">
        <v>256</v>
      </c>
      <c r="F703" t="s">
        <v>118</v>
      </c>
      <c r="G703">
        <v>10</v>
      </c>
      <c r="H703">
        <v>2</v>
      </c>
      <c r="I703" t="s">
        <v>17</v>
      </c>
      <c r="J703">
        <v>1</v>
      </c>
      <c r="K703">
        <v>1329</v>
      </c>
      <c r="L703">
        <v>3</v>
      </c>
      <c r="M703" t="s">
        <v>23</v>
      </c>
      <c r="N703">
        <v>40</v>
      </c>
      <c r="O703">
        <v>1</v>
      </c>
      <c r="P703">
        <v>2</v>
      </c>
      <c r="Q703" t="s">
        <v>25</v>
      </c>
      <c r="R703">
        <v>2</v>
      </c>
      <c r="S703" t="s">
        <v>27</v>
      </c>
      <c r="T703">
        <v>6151</v>
      </c>
      <c r="U703">
        <v>22074</v>
      </c>
      <c r="V703">
        <v>1</v>
      </c>
      <c r="W703" t="s">
        <v>29</v>
      </c>
      <c r="X703" t="s">
        <v>9</v>
      </c>
      <c r="Y703">
        <v>13</v>
      </c>
      <c r="Z703">
        <v>3</v>
      </c>
      <c r="AA703">
        <v>1</v>
      </c>
      <c r="AB703">
        <v>80</v>
      </c>
      <c r="AC703">
        <v>0</v>
      </c>
      <c r="AD703">
        <v>19</v>
      </c>
      <c r="AE703">
        <v>4</v>
      </c>
      <c r="AF703">
        <v>3</v>
      </c>
      <c r="AG703">
        <v>19</v>
      </c>
      <c r="AH703">
        <v>2</v>
      </c>
      <c r="AI703">
        <v>11</v>
      </c>
      <c r="AJ703">
        <v>9</v>
      </c>
    </row>
    <row r="704" spans="1:36" x14ac:dyDescent="0.25">
      <c r="A704" s="15">
        <v>60</v>
      </c>
      <c r="B704" s="15">
        <v>25</v>
      </c>
      <c r="C704" s="15" t="s">
        <v>10</v>
      </c>
      <c r="D704" s="15" t="s">
        <v>11</v>
      </c>
      <c r="E704" s="15">
        <v>599</v>
      </c>
      <c r="F704" s="15" t="s">
        <v>118</v>
      </c>
      <c r="G704" s="15">
        <v>24</v>
      </c>
      <c r="H704" s="15">
        <v>1</v>
      </c>
      <c r="I704" s="15" t="s">
        <v>21</v>
      </c>
      <c r="J704" s="15">
        <v>1</v>
      </c>
      <c r="K704" s="15">
        <v>1273</v>
      </c>
      <c r="L704" s="15">
        <v>3</v>
      </c>
      <c r="M704" s="15" t="s">
        <v>23</v>
      </c>
      <c r="N704" s="15">
        <v>73</v>
      </c>
      <c r="O704" s="15">
        <v>1</v>
      </c>
      <c r="P704" s="15">
        <v>1</v>
      </c>
      <c r="Q704" s="15" t="s">
        <v>33</v>
      </c>
      <c r="R704" s="15">
        <v>4</v>
      </c>
      <c r="S704" s="15" t="s">
        <v>27</v>
      </c>
      <c r="T704" s="15">
        <v>1118</v>
      </c>
      <c r="U704" s="15">
        <v>8040</v>
      </c>
      <c r="V704" s="15">
        <v>1</v>
      </c>
      <c r="W704" s="15" t="s">
        <v>29</v>
      </c>
      <c r="X704" s="15" t="s">
        <v>10</v>
      </c>
      <c r="Y704" s="15">
        <v>14</v>
      </c>
      <c r="Z704" s="15">
        <v>3</v>
      </c>
      <c r="AA704" s="15">
        <v>4</v>
      </c>
      <c r="AB704" s="15">
        <v>80</v>
      </c>
      <c r="AC704" s="15">
        <v>0</v>
      </c>
      <c r="AD704" s="15">
        <v>1</v>
      </c>
      <c r="AE704" s="15">
        <v>4</v>
      </c>
      <c r="AF704" s="15">
        <v>3</v>
      </c>
      <c r="AG704" s="15">
        <v>1</v>
      </c>
      <c r="AH704" s="15">
        <v>0</v>
      </c>
      <c r="AI704" s="15">
        <v>1</v>
      </c>
      <c r="AJ704" s="15">
        <v>0</v>
      </c>
    </row>
    <row r="705" spans="1:36" x14ac:dyDescent="0.25">
      <c r="A705" s="15">
        <v>588</v>
      </c>
      <c r="B705" s="15">
        <v>36</v>
      </c>
      <c r="C705" s="15" t="s">
        <v>10</v>
      </c>
      <c r="D705" s="15" t="s">
        <v>15</v>
      </c>
      <c r="E705" s="15">
        <v>1218</v>
      </c>
      <c r="F705" s="15" t="s">
        <v>118</v>
      </c>
      <c r="G705" s="15">
        <v>9</v>
      </c>
      <c r="H705" s="15">
        <v>4</v>
      </c>
      <c r="I705" s="15" t="s">
        <v>21</v>
      </c>
      <c r="J705" s="15">
        <v>1</v>
      </c>
      <c r="K705" s="15">
        <v>27</v>
      </c>
      <c r="L705" s="15">
        <v>3</v>
      </c>
      <c r="M705" s="15" t="s">
        <v>23</v>
      </c>
      <c r="N705" s="15">
        <v>82</v>
      </c>
      <c r="O705" s="15">
        <v>2</v>
      </c>
      <c r="P705" s="15">
        <v>1</v>
      </c>
      <c r="Q705" s="15" t="s">
        <v>33</v>
      </c>
      <c r="R705" s="15">
        <v>1</v>
      </c>
      <c r="S705" s="15" t="s">
        <v>27</v>
      </c>
      <c r="T705" s="15">
        <v>3407</v>
      </c>
      <c r="U705" s="15">
        <v>6986</v>
      </c>
      <c r="V705" s="15">
        <v>7</v>
      </c>
      <c r="W705" s="15" t="s">
        <v>29</v>
      </c>
      <c r="X705" s="15" t="s">
        <v>9</v>
      </c>
      <c r="Y705" s="15">
        <v>23</v>
      </c>
      <c r="Z705" s="15">
        <v>4</v>
      </c>
      <c r="AA705" s="15">
        <v>2</v>
      </c>
      <c r="AB705" s="15">
        <v>80</v>
      </c>
      <c r="AC705" s="15">
        <v>0</v>
      </c>
      <c r="AD705" s="15">
        <v>10</v>
      </c>
      <c r="AE705" s="15">
        <v>4</v>
      </c>
      <c r="AF705" s="15">
        <v>3</v>
      </c>
      <c r="AG705" s="15">
        <v>5</v>
      </c>
      <c r="AH705" s="15">
        <v>3</v>
      </c>
      <c r="AI705" s="15">
        <v>0</v>
      </c>
      <c r="AJ705" s="15">
        <v>3</v>
      </c>
    </row>
    <row r="706" spans="1:36" x14ac:dyDescent="0.25">
      <c r="A706">
        <v>467</v>
      </c>
      <c r="B706">
        <v>36</v>
      </c>
      <c r="C706" t="s">
        <v>9</v>
      </c>
      <c r="D706" t="s">
        <v>15</v>
      </c>
      <c r="E706">
        <v>1157</v>
      </c>
      <c r="F706" t="s">
        <v>118</v>
      </c>
      <c r="G706">
        <v>2</v>
      </c>
      <c r="H706">
        <v>4</v>
      </c>
      <c r="I706" t="s">
        <v>21</v>
      </c>
      <c r="J706">
        <v>1</v>
      </c>
      <c r="K706">
        <v>1556</v>
      </c>
      <c r="L706">
        <v>3</v>
      </c>
      <c r="M706" t="s">
        <v>23</v>
      </c>
      <c r="N706">
        <v>70</v>
      </c>
      <c r="O706">
        <v>3</v>
      </c>
      <c r="P706">
        <v>1</v>
      </c>
      <c r="Q706" t="s">
        <v>33</v>
      </c>
      <c r="R706">
        <v>4</v>
      </c>
      <c r="S706" t="s">
        <v>27</v>
      </c>
      <c r="T706">
        <v>2644</v>
      </c>
      <c r="U706">
        <v>17001</v>
      </c>
      <c r="V706">
        <v>3</v>
      </c>
      <c r="W706" t="s">
        <v>29</v>
      </c>
      <c r="X706" t="s">
        <v>10</v>
      </c>
      <c r="Y706">
        <v>21</v>
      </c>
      <c r="Z706">
        <v>4</v>
      </c>
      <c r="AA706">
        <v>4</v>
      </c>
      <c r="AB706">
        <v>80</v>
      </c>
      <c r="AC706">
        <v>0</v>
      </c>
      <c r="AD706">
        <v>7</v>
      </c>
      <c r="AE706">
        <v>3</v>
      </c>
      <c r="AF706">
        <v>2</v>
      </c>
      <c r="AG706">
        <v>3</v>
      </c>
      <c r="AH706">
        <v>2</v>
      </c>
      <c r="AI706">
        <v>1</v>
      </c>
      <c r="AJ706">
        <v>2</v>
      </c>
    </row>
    <row r="707" spans="1:36" x14ac:dyDescent="0.25">
      <c r="A707" s="15">
        <v>362</v>
      </c>
      <c r="B707" s="15">
        <v>29</v>
      </c>
      <c r="C707" s="15" t="s">
        <v>10</v>
      </c>
      <c r="D707" s="15" t="s">
        <v>11</v>
      </c>
      <c r="E707" s="15">
        <v>746</v>
      </c>
      <c r="F707" s="15" t="s">
        <v>118</v>
      </c>
      <c r="G707" s="15">
        <v>24</v>
      </c>
      <c r="H707" s="15">
        <v>3</v>
      </c>
      <c r="I707" s="15" t="s">
        <v>22</v>
      </c>
      <c r="J707" s="15">
        <v>1</v>
      </c>
      <c r="K707" s="15">
        <v>1928</v>
      </c>
      <c r="L707" s="15">
        <v>3</v>
      </c>
      <c r="M707" s="15" t="s">
        <v>23</v>
      </c>
      <c r="N707" s="15">
        <v>45</v>
      </c>
      <c r="O707" s="15">
        <v>4</v>
      </c>
      <c r="P707" s="15">
        <v>1</v>
      </c>
      <c r="Q707" s="15" t="s">
        <v>33</v>
      </c>
      <c r="R707" s="15">
        <v>1</v>
      </c>
      <c r="S707" s="15" t="s">
        <v>27</v>
      </c>
      <c r="T707" s="15">
        <v>1091</v>
      </c>
      <c r="U707" s="15">
        <v>10642</v>
      </c>
      <c r="V707" s="15">
        <v>1</v>
      </c>
      <c r="W707" s="15" t="s">
        <v>29</v>
      </c>
      <c r="X707" s="15" t="s">
        <v>9</v>
      </c>
      <c r="Y707" s="15">
        <v>17</v>
      </c>
      <c r="Z707" s="15">
        <v>3</v>
      </c>
      <c r="AA707" s="15">
        <v>4</v>
      </c>
      <c r="AB707" s="15">
        <v>80</v>
      </c>
      <c r="AC707" s="15">
        <v>0</v>
      </c>
      <c r="AD707" s="15">
        <v>1</v>
      </c>
      <c r="AE707" s="15">
        <v>3</v>
      </c>
      <c r="AF707" s="15">
        <v>3</v>
      </c>
      <c r="AG707" s="15">
        <v>1</v>
      </c>
      <c r="AH707" s="15">
        <v>0</v>
      </c>
      <c r="AI707" s="15">
        <v>0</v>
      </c>
      <c r="AJ707" s="15">
        <v>0</v>
      </c>
    </row>
    <row r="708" spans="1:36" x14ac:dyDescent="0.25">
      <c r="A708">
        <v>122</v>
      </c>
      <c r="B708">
        <v>21</v>
      </c>
      <c r="C708" t="s">
        <v>9</v>
      </c>
      <c r="D708" t="s">
        <v>15</v>
      </c>
      <c r="E708">
        <v>501</v>
      </c>
      <c r="F708" t="s">
        <v>118</v>
      </c>
      <c r="G708">
        <v>5</v>
      </c>
      <c r="H708">
        <v>1</v>
      </c>
      <c r="I708" t="s">
        <v>17</v>
      </c>
      <c r="J708">
        <v>1</v>
      </c>
      <c r="K708">
        <v>2021</v>
      </c>
      <c r="L708">
        <v>3</v>
      </c>
      <c r="M708" t="s">
        <v>23</v>
      </c>
      <c r="N708">
        <v>58</v>
      </c>
      <c r="O708">
        <v>3</v>
      </c>
      <c r="P708">
        <v>1</v>
      </c>
      <c r="Q708" t="s">
        <v>33</v>
      </c>
      <c r="R708">
        <v>1</v>
      </c>
      <c r="S708" t="s">
        <v>27</v>
      </c>
      <c r="T708">
        <v>2380</v>
      </c>
      <c r="U708">
        <v>25479</v>
      </c>
      <c r="V708">
        <v>1</v>
      </c>
      <c r="W708" t="s">
        <v>29</v>
      </c>
      <c r="X708" t="s">
        <v>10</v>
      </c>
      <c r="Y708">
        <v>11</v>
      </c>
      <c r="Z708">
        <v>3</v>
      </c>
      <c r="AA708">
        <v>4</v>
      </c>
      <c r="AB708">
        <v>80</v>
      </c>
      <c r="AC708">
        <v>0</v>
      </c>
      <c r="AD708">
        <v>2</v>
      </c>
      <c r="AE708">
        <v>6</v>
      </c>
      <c r="AF708">
        <v>3</v>
      </c>
      <c r="AG708">
        <v>2</v>
      </c>
      <c r="AH708">
        <v>2</v>
      </c>
      <c r="AI708">
        <v>1</v>
      </c>
      <c r="AJ708">
        <v>2</v>
      </c>
    </row>
    <row r="709" spans="1:36" x14ac:dyDescent="0.25">
      <c r="A709">
        <v>269</v>
      </c>
      <c r="B709">
        <v>33</v>
      </c>
      <c r="C709" t="s">
        <v>9</v>
      </c>
      <c r="D709" t="s">
        <v>11</v>
      </c>
      <c r="E709">
        <v>1303</v>
      </c>
      <c r="F709" t="s">
        <v>119</v>
      </c>
      <c r="G709">
        <v>7</v>
      </c>
      <c r="H709">
        <v>2</v>
      </c>
      <c r="I709" t="s">
        <v>21</v>
      </c>
      <c r="J709">
        <v>1</v>
      </c>
      <c r="K709">
        <v>1970</v>
      </c>
      <c r="L709">
        <v>4</v>
      </c>
      <c r="M709" t="s">
        <v>23</v>
      </c>
      <c r="N709">
        <v>36</v>
      </c>
      <c r="O709">
        <v>3</v>
      </c>
      <c r="P709">
        <v>2</v>
      </c>
      <c r="Q709" t="s">
        <v>34</v>
      </c>
      <c r="R709">
        <v>3</v>
      </c>
      <c r="S709" t="s">
        <v>26</v>
      </c>
      <c r="T709">
        <v>5968</v>
      </c>
      <c r="U709">
        <v>18079</v>
      </c>
      <c r="V709">
        <v>1</v>
      </c>
      <c r="W709" t="s">
        <v>29</v>
      </c>
      <c r="X709" t="s">
        <v>9</v>
      </c>
      <c r="Y709">
        <v>20</v>
      </c>
      <c r="Z709">
        <v>4</v>
      </c>
      <c r="AA709">
        <v>3</v>
      </c>
      <c r="AB709">
        <v>80</v>
      </c>
      <c r="AC709">
        <v>3</v>
      </c>
      <c r="AD709">
        <v>9</v>
      </c>
      <c r="AE709">
        <v>2</v>
      </c>
      <c r="AF709">
        <v>3</v>
      </c>
      <c r="AG709">
        <v>9</v>
      </c>
      <c r="AH709">
        <v>7</v>
      </c>
      <c r="AI709">
        <v>2</v>
      </c>
      <c r="AJ709">
        <v>8</v>
      </c>
    </row>
    <row r="710" spans="1:36" x14ac:dyDescent="0.25">
      <c r="A710">
        <v>343</v>
      </c>
      <c r="B710">
        <v>33</v>
      </c>
      <c r="C710" t="s">
        <v>9</v>
      </c>
      <c r="D710" t="s">
        <v>15</v>
      </c>
      <c r="E710">
        <v>654</v>
      </c>
      <c r="F710" t="s">
        <v>119</v>
      </c>
      <c r="G710">
        <v>5</v>
      </c>
      <c r="H710">
        <v>3</v>
      </c>
      <c r="I710" t="s">
        <v>21</v>
      </c>
      <c r="J710">
        <v>1</v>
      </c>
      <c r="K710">
        <v>1099</v>
      </c>
      <c r="L710">
        <v>4</v>
      </c>
      <c r="M710" t="s">
        <v>23</v>
      </c>
      <c r="N710">
        <v>34</v>
      </c>
      <c r="O710">
        <v>2</v>
      </c>
      <c r="P710">
        <v>3</v>
      </c>
      <c r="Q710" t="s">
        <v>34</v>
      </c>
      <c r="R710">
        <v>4</v>
      </c>
      <c r="S710" t="s">
        <v>26</v>
      </c>
      <c r="T710">
        <v>7119</v>
      </c>
      <c r="U710">
        <v>21214</v>
      </c>
      <c r="V710">
        <v>4</v>
      </c>
      <c r="W710" t="s">
        <v>29</v>
      </c>
      <c r="X710" t="s">
        <v>9</v>
      </c>
      <c r="Y710">
        <v>15</v>
      </c>
      <c r="Z710">
        <v>3</v>
      </c>
      <c r="AA710">
        <v>3</v>
      </c>
      <c r="AB710">
        <v>80</v>
      </c>
      <c r="AC710">
        <v>1</v>
      </c>
      <c r="AD710">
        <v>9</v>
      </c>
      <c r="AE710">
        <v>2</v>
      </c>
      <c r="AF710">
        <v>3</v>
      </c>
      <c r="AG710">
        <v>3</v>
      </c>
      <c r="AH710">
        <v>2</v>
      </c>
      <c r="AI710">
        <v>1</v>
      </c>
      <c r="AJ710">
        <v>2</v>
      </c>
    </row>
    <row r="711" spans="1:36" x14ac:dyDescent="0.25">
      <c r="A711">
        <v>354</v>
      </c>
      <c r="B711">
        <v>40</v>
      </c>
      <c r="C711" t="s">
        <v>9</v>
      </c>
      <c r="D711" t="s">
        <v>16</v>
      </c>
      <c r="E711">
        <v>1142</v>
      </c>
      <c r="F711" t="s">
        <v>119</v>
      </c>
      <c r="G711">
        <v>8</v>
      </c>
      <c r="H711">
        <v>2</v>
      </c>
      <c r="I711" t="s">
        <v>21</v>
      </c>
      <c r="J711">
        <v>1</v>
      </c>
      <c r="K711">
        <v>1552</v>
      </c>
      <c r="L711">
        <v>4</v>
      </c>
      <c r="M711" t="s">
        <v>23</v>
      </c>
      <c r="N711">
        <v>72</v>
      </c>
      <c r="O711">
        <v>3</v>
      </c>
      <c r="P711">
        <v>2</v>
      </c>
      <c r="Q711" t="s">
        <v>34</v>
      </c>
      <c r="R711">
        <v>4</v>
      </c>
      <c r="S711" t="s">
        <v>26</v>
      </c>
      <c r="T711">
        <v>4069</v>
      </c>
      <c r="U711">
        <v>8841</v>
      </c>
      <c r="V711">
        <v>3</v>
      </c>
      <c r="W711" t="s">
        <v>29</v>
      </c>
      <c r="X711" t="s">
        <v>10</v>
      </c>
      <c r="Y711">
        <v>18</v>
      </c>
      <c r="Z711">
        <v>3</v>
      </c>
      <c r="AA711">
        <v>3</v>
      </c>
      <c r="AB711">
        <v>80</v>
      </c>
      <c r="AC711">
        <v>0</v>
      </c>
      <c r="AD711">
        <v>8</v>
      </c>
      <c r="AE711">
        <v>2</v>
      </c>
      <c r="AF711">
        <v>3</v>
      </c>
      <c r="AG711">
        <v>2</v>
      </c>
      <c r="AH711">
        <v>2</v>
      </c>
      <c r="AI711">
        <v>2</v>
      </c>
      <c r="AJ711">
        <v>2</v>
      </c>
    </row>
    <row r="712" spans="1:36" x14ac:dyDescent="0.25">
      <c r="A712">
        <v>800</v>
      </c>
      <c r="B712">
        <v>36</v>
      </c>
      <c r="C712" t="s">
        <v>9</v>
      </c>
      <c r="D712" t="s">
        <v>15</v>
      </c>
      <c r="E712">
        <v>1040</v>
      </c>
      <c r="F712" t="s">
        <v>119</v>
      </c>
      <c r="G712">
        <v>3</v>
      </c>
      <c r="H712">
        <v>2</v>
      </c>
      <c r="I712" t="s">
        <v>21</v>
      </c>
      <c r="J712">
        <v>1</v>
      </c>
      <c r="K712">
        <v>1664</v>
      </c>
      <c r="L712">
        <v>4</v>
      </c>
      <c r="M712" t="s">
        <v>23</v>
      </c>
      <c r="N712">
        <v>79</v>
      </c>
      <c r="O712">
        <v>4</v>
      </c>
      <c r="P712">
        <v>2</v>
      </c>
      <c r="Q712" t="s">
        <v>34</v>
      </c>
      <c r="R712">
        <v>1</v>
      </c>
      <c r="S712" t="s">
        <v>26</v>
      </c>
      <c r="T712">
        <v>6842</v>
      </c>
      <c r="U712">
        <v>26308</v>
      </c>
      <c r="V712">
        <v>6</v>
      </c>
      <c r="W712" t="s">
        <v>29</v>
      </c>
      <c r="X712" t="s">
        <v>9</v>
      </c>
      <c r="Y712">
        <v>20</v>
      </c>
      <c r="Z712">
        <v>4</v>
      </c>
      <c r="AA712">
        <v>1</v>
      </c>
      <c r="AB712">
        <v>80</v>
      </c>
      <c r="AC712">
        <v>1</v>
      </c>
      <c r="AD712">
        <v>13</v>
      </c>
      <c r="AE712">
        <v>3</v>
      </c>
      <c r="AF712">
        <v>3</v>
      </c>
      <c r="AG712">
        <v>5</v>
      </c>
      <c r="AH712">
        <v>4</v>
      </c>
      <c r="AI712">
        <v>0</v>
      </c>
      <c r="AJ712">
        <v>4</v>
      </c>
    </row>
    <row r="713" spans="1:36" x14ac:dyDescent="0.25">
      <c r="A713">
        <v>844</v>
      </c>
      <c r="B713">
        <v>34</v>
      </c>
      <c r="C713" t="s">
        <v>9</v>
      </c>
      <c r="D713" t="s">
        <v>15</v>
      </c>
      <c r="E713">
        <v>943</v>
      </c>
      <c r="F713" t="s">
        <v>119</v>
      </c>
      <c r="G713">
        <v>9</v>
      </c>
      <c r="H713">
        <v>3</v>
      </c>
      <c r="I713" t="s">
        <v>21</v>
      </c>
      <c r="J713">
        <v>1</v>
      </c>
      <c r="K713">
        <v>1344</v>
      </c>
      <c r="L713">
        <v>4</v>
      </c>
      <c r="M713" t="s">
        <v>23</v>
      </c>
      <c r="N713">
        <v>86</v>
      </c>
      <c r="O713">
        <v>3</v>
      </c>
      <c r="P713">
        <v>3</v>
      </c>
      <c r="Q713" t="s">
        <v>34</v>
      </c>
      <c r="R713">
        <v>4</v>
      </c>
      <c r="S713" t="s">
        <v>26</v>
      </c>
      <c r="T713">
        <v>8500</v>
      </c>
      <c r="U713">
        <v>5494</v>
      </c>
      <c r="V713">
        <v>0</v>
      </c>
      <c r="W713" t="s">
        <v>29</v>
      </c>
      <c r="X713" t="s">
        <v>9</v>
      </c>
      <c r="Y713">
        <v>11</v>
      </c>
      <c r="Z713">
        <v>3</v>
      </c>
      <c r="AA713">
        <v>4</v>
      </c>
      <c r="AB713">
        <v>80</v>
      </c>
      <c r="AC713">
        <v>1</v>
      </c>
      <c r="AD713">
        <v>10</v>
      </c>
      <c r="AE713">
        <v>0</v>
      </c>
      <c r="AF713">
        <v>2</v>
      </c>
      <c r="AG713">
        <v>9</v>
      </c>
      <c r="AH713">
        <v>7</v>
      </c>
      <c r="AI713">
        <v>1</v>
      </c>
      <c r="AJ713">
        <v>6</v>
      </c>
    </row>
    <row r="714" spans="1:36" x14ac:dyDescent="0.25">
      <c r="A714">
        <v>835</v>
      </c>
      <c r="B714">
        <v>55</v>
      </c>
      <c r="C714" t="s">
        <v>9</v>
      </c>
      <c r="D714" t="s">
        <v>16</v>
      </c>
      <c r="E714">
        <v>177</v>
      </c>
      <c r="F714" t="s">
        <v>119</v>
      </c>
      <c r="G714">
        <v>8</v>
      </c>
      <c r="H714">
        <v>1</v>
      </c>
      <c r="I714" t="s">
        <v>17</v>
      </c>
      <c r="J714">
        <v>1</v>
      </c>
      <c r="K714">
        <v>1278</v>
      </c>
      <c r="L714">
        <v>4</v>
      </c>
      <c r="M714" t="s">
        <v>23</v>
      </c>
      <c r="N714">
        <v>37</v>
      </c>
      <c r="O714">
        <v>2</v>
      </c>
      <c r="P714">
        <v>4</v>
      </c>
      <c r="Q714" t="s">
        <v>34</v>
      </c>
      <c r="R714">
        <v>2</v>
      </c>
      <c r="S714" t="s">
        <v>26</v>
      </c>
      <c r="T714">
        <v>13577</v>
      </c>
      <c r="U714">
        <v>25592</v>
      </c>
      <c r="V714">
        <v>1</v>
      </c>
      <c r="W714" t="s">
        <v>29</v>
      </c>
      <c r="X714" t="s">
        <v>10</v>
      </c>
      <c r="Y714">
        <v>15</v>
      </c>
      <c r="Z714">
        <v>3</v>
      </c>
      <c r="AA714">
        <v>4</v>
      </c>
      <c r="AB714">
        <v>80</v>
      </c>
      <c r="AC714">
        <v>1</v>
      </c>
      <c r="AD714">
        <v>34</v>
      </c>
      <c r="AE714">
        <v>3</v>
      </c>
      <c r="AF714">
        <v>3</v>
      </c>
      <c r="AG714">
        <v>33</v>
      </c>
      <c r="AH714">
        <v>9</v>
      </c>
      <c r="AI714">
        <v>15</v>
      </c>
      <c r="AJ714">
        <v>0</v>
      </c>
    </row>
    <row r="715" spans="1:36" x14ac:dyDescent="0.25">
      <c r="A715">
        <v>783</v>
      </c>
      <c r="B715">
        <v>33</v>
      </c>
      <c r="C715" t="s">
        <v>9</v>
      </c>
      <c r="D715" t="s">
        <v>15</v>
      </c>
      <c r="E715">
        <v>1075</v>
      </c>
      <c r="F715" t="s">
        <v>20</v>
      </c>
      <c r="G715">
        <v>3</v>
      </c>
      <c r="H715">
        <v>2</v>
      </c>
      <c r="I715" t="s">
        <v>20</v>
      </c>
      <c r="J715">
        <v>1</v>
      </c>
      <c r="K715">
        <v>910</v>
      </c>
      <c r="L715">
        <v>4</v>
      </c>
      <c r="M715" t="s">
        <v>23</v>
      </c>
      <c r="N715">
        <v>57</v>
      </c>
      <c r="O715">
        <v>3</v>
      </c>
      <c r="P715">
        <v>1</v>
      </c>
      <c r="Q715" t="s">
        <v>20</v>
      </c>
      <c r="R715">
        <v>2</v>
      </c>
      <c r="S715" t="s">
        <v>26</v>
      </c>
      <c r="T715">
        <v>2277</v>
      </c>
      <c r="U715">
        <v>22650</v>
      </c>
      <c r="V715">
        <v>3</v>
      </c>
      <c r="W715" t="s">
        <v>29</v>
      </c>
      <c r="X715" t="s">
        <v>10</v>
      </c>
      <c r="Y715">
        <v>11</v>
      </c>
      <c r="Z715">
        <v>3</v>
      </c>
      <c r="AA715">
        <v>3</v>
      </c>
      <c r="AB715">
        <v>80</v>
      </c>
      <c r="AC715">
        <v>1</v>
      </c>
      <c r="AD715">
        <v>7</v>
      </c>
      <c r="AE715">
        <v>4</v>
      </c>
      <c r="AF715">
        <v>4</v>
      </c>
      <c r="AG715">
        <v>4</v>
      </c>
      <c r="AH715">
        <v>3</v>
      </c>
      <c r="AI715">
        <v>0</v>
      </c>
      <c r="AJ715">
        <v>3</v>
      </c>
    </row>
    <row r="716" spans="1:36" x14ac:dyDescent="0.25">
      <c r="A716">
        <v>641</v>
      </c>
      <c r="B716">
        <v>30</v>
      </c>
      <c r="C716" t="s">
        <v>9</v>
      </c>
      <c r="D716" t="s">
        <v>15</v>
      </c>
      <c r="E716">
        <v>1358</v>
      </c>
      <c r="F716" t="s">
        <v>119</v>
      </c>
      <c r="G716">
        <v>24</v>
      </c>
      <c r="H716">
        <v>1</v>
      </c>
      <c r="I716" t="s">
        <v>21</v>
      </c>
      <c r="J716">
        <v>1</v>
      </c>
      <c r="K716">
        <v>11</v>
      </c>
      <c r="L716">
        <v>4</v>
      </c>
      <c r="M716" t="s">
        <v>23</v>
      </c>
      <c r="N716">
        <v>67</v>
      </c>
      <c r="O716">
        <v>3</v>
      </c>
      <c r="P716">
        <v>1</v>
      </c>
      <c r="Q716" t="s">
        <v>36</v>
      </c>
      <c r="R716">
        <v>3</v>
      </c>
      <c r="S716" t="s">
        <v>26</v>
      </c>
      <c r="T716">
        <v>2693</v>
      </c>
      <c r="U716">
        <v>13335</v>
      </c>
      <c r="V716">
        <v>1</v>
      </c>
      <c r="W716" t="s">
        <v>29</v>
      </c>
      <c r="X716" t="s">
        <v>9</v>
      </c>
      <c r="Y716">
        <v>22</v>
      </c>
      <c r="Z716">
        <v>4</v>
      </c>
      <c r="AA716">
        <v>2</v>
      </c>
      <c r="AB716">
        <v>80</v>
      </c>
      <c r="AC716">
        <v>1</v>
      </c>
      <c r="AD716">
        <v>1</v>
      </c>
      <c r="AE716">
        <v>2</v>
      </c>
      <c r="AF716">
        <v>3</v>
      </c>
      <c r="AG716">
        <v>1</v>
      </c>
      <c r="AH716">
        <v>0</v>
      </c>
      <c r="AI716">
        <v>0</v>
      </c>
      <c r="AJ716">
        <v>0</v>
      </c>
    </row>
    <row r="717" spans="1:36" x14ac:dyDescent="0.25">
      <c r="A717">
        <v>23</v>
      </c>
      <c r="B717">
        <v>43</v>
      </c>
      <c r="C717" t="s">
        <v>9</v>
      </c>
      <c r="D717" t="s">
        <v>11</v>
      </c>
      <c r="E717">
        <v>1001</v>
      </c>
      <c r="F717" t="s">
        <v>119</v>
      </c>
      <c r="G717">
        <v>9</v>
      </c>
      <c r="H717">
        <v>5</v>
      </c>
      <c r="I717" t="s">
        <v>17</v>
      </c>
      <c r="J717">
        <v>1</v>
      </c>
      <c r="K717">
        <v>663</v>
      </c>
      <c r="L717">
        <v>4</v>
      </c>
      <c r="M717" t="s">
        <v>23</v>
      </c>
      <c r="N717">
        <v>72</v>
      </c>
      <c r="O717">
        <v>3</v>
      </c>
      <c r="P717">
        <v>2</v>
      </c>
      <c r="Q717" t="s">
        <v>36</v>
      </c>
      <c r="R717">
        <v>3</v>
      </c>
      <c r="S717" t="s">
        <v>26</v>
      </c>
      <c r="T717">
        <v>5679</v>
      </c>
      <c r="U717">
        <v>19627</v>
      </c>
      <c r="V717">
        <v>3</v>
      </c>
      <c r="W717" t="s">
        <v>29</v>
      </c>
      <c r="X717" t="s">
        <v>10</v>
      </c>
      <c r="Y717">
        <v>13</v>
      </c>
      <c r="Z717">
        <v>3</v>
      </c>
      <c r="AA717">
        <v>2</v>
      </c>
      <c r="AB717">
        <v>80</v>
      </c>
      <c r="AC717">
        <v>1</v>
      </c>
      <c r="AD717">
        <v>10</v>
      </c>
      <c r="AE717">
        <v>3</v>
      </c>
      <c r="AF717">
        <v>3</v>
      </c>
      <c r="AG717">
        <v>8</v>
      </c>
      <c r="AH717">
        <v>7</v>
      </c>
      <c r="AI717">
        <v>4</v>
      </c>
      <c r="AJ717">
        <v>7</v>
      </c>
    </row>
    <row r="718" spans="1:36" x14ac:dyDescent="0.25">
      <c r="A718">
        <v>260</v>
      </c>
      <c r="B718">
        <v>25</v>
      </c>
      <c r="C718" t="s">
        <v>9</v>
      </c>
      <c r="D718" t="s">
        <v>15</v>
      </c>
      <c r="E718">
        <v>977</v>
      </c>
      <c r="F718" t="s">
        <v>119</v>
      </c>
      <c r="G718">
        <v>2</v>
      </c>
      <c r="H718">
        <v>1</v>
      </c>
      <c r="I718" t="s">
        <v>19</v>
      </c>
      <c r="J718">
        <v>1</v>
      </c>
      <c r="K718">
        <v>1992</v>
      </c>
      <c r="L718">
        <v>4</v>
      </c>
      <c r="M718" t="s">
        <v>23</v>
      </c>
      <c r="N718">
        <v>57</v>
      </c>
      <c r="O718">
        <v>3</v>
      </c>
      <c r="P718">
        <v>1</v>
      </c>
      <c r="Q718" t="s">
        <v>36</v>
      </c>
      <c r="R718">
        <v>3</v>
      </c>
      <c r="S718" t="s">
        <v>26</v>
      </c>
      <c r="T718">
        <v>3977</v>
      </c>
      <c r="U718">
        <v>7298</v>
      </c>
      <c r="V718">
        <v>6</v>
      </c>
      <c r="W718" t="s">
        <v>29</v>
      </c>
      <c r="X718" t="s">
        <v>10</v>
      </c>
      <c r="Y718">
        <v>19</v>
      </c>
      <c r="Z718">
        <v>3</v>
      </c>
      <c r="AA718">
        <v>3</v>
      </c>
      <c r="AB718">
        <v>80</v>
      </c>
      <c r="AC718">
        <v>1</v>
      </c>
      <c r="AD718">
        <v>7</v>
      </c>
      <c r="AE718">
        <v>2</v>
      </c>
      <c r="AF718">
        <v>2</v>
      </c>
      <c r="AG718">
        <v>2</v>
      </c>
      <c r="AH718">
        <v>2</v>
      </c>
      <c r="AI718">
        <v>0</v>
      </c>
      <c r="AJ718">
        <v>2</v>
      </c>
    </row>
    <row r="719" spans="1:36" x14ac:dyDescent="0.25">
      <c r="A719">
        <v>6</v>
      </c>
      <c r="B719">
        <v>27</v>
      </c>
      <c r="C719" t="s">
        <v>9</v>
      </c>
      <c r="D719" t="s">
        <v>11</v>
      </c>
      <c r="E719">
        <v>294</v>
      </c>
      <c r="F719" t="s">
        <v>119</v>
      </c>
      <c r="G719">
        <v>10</v>
      </c>
      <c r="H719">
        <v>2</v>
      </c>
      <c r="I719" t="s">
        <v>21</v>
      </c>
      <c r="J719">
        <v>1</v>
      </c>
      <c r="K719">
        <v>733</v>
      </c>
      <c r="L719">
        <v>4</v>
      </c>
      <c r="M719" t="s">
        <v>23</v>
      </c>
      <c r="N719">
        <v>32</v>
      </c>
      <c r="O719">
        <v>3</v>
      </c>
      <c r="P719">
        <v>3</v>
      </c>
      <c r="Q719" t="s">
        <v>31</v>
      </c>
      <c r="R719">
        <v>1</v>
      </c>
      <c r="S719" t="s">
        <v>26</v>
      </c>
      <c r="T719">
        <v>8793</v>
      </c>
      <c r="U719">
        <v>4809</v>
      </c>
      <c r="V719">
        <v>1</v>
      </c>
      <c r="W719" t="s">
        <v>29</v>
      </c>
      <c r="X719" t="s">
        <v>9</v>
      </c>
      <c r="Y719">
        <v>21</v>
      </c>
      <c r="Z719">
        <v>4</v>
      </c>
      <c r="AA719">
        <v>3</v>
      </c>
      <c r="AB719">
        <v>80</v>
      </c>
      <c r="AC719">
        <v>2</v>
      </c>
      <c r="AD719">
        <v>9</v>
      </c>
      <c r="AE719">
        <v>4</v>
      </c>
      <c r="AF719">
        <v>2</v>
      </c>
      <c r="AG719">
        <v>9</v>
      </c>
      <c r="AH719">
        <v>7</v>
      </c>
      <c r="AI719">
        <v>1</v>
      </c>
      <c r="AJ719">
        <v>7</v>
      </c>
    </row>
    <row r="720" spans="1:36" x14ac:dyDescent="0.25">
      <c r="A720">
        <v>187</v>
      </c>
      <c r="B720">
        <v>25</v>
      </c>
      <c r="C720" t="s">
        <v>9</v>
      </c>
      <c r="D720" t="s">
        <v>11</v>
      </c>
      <c r="E720">
        <v>772</v>
      </c>
      <c r="F720" t="s">
        <v>119</v>
      </c>
      <c r="G720">
        <v>2</v>
      </c>
      <c r="H720">
        <v>1</v>
      </c>
      <c r="I720" t="s">
        <v>21</v>
      </c>
      <c r="J720">
        <v>1</v>
      </c>
      <c r="K720">
        <v>1653</v>
      </c>
      <c r="L720">
        <v>4</v>
      </c>
      <c r="M720" t="s">
        <v>23</v>
      </c>
      <c r="N720">
        <v>77</v>
      </c>
      <c r="O720">
        <v>4</v>
      </c>
      <c r="P720">
        <v>2</v>
      </c>
      <c r="Q720" t="s">
        <v>31</v>
      </c>
      <c r="R720">
        <v>3</v>
      </c>
      <c r="S720" t="s">
        <v>26</v>
      </c>
      <c r="T720">
        <v>5206</v>
      </c>
      <c r="U720">
        <v>4973</v>
      </c>
      <c r="V720">
        <v>1</v>
      </c>
      <c r="W720" t="s">
        <v>29</v>
      </c>
      <c r="X720" t="s">
        <v>9</v>
      </c>
      <c r="Y720">
        <v>17</v>
      </c>
      <c r="Z720">
        <v>3</v>
      </c>
      <c r="AA720">
        <v>3</v>
      </c>
      <c r="AB720">
        <v>80</v>
      </c>
      <c r="AC720">
        <v>2</v>
      </c>
      <c r="AD720">
        <v>7</v>
      </c>
      <c r="AE720">
        <v>6</v>
      </c>
      <c r="AF720">
        <v>3</v>
      </c>
      <c r="AG720">
        <v>7</v>
      </c>
      <c r="AH720">
        <v>7</v>
      </c>
      <c r="AI720">
        <v>0</v>
      </c>
      <c r="AJ720">
        <v>7</v>
      </c>
    </row>
    <row r="721" spans="1:36" x14ac:dyDescent="0.25">
      <c r="A721">
        <v>795</v>
      </c>
      <c r="B721">
        <v>49</v>
      </c>
      <c r="C721" t="s">
        <v>9</v>
      </c>
      <c r="D721" t="s">
        <v>16</v>
      </c>
      <c r="E721">
        <v>1002</v>
      </c>
      <c r="F721" t="s">
        <v>119</v>
      </c>
      <c r="G721">
        <v>18</v>
      </c>
      <c r="H721">
        <v>4</v>
      </c>
      <c r="I721" t="s">
        <v>21</v>
      </c>
      <c r="J721">
        <v>1</v>
      </c>
      <c r="K721">
        <v>275</v>
      </c>
      <c r="L721">
        <v>4</v>
      </c>
      <c r="M721" t="s">
        <v>23</v>
      </c>
      <c r="N721">
        <v>92</v>
      </c>
      <c r="O721">
        <v>3</v>
      </c>
      <c r="P721">
        <v>2</v>
      </c>
      <c r="Q721" t="s">
        <v>31</v>
      </c>
      <c r="R721">
        <v>4</v>
      </c>
      <c r="S721" t="s">
        <v>26</v>
      </c>
      <c r="T721">
        <v>6804</v>
      </c>
      <c r="U721">
        <v>23793</v>
      </c>
      <c r="V721">
        <v>1</v>
      </c>
      <c r="W721" t="s">
        <v>29</v>
      </c>
      <c r="X721" t="s">
        <v>10</v>
      </c>
      <c r="Y721">
        <v>15</v>
      </c>
      <c r="Z721">
        <v>3</v>
      </c>
      <c r="AA721">
        <v>1</v>
      </c>
      <c r="AB721">
        <v>80</v>
      </c>
      <c r="AC721">
        <v>2</v>
      </c>
      <c r="AD721">
        <v>7</v>
      </c>
      <c r="AE721">
        <v>0</v>
      </c>
      <c r="AF721">
        <v>3</v>
      </c>
      <c r="AG721">
        <v>7</v>
      </c>
      <c r="AH721">
        <v>7</v>
      </c>
      <c r="AI721">
        <v>1</v>
      </c>
      <c r="AJ721">
        <v>7</v>
      </c>
    </row>
    <row r="722" spans="1:36" x14ac:dyDescent="0.25">
      <c r="A722">
        <v>143</v>
      </c>
      <c r="B722">
        <v>46</v>
      </c>
      <c r="C722" t="s">
        <v>9</v>
      </c>
      <c r="D722" t="s">
        <v>15</v>
      </c>
      <c r="E722">
        <v>566</v>
      </c>
      <c r="F722" t="s">
        <v>119</v>
      </c>
      <c r="G722">
        <v>7</v>
      </c>
      <c r="H722">
        <v>2</v>
      </c>
      <c r="I722" t="s">
        <v>17</v>
      </c>
      <c r="J722">
        <v>1</v>
      </c>
      <c r="K722">
        <v>1007</v>
      </c>
      <c r="L722">
        <v>4</v>
      </c>
      <c r="M722" t="s">
        <v>23</v>
      </c>
      <c r="N722">
        <v>75</v>
      </c>
      <c r="O722">
        <v>3</v>
      </c>
      <c r="P722">
        <v>3</v>
      </c>
      <c r="Q722" t="s">
        <v>31</v>
      </c>
      <c r="R722">
        <v>3</v>
      </c>
      <c r="S722" t="s">
        <v>26</v>
      </c>
      <c r="T722">
        <v>10845</v>
      </c>
      <c r="U722">
        <v>24208</v>
      </c>
      <c r="V722">
        <v>6</v>
      </c>
      <c r="W722" t="s">
        <v>29</v>
      </c>
      <c r="X722" t="s">
        <v>9</v>
      </c>
      <c r="Y722">
        <v>13</v>
      </c>
      <c r="Z722">
        <v>3</v>
      </c>
      <c r="AA722">
        <v>2</v>
      </c>
      <c r="AB722">
        <v>80</v>
      </c>
      <c r="AC722">
        <v>1</v>
      </c>
      <c r="AD722">
        <v>13</v>
      </c>
      <c r="AE722">
        <v>3</v>
      </c>
      <c r="AF722">
        <v>3</v>
      </c>
      <c r="AG722">
        <v>8</v>
      </c>
      <c r="AH722">
        <v>7</v>
      </c>
      <c r="AI722">
        <v>0</v>
      </c>
      <c r="AJ722">
        <v>7</v>
      </c>
    </row>
    <row r="723" spans="1:36" x14ac:dyDescent="0.25">
      <c r="A723">
        <v>516</v>
      </c>
      <c r="B723">
        <v>51</v>
      </c>
      <c r="C723" t="s">
        <v>9</v>
      </c>
      <c r="D723" t="s">
        <v>15</v>
      </c>
      <c r="E723">
        <v>1302</v>
      </c>
      <c r="F723" t="s">
        <v>119</v>
      </c>
      <c r="G723">
        <v>2</v>
      </c>
      <c r="H723">
        <v>3</v>
      </c>
      <c r="I723" t="s">
        <v>17</v>
      </c>
      <c r="J723">
        <v>1</v>
      </c>
      <c r="K723">
        <v>408</v>
      </c>
      <c r="L723">
        <v>4</v>
      </c>
      <c r="M723" t="s">
        <v>23</v>
      </c>
      <c r="N723">
        <v>84</v>
      </c>
      <c r="O723">
        <v>1</v>
      </c>
      <c r="P723">
        <v>2</v>
      </c>
      <c r="Q723" t="s">
        <v>31</v>
      </c>
      <c r="R723">
        <v>2</v>
      </c>
      <c r="S723" t="s">
        <v>26</v>
      </c>
      <c r="T723">
        <v>5482</v>
      </c>
      <c r="U723">
        <v>16321</v>
      </c>
      <c r="V723">
        <v>5</v>
      </c>
      <c r="W723" t="s">
        <v>29</v>
      </c>
      <c r="X723" t="s">
        <v>9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13</v>
      </c>
      <c r="AE723">
        <v>3</v>
      </c>
      <c r="AF723">
        <v>3</v>
      </c>
      <c r="AG723">
        <v>4</v>
      </c>
      <c r="AH723">
        <v>1</v>
      </c>
      <c r="AI723">
        <v>1</v>
      </c>
      <c r="AJ723">
        <v>2</v>
      </c>
    </row>
    <row r="724" spans="1:36" x14ac:dyDescent="0.25">
      <c r="A724">
        <v>388</v>
      </c>
      <c r="B724">
        <v>29</v>
      </c>
      <c r="C724" t="s">
        <v>9</v>
      </c>
      <c r="D724" t="s">
        <v>15</v>
      </c>
      <c r="E724">
        <v>232</v>
      </c>
      <c r="F724" t="s">
        <v>119</v>
      </c>
      <c r="G724">
        <v>19</v>
      </c>
      <c r="H724">
        <v>3</v>
      </c>
      <c r="I724" t="s">
        <v>22</v>
      </c>
      <c r="J724">
        <v>1</v>
      </c>
      <c r="K724">
        <v>611</v>
      </c>
      <c r="L724">
        <v>4</v>
      </c>
      <c r="M724" t="s">
        <v>23</v>
      </c>
      <c r="N724">
        <v>34</v>
      </c>
      <c r="O724">
        <v>3</v>
      </c>
      <c r="P724">
        <v>2</v>
      </c>
      <c r="Q724" t="s">
        <v>31</v>
      </c>
      <c r="R724">
        <v>4</v>
      </c>
      <c r="S724" t="s">
        <v>26</v>
      </c>
      <c r="T724">
        <v>4262</v>
      </c>
      <c r="U724">
        <v>22645</v>
      </c>
      <c r="V724">
        <v>4</v>
      </c>
      <c r="W724" t="s">
        <v>29</v>
      </c>
      <c r="X724" t="s">
        <v>9</v>
      </c>
      <c r="Y724">
        <v>12</v>
      </c>
      <c r="Z724">
        <v>3</v>
      </c>
      <c r="AA724">
        <v>2</v>
      </c>
      <c r="AB724">
        <v>80</v>
      </c>
      <c r="AC724">
        <v>2</v>
      </c>
      <c r="AD724">
        <v>8</v>
      </c>
      <c r="AE724">
        <v>2</v>
      </c>
      <c r="AF724">
        <v>4</v>
      </c>
      <c r="AG724">
        <v>3</v>
      </c>
      <c r="AH724">
        <v>2</v>
      </c>
      <c r="AI724">
        <v>1</v>
      </c>
      <c r="AJ724">
        <v>2</v>
      </c>
    </row>
    <row r="725" spans="1:36" x14ac:dyDescent="0.25">
      <c r="A725">
        <v>769</v>
      </c>
      <c r="B725">
        <v>46</v>
      </c>
      <c r="C725" t="s">
        <v>9</v>
      </c>
      <c r="D725" t="s">
        <v>15</v>
      </c>
      <c r="E725">
        <v>150</v>
      </c>
      <c r="F725" t="s">
        <v>119</v>
      </c>
      <c r="G725">
        <v>2</v>
      </c>
      <c r="H725">
        <v>4</v>
      </c>
      <c r="I725" t="s">
        <v>22</v>
      </c>
      <c r="J725">
        <v>1</v>
      </c>
      <c r="K725">
        <v>1228</v>
      </c>
      <c r="L725">
        <v>4</v>
      </c>
      <c r="M725" t="s">
        <v>23</v>
      </c>
      <c r="N725">
        <v>60</v>
      </c>
      <c r="O725">
        <v>3</v>
      </c>
      <c r="P725">
        <v>2</v>
      </c>
      <c r="Q725" t="s">
        <v>31</v>
      </c>
      <c r="R725">
        <v>4</v>
      </c>
      <c r="S725" t="s">
        <v>26</v>
      </c>
      <c r="T725">
        <v>7379</v>
      </c>
      <c r="U725">
        <v>17433</v>
      </c>
      <c r="V725">
        <v>2</v>
      </c>
      <c r="W725" t="s">
        <v>29</v>
      </c>
      <c r="X725" t="s">
        <v>9</v>
      </c>
      <c r="Y725">
        <v>11</v>
      </c>
      <c r="Z725">
        <v>3</v>
      </c>
      <c r="AA725">
        <v>3</v>
      </c>
      <c r="AB725">
        <v>80</v>
      </c>
      <c r="AC725">
        <v>1</v>
      </c>
      <c r="AD725">
        <v>12</v>
      </c>
      <c r="AE725">
        <v>3</v>
      </c>
      <c r="AF725">
        <v>2</v>
      </c>
      <c r="AG725">
        <v>6</v>
      </c>
      <c r="AH725">
        <v>3</v>
      </c>
      <c r="AI725">
        <v>1</v>
      </c>
      <c r="AJ725">
        <v>4</v>
      </c>
    </row>
    <row r="726" spans="1:36" x14ac:dyDescent="0.25">
      <c r="A726">
        <v>524</v>
      </c>
      <c r="B726">
        <v>49</v>
      </c>
      <c r="C726" t="s">
        <v>9</v>
      </c>
      <c r="D726" t="s">
        <v>15</v>
      </c>
      <c r="E726">
        <v>1245</v>
      </c>
      <c r="F726" t="s">
        <v>119</v>
      </c>
      <c r="G726">
        <v>18</v>
      </c>
      <c r="H726">
        <v>4</v>
      </c>
      <c r="I726" t="s">
        <v>21</v>
      </c>
      <c r="J726">
        <v>1</v>
      </c>
      <c r="K726">
        <v>638</v>
      </c>
      <c r="L726">
        <v>4</v>
      </c>
      <c r="M726" t="s">
        <v>23</v>
      </c>
      <c r="N726">
        <v>58</v>
      </c>
      <c r="O726">
        <v>2</v>
      </c>
      <c r="P726">
        <v>5</v>
      </c>
      <c r="Q726" t="s">
        <v>30</v>
      </c>
      <c r="R726">
        <v>3</v>
      </c>
      <c r="S726" t="s">
        <v>26</v>
      </c>
      <c r="T726">
        <v>19502</v>
      </c>
      <c r="U726">
        <v>2125</v>
      </c>
      <c r="V726">
        <v>1</v>
      </c>
      <c r="W726" t="s">
        <v>29</v>
      </c>
      <c r="X726" t="s">
        <v>10</v>
      </c>
      <c r="Y726">
        <v>17</v>
      </c>
      <c r="Z726">
        <v>3</v>
      </c>
      <c r="AA726">
        <v>3</v>
      </c>
      <c r="AB726">
        <v>80</v>
      </c>
      <c r="AC726">
        <v>1</v>
      </c>
      <c r="AD726">
        <v>31</v>
      </c>
      <c r="AE726">
        <v>5</v>
      </c>
      <c r="AF726">
        <v>3</v>
      </c>
      <c r="AG726">
        <v>31</v>
      </c>
      <c r="AH726">
        <v>9</v>
      </c>
      <c r="AI726">
        <v>0</v>
      </c>
      <c r="AJ726">
        <v>9</v>
      </c>
    </row>
    <row r="727" spans="1:36" x14ac:dyDescent="0.25">
      <c r="A727">
        <v>255</v>
      </c>
      <c r="B727">
        <v>40</v>
      </c>
      <c r="C727" t="s">
        <v>9</v>
      </c>
      <c r="D727" t="s">
        <v>16</v>
      </c>
      <c r="E727">
        <v>218</v>
      </c>
      <c r="F727" t="s">
        <v>119</v>
      </c>
      <c r="G727">
        <v>8</v>
      </c>
      <c r="H727">
        <v>1</v>
      </c>
      <c r="I727" t="s">
        <v>17</v>
      </c>
      <c r="J727">
        <v>1</v>
      </c>
      <c r="K727">
        <v>1468</v>
      </c>
      <c r="L727">
        <v>4</v>
      </c>
      <c r="M727" t="s">
        <v>23</v>
      </c>
      <c r="N727">
        <v>55</v>
      </c>
      <c r="O727">
        <v>2</v>
      </c>
      <c r="P727">
        <v>3</v>
      </c>
      <c r="Q727" t="s">
        <v>30</v>
      </c>
      <c r="R727">
        <v>2</v>
      </c>
      <c r="S727" t="s">
        <v>26</v>
      </c>
      <c r="T727">
        <v>13757</v>
      </c>
      <c r="U727">
        <v>25178</v>
      </c>
      <c r="V727">
        <v>2</v>
      </c>
      <c r="W727" t="s">
        <v>29</v>
      </c>
      <c r="X727" t="s">
        <v>9</v>
      </c>
      <c r="Y727">
        <v>11</v>
      </c>
      <c r="Z727">
        <v>3</v>
      </c>
      <c r="AA727">
        <v>3</v>
      </c>
      <c r="AB727">
        <v>80</v>
      </c>
      <c r="AC727">
        <v>1</v>
      </c>
      <c r="AD727">
        <v>16</v>
      </c>
      <c r="AE727">
        <v>5</v>
      </c>
      <c r="AF727">
        <v>3</v>
      </c>
      <c r="AG727">
        <v>9</v>
      </c>
      <c r="AH727">
        <v>8</v>
      </c>
      <c r="AI727">
        <v>4</v>
      </c>
      <c r="AJ727">
        <v>8</v>
      </c>
    </row>
    <row r="728" spans="1:36" x14ac:dyDescent="0.25">
      <c r="A728">
        <v>826</v>
      </c>
      <c r="B728">
        <v>46</v>
      </c>
      <c r="C728" t="s">
        <v>9</v>
      </c>
      <c r="D728" t="s">
        <v>15</v>
      </c>
      <c r="E728">
        <v>430</v>
      </c>
      <c r="F728" t="s">
        <v>119</v>
      </c>
      <c r="G728">
        <v>1</v>
      </c>
      <c r="H728">
        <v>4</v>
      </c>
      <c r="I728" t="s">
        <v>17</v>
      </c>
      <c r="J728">
        <v>1</v>
      </c>
      <c r="K728">
        <v>1069</v>
      </c>
      <c r="L728">
        <v>4</v>
      </c>
      <c r="M728" t="s">
        <v>23</v>
      </c>
      <c r="N728">
        <v>40</v>
      </c>
      <c r="O728">
        <v>3</v>
      </c>
      <c r="P728">
        <v>5</v>
      </c>
      <c r="Q728" t="s">
        <v>30</v>
      </c>
      <c r="R728">
        <v>4</v>
      </c>
      <c r="S728" t="s">
        <v>26</v>
      </c>
      <c r="T728">
        <v>19627</v>
      </c>
      <c r="U728">
        <v>21445</v>
      </c>
      <c r="V728">
        <v>9</v>
      </c>
      <c r="W728" t="s">
        <v>29</v>
      </c>
      <c r="X728" t="s">
        <v>9</v>
      </c>
      <c r="Y728">
        <v>17</v>
      </c>
      <c r="Z728">
        <v>3</v>
      </c>
      <c r="AA728">
        <v>4</v>
      </c>
      <c r="AB728">
        <v>80</v>
      </c>
      <c r="AC728">
        <v>2</v>
      </c>
      <c r="AD728">
        <v>23</v>
      </c>
      <c r="AE728">
        <v>0</v>
      </c>
      <c r="AF728">
        <v>3</v>
      </c>
      <c r="AG728">
        <v>2</v>
      </c>
      <c r="AH728">
        <v>2</v>
      </c>
      <c r="AI728">
        <v>2</v>
      </c>
      <c r="AJ728">
        <v>2</v>
      </c>
    </row>
    <row r="729" spans="1:36" x14ac:dyDescent="0.25">
      <c r="A729">
        <v>228</v>
      </c>
      <c r="B729">
        <v>22</v>
      </c>
      <c r="C729" t="s">
        <v>9</v>
      </c>
      <c r="D729" t="s">
        <v>15</v>
      </c>
      <c r="E729">
        <v>1136</v>
      </c>
      <c r="F729" t="s">
        <v>119</v>
      </c>
      <c r="G729">
        <v>5</v>
      </c>
      <c r="H729">
        <v>3</v>
      </c>
      <c r="I729" t="s">
        <v>21</v>
      </c>
      <c r="J729">
        <v>1</v>
      </c>
      <c r="K729">
        <v>284</v>
      </c>
      <c r="L729">
        <v>4</v>
      </c>
      <c r="M729" t="s">
        <v>23</v>
      </c>
      <c r="N729">
        <v>60</v>
      </c>
      <c r="O729">
        <v>4</v>
      </c>
      <c r="P729">
        <v>1</v>
      </c>
      <c r="Q729" t="s">
        <v>32</v>
      </c>
      <c r="R729">
        <v>2</v>
      </c>
      <c r="S729" t="s">
        <v>26</v>
      </c>
      <c r="T729">
        <v>2328</v>
      </c>
      <c r="U729">
        <v>12392</v>
      </c>
      <c r="V729">
        <v>1</v>
      </c>
      <c r="W729" t="s">
        <v>29</v>
      </c>
      <c r="X729" t="s">
        <v>10</v>
      </c>
      <c r="Y729">
        <v>16</v>
      </c>
      <c r="Z729">
        <v>3</v>
      </c>
      <c r="AA729">
        <v>1</v>
      </c>
      <c r="AB729">
        <v>80</v>
      </c>
      <c r="AC729">
        <v>1</v>
      </c>
      <c r="AD729">
        <v>4</v>
      </c>
      <c r="AE729">
        <v>2</v>
      </c>
      <c r="AF729">
        <v>2</v>
      </c>
      <c r="AG729">
        <v>4</v>
      </c>
      <c r="AH729">
        <v>2</v>
      </c>
      <c r="AI729">
        <v>2</v>
      </c>
      <c r="AJ729">
        <v>2</v>
      </c>
    </row>
    <row r="730" spans="1:36" x14ac:dyDescent="0.25">
      <c r="A730">
        <v>328</v>
      </c>
      <c r="B730">
        <v>42</v>
      </c>
      <c r="C730" t="s">
        <v>9</v>
      </c>
      <c r="D730" t="s">
        <v>15</v>
      </c>
      <c r="E730">
        <v>557</v>
      </c>
      <c r="F730" t="s">
        <v>119</v>
      </c>
      <c r="G730">
        <v>18</v>
      </c>
      <c r="H730">
        <v>4</v>
      </c>
      <c r="I730" t="s">
        <v>21</v>
      </c>
      <c r="J730">
        <v>1</v>
      </c>
      <c r="K730">
        <v>1998</v>
      </c>
      <c r="L730">
        <v>4</v>
      </c>
      <c r="M730" t="s">
        <v>23</v>
      </c>
      <c r="N730">
        <v>35</v>
      </c>
      <c r="O730">
        <v>3</v>
      </c>
      <c r="P730">
        <v>2</v>
      </c>
      <c r="Q730" t="s">
        <v>32</v>
      </c>
      <c r="R730">
        <v>1</v>
      </c>
      <c r="S730" t="s">
        <v>26</v>
      </c>
      <c r="T730">
        <v>5410</v>
      </c>
      <c r="U730">
        <v>11189</v>
      </c>
      <c r="V730">
        <v>6</v>
      </c>
      <c r="W730" t="s">
        <v>29</v>
      </c>
      <c r="X730" t="s">
        <v>10</v>
      </c>
      <c r="Y730">
        <v>17</v>
      </c>
      <c r="Z730">
        <v>3</v>
      </c>
      <c r="AA730">
        <v>3</v>
      </c>
      <c r="AB730">
        <v>80</v>
      </c>
      <c r="AC730">
        <v>1</v>
      </c>
      <c r="AD730">
        <v>9</v>
      </c>
      <c r="AE730">
        <v>3</v>
      </c>
      <c r="AF730">
        <v>2</v>
      </c>
      <c r="AG730">
        <v>4</v>
      </c>
      <c r="AH730">
        <v>3</v>
      </c>
      <c r="AI730">
        <v>1</v>
      </c>
      <c r="AJ730">
        <v>2</v>
      </c>
    </row>
    <row r="731" spans="1:36" x14ac:dyDescent="0.25">
      <c r="A731">
        <v>662</v>
      </c>
      <c r="B731">
        <v>34</v>
      </c>
      <c r="C731" t="s">
        <v>9</v>
      </c>
      <c r="D731" t="s">
        <v>15</v>
      </c>
      <c r="E731">
        <v>1303</v>
      </c>
      <c r="F731" t="s">
        <v>119</v>
      </c>
      <c r="G731">
        <v>2</v>
      </c>
      <c r="H731">
        <v>4</v>
      </c>
      <c r="I731" t="s">
        <v>21</v>
      </c>
      <c r="J731">
        <v>1</v>
      </c>
      <c r="K731">
        <v>579</v>
      </c>
      <c r="L731">
        <v>4</v>
      </c>
      <c r="M731" t="s">
        <v>23</v>
      </c>
      <c r="N731">
        <v>62</v>
      </c>
      <c r="O731">
        <v>2</v>
      </c>
      <c r="P731">
        <v>1</v>
      </c>
      <c r="Q731" t="s">
        <v>32</v>
      </c>
      <c r="R731">
        <v>3</v>
      </c>
      <c r="S731" t="s">
        <v>26</v>
      </c>
      <c r="T731">
        <v>2768</v>
      </c>
      <c r="U731">
        <v>8416</v>
      </c>
      <c r="V731">
        <v>3</v>
      </c>
      <c r="W731" t="s">
        <v>29</v>
      </c>
      <c r="X731" t="s">
        <v>9</v>
      </c>
      <c r="Y731">
        <v>12</v>
      </c>
      <c r="Z731">
        <v>3</v>
      </c>
      <c r="AA731">
        <v>3</v>
      </c>
      <c r="AB731">
        <v>80</v>
      </c>
      <c r="AC731">
        <v>1</v>
      </c>
      <c r="AD731">
        <v>14</v>
      </c>
      <c r="AE731">
        <v>3</v>
      </c>
      <c r="AF731">
        <v>3</v>
      </c>
      <c r="AG731">
        <v>7</v>
      </c>
      <c r="AH731">
        <v>3</v>
      </c>
      <c r="AI731">
        <v>5</v>
      </c>
      <c r="AJ731">
        <v>7</v>
      </c>
    </row>
    <row r="732" spans="1:36" x14ac:dyDescent="0.25">
      <c r="A732">
        <v>50</v>
      </c>
      <c r="B732">
        <v>27</v>
      </c>
      <c r="C732" t="s">
        <v>9</v>
      </c>
      <c r="D732" t="s">
        <v>16</v>
      </c>
      <c r="E732">
        <v>691</v>
      </c>
      <c r="F732" t="s">
        <v>119</v>
      </c>
      <c r="G732">
        <v>9</v>
      </c>
      <c r="H732">
        <v>3</v>
      </c>
      <c r="I732" t="s">
        <v>17</v>
      </c>
      <c r="J732">
        <v>1</v>
      </c>
      <c r="K732">
        <v>218</v>
      </c>
      <c r="L732">
        <v>4</v>
      </c>
      <c r="M732" t="s">
        <v>23</v>
      </c>
      <c r="N732">
        <v>57</v>
      </c>
      <c r="O732">
        <v>3</v>
      </c>
      <c r="P732">
        <v>1</v>
      </c>
      <c r="Q732" t="s">
        <v>32</v>
      </c>
      <c r="R732">
        <v>2</v>
      </c>
      <c r="S732" t="s">
        <v>26</v>
      </c>
      <c r="T732">
        <v>2024</v>
      </c>
      <c r="U732">
        <v>5970</v>
      </c>
      <c r="V732">
        <v>6</v>
      </c>
      <c r="W732" t="s">
        <v>29</v>
      </c>
      <c r="X732" t="s">
        <v>9</v>
      </c>
      <c r="Y732">
        <v>18</v>
      </c>
      <c r="Z732">
        <v>3</v>
      </c>
      <c r="AA732">
        <v>4</v>
      </c>
      <c r="AB732">
        <v>80</v>
      </c>
      <c r="AC732">
        <v>1</v>
      </c>
      <c r="AD732">
        <v>6</v>
      </c>
      <c r="AE732">
        <v>1</v>
      </c>
      <c r="AF732">
        <v>1</v>
      </c>
      <c r="AG732">
        <v>2</v>
      </c>
      <c r="AH732">
        <v>2</v>
      </c>
      <c r="AI732">
        <v>2</v>
      </c>
      <c r="AJ732">
        <v>2</v>
      </c>
    </row>
    <row r="733" spans="1:36" x14ac:dyDescent="0.25">
      <c r="A733">
        <v>536</v>
      </c>
      <c r="B733">
        <v>43</v>
      </c>
      <c r="C733" t="s">
        <v>9</v>
      </c>
      <c r="D733" t="s">
        <v>16</v>
      </c>
      <c r="E733">
        <v>1344</v>
      </c>
      <c r="F733" t="s">
        <v>119</v>
      </c>
      <c r="G733">
        <v>7</v>
      </c>
      <c r="H733">
        <v>3</v>
      </c>
      <c r="I733" t="s">
        <v>17</v>
      </c>
      <c r="J733">
        <v>1</v>
      </c>
      <c r="K733">
        <v>262</v>
      </c>
      <c r="L733">
        <v>4</v>
      </c>
      <c r="M733" t="s">
        <v>23</v>
      </c>
      <c r="N733">
        <v>37</v>
      </c>
      <c r="O733">
        <v>4</v>
      </c>
      <c r="P733">
        <v>1</v>
      </c>
      <c r="Q733" t="s">
        <v>32</v>
      </c>
      <c r="R733">
        <v>4</v>
      </c>
      <c r="S733" t="s">
        <v>26</v>
      </c>
      <c r="T733">
        <v>2089</v>
      </c>
      <c r="U733">
        <v>5228</v>
      </c>
      <c r="V733">
        <v>4</v>
      </c>
      <c r="W733" t="s">
        <v>29</v>
      </c>
      <c r="X733" t="s">
        <v>9</v>
      </c>
      <c r="Y733">
        <v>14</v>
      </c>
      <c r="Z733">
        <v>3</v>
      </c>
      <c r="AA733">
        <v>4</v>
      </c>
      <c r="AB733">
        <v>80</v>
      </c>
      <c r="AC733">
        <v>3</v>
      </c>
      <c r="AD733">
        <v>7</v>
      </c>
      <c r="AE733">
        <v>3</v>
      </c>
      <c r="AF733">
        <v>4</v>
      </c>
      <c r="AG733">
        <v>5</v>
      </c>
      <c r="AH733">
        <v>4</v>
      </c>
      <c r="AI733">
        <v>2</v>
      </c>
      <c r="AJ733">
        <v>2</v>
      </c>
    </row>
    <row r="734" spans="1:36" x14ac:dyDescent="0.25">
      <c r="A734">
        <v>728</v>
      </c>
      <c r="B734">
        <v>34</v>
      </c>
      <c r="C734" t="s">
        <v>9</v>
      </c>
      <c r="D734" t="s">
        <v>11</v>
      </c>
      <c r="E734">
        <v>878</v>
      </c>
      <c r="F734" t="s">
        <v>119</v>
      </c>
      <c r="G734">
        <v>10</v>
      </c>
      <c r="H734">
        <v>4</v>
      </c>
      <c r="I734" t="s">
        <v>17</v>
      </c>
      <c r="J734">
        <v>1</v>
      </c>
      <c r="K734">
        <v>277</v>
      </c>
      <c r="L734">
        <v>4</v>
      </c>
      <c r="M734" t="s">
        <v>23</v>
      </c>
      <c r="N734">
        <v>43</v>
      </c>
      <c r="O734">
        <v>3</v>
      </c>
      <c r="P734">
        <v>1</v>
      </c>
      <c r="Q734" t="s">
        <v>32</v>
      </c>
      <c r="R734">
        <v>3</v>
      </c>
      <c r="S734" t="s">
        <v>26</v>
      </c>
      <c r="T734">
        <v>3815</v>
      </c>
      <c r="U734">
        <v>5972</v>
      </c>
      <c r="V734">
        <v>1</v>
      </c>
      <c r="W734" t="s">
        <v>29</v>
      </c>
      <c r="X734" t="s">
        <v>10</v>
      </c>
      <c r="Y734">
        <v>17</v>
      </c>
      <c r="Z734">
        <v>3</v>
      </c>
      <c r="AA734">
        <v>4</v>
      </c>
      <c r="AB734">
        <v>80</v>
      </c>
      <c r="AC734">
        <v>1</v>
      </c>
      <c r="AD734">
        <v>5</v>
      </c>
      <c r="AE734">
        <v>4</v>
      </c>
      <c r="AF734">
        <v>4</v>
      </c>
      <c r="AG734">
        <v>5</v>
      </c>
      <c r="AH734">
        <v>3</v>
      </c>
      <c r="AI734">
        <v>2</v>
      </c>
      <c r="AJ734">
        <v>0</v>
      </c>
    </row>
    <row r="735" spans="1:36" x14ac:dyDescent="0.25">
      <c r="A735">
        <v>723</v>
      </c>
      <c r="B735">
        <v>34</v>
      </c>
      <c r="C735" t="s">
        <v>9</v>
      </c>
      <c r="D735" t="s">
        <v>11</v>
      </c>
      <c r="E735">
        <v>560</v>
      </c>
      <c r="F735" t="s">
        <v>119</v>
      </c>
      <c r="G735">
        <v>1</v>
      </c>
      <c r="H735">
        <v>4</v>
      </c>
      <c r="I735" t="s">
        <v>19</v>
      </c>
      <c r="J735">
        <v>1</v>
      </c>
      <c r="K735">
        <v>1431</v>
      </c>
      <c r="L735">
        <v>4</v>
      </c>
      <c r="M735" t="s">
        <v>23</v>
      </c>
      <c r="N735">
        <v>91</v>
      </c>
      <c r="O735">
        <v>3</v>
      </c>
      <c r="P735">
        <v>1</v>
      </c>
      <c r="Q735" t="s">
        <v>32</v>
      </c>
      <c r="R735">
        <v>1</v>
      </c>
      <c r="S735" t="s">
        <v>26</v>
      </c>
      <c r="T735">
        <v>2996</v>
      </c>
      <c r="U735">
        <v>20284</v>
      </c>
      <c r="V735">
        <v>5</v>
      </c>
      <c r="W735" t="s">
        <v>29</v>
      </c>
      <c r="X735" t="s">
        <v>9</v>
      </c>
      <c r="Y735">
        <v>14</v>
      </c>
      <c r="Z735">
        <v>3</v>
      </c>
      <c r="AA735">
        <v>3</v>
      </c>
      <c r="AB735">
        <v>80</v>
      </c>
      <c r="AC735">
        <v>2</v>
      </c>
      <c r="AD735">
        <v>10</v>
      </c>
      <c r="AE735">
        <v>2</v>
      </c>
      <c r="AF735">
        <v>3</v>
      </c>
      <c r="AG735">
        <v>4</v>
      </c>
      <c r="AH735">
        <v>3</v>
      </c>
      <c r="AI735">
        <v>1</v>
      </c>
      <c r="AJ735">
        <v>3</v>
      </c>
    </row>
    <row r="736" spans="1:36" x14ac:dyDescent="0.25">
      <c r="A736">
        <v>169</v>
      </c>
      <c r="B736">
        <v>52</v>
      </c>
      <c r="C736" t="s">
        <v>9</v>
      </c>
      <c r="D736" t="s">
        <v>15</v>
      </c>
      <c r="E736">
        <v>956</v>
      </c>
      <c r="F736" t="s">
        <v>119</v>
      </c>
      <c r="G736">
        <v>6</v>
      </c>
      <c r="H736">
        <v>2</v>
      </c>
      <c r="I736" t="s">
        <v>22</v>
      </c>
      <c r="J736">
        <v>1</v>
      </c>
      <c r="K736">
        <v>630</v>
      </c>
      <c r="L736">
        <v>4</v>
      </c>
      <c r="M736" t="s">
        <v>23</v>
      </c>
      <c r="N736">
        <v>78</v>
      </c>
      <c r="O736">
        <v>3</v>
      </c>
      <c r="P736">
        <v>2</v>
      </c>
      <c r="Q736" t="s">
        <v>32</v>
      </c>
      <c r="R736">
        <v>1</v>
      </c>
      <c r="S736" t="s">
        <v>26</v>
      </c>
      <c r="T736">
        <v>5577</v>
      </c>
      <c r="U736">
        <v>22087</v>
      </c>
      <c r="V736">
        <v>3</v>
      </c>
      <c r="W736" t="s">
        <v>29</v>
      </c>
      <c r="X736" t="s">
        <v>10</v>
      </c>
      <c r="Y736">
        <v>12</v>
      </c>
      <c r="Z736">
        <v>3</v>
      </c>
      <c r="AA736">
        <v>2</v>
      </c>
      <c r="AB736">
        <v>80</v>
      </c>
      <c r="AC736">
        <v>2</v>
      </c>
      <c r="AD736">
        <v>18</v>
      </c>
      <c r="AE736">
        <v>3</v>
      </c>
      <c r="AF736">
        <v>3</v>
      </c>
      <c r="AG736">
        <v>10</v>
      </c>
      <c r="AH736">
        <v>9</v>
      </c>
      <c r="AI736">
        <v>6</v>
      </c>
      <c r="AJ736">
        <v>9</v>
      </c>
    </row>
    <row r="737" spans="1:36" x14ac:dyDescent="0.25">
      <c r="A737">
        <v>123</v>
      </c>
      <c r="B737">
        <v>45</v>
      </c>
      <c r="C737" t="s">
        <v>9</v>
      </c>
      <c r="D737" t="s">
        <v>15</v>
      </c>
      <c r="E737">
        <v>930</v>
      </c>
      <c r="F737" t="s">
        <v>118</v>
      </c>
      <c r="G737">
        <v>9</v>
      </c>
      <c r="H737">
        <v>3</v>
      </c>
      <c r="I737" t="s">
        <v>18</v>
      </c>
      <c r="J737">
        <v>1</v>
      </c>
      <c r="K737">
        <v>864</v>
      </c>
      <c r="L737">
        <v>4</v>
      </c>
      <c r="M737" t="s">
        <v>23</v>
      </c>
      <c r="N737">
        <v>74</v>
      </c>
      <c r="O737">
        <v>3</v>
      </c>
      <c r="P737">
        <v>3</v>
      </c>
      <c r="Q737" t="s">
        <v>25</v>
      </c>
      <c r="R737">
        <v>1</v>
      </c>
      <c r="S737" t="s">
        <v>26</v>
      </c>
      <c r="T737">
        <v>10761</v>
      </c>
      <c r="U737">
        <v>19239</v>
      </c>
      <c r="V737">
        <v>4</v>
      </c>
      <c r="W737" t="s">
        <v>29</v>
      </c>
      <c r="X737" t="s">
        <v>10</v>
      </c>
      <c r="Y737">
        <v>12</v>
      </c>
      <c r="Z737">
        <v>3</v>
      </c>
      <c r="AA737">
        <v>3</v>
      </c>
      <c r="AB737">
        <v>80</v>
      </c>
      <c r="AC737">
        <v>1</v>
      </c>
      <c r="AD737">
        <v>18</v>
      </c>
      <c r="AE737">
        <v>2</v>
      </c>
      <c r="AF737">
        <v>3</v>
      </c>
      <c r="AG737">
        <v>5</v>
      </c>
      <c r="AH737">
        <v>4</v>
      </c>
      <c r="AI737">
        <v>0</v>
      </c>
      <c r="AJ737">
        <v>2</v>
      </c>
    </row>
    <row r="738" spans="1:36" x14ac:dyDescent="0.25">
      <c r="A738">
        <v>174</v>
      </c>
      <c r="B738">
        <v>33</v>
      </c>
      <c r="C738" t="s">
        <v>9</v>
      </c>
      <c r="D738" t="s">
        <v>15</v>
      </c>
      <c r="E738">
        <v>536</v>
      </c>
      <c r="F738" t="s">
        <v>118</v>
      </c>
      <c r="G738">
        <v>10</v>
      </c>
      <c r="H738">
        <v>5</v>
      </c>
      <c r="I738" t="s">
        <v>18</v>
      </c>
      <c r="J738">
        <v>1</v>
      </c>
      <c r="K738">
        <v>1268</v>
      </c>
      <c r="L738">
        <v>4</v>
      </c>
      <c r="M738" t="s">
        <v>23</v>
      </c>
      <c r="N738">
        <v>82</v>
      </c>
      <c r="O738">
        <v>4</v>
      </c>
      <c r="P738">
        <v>3</v>
      </c>
      <c r="Q738" t="s">
        <v>25</v>
      </c>
      <c r="R738">
        <v>3</v>
      </c>
      <c r="S738" t="s">
        <v>26</v>
      </c>
      <c r="T738">
        <v>8380</v>
      </c>
      <c r="U738">
        <v>21708</v>
      </c>
      <c r="V738">
        <v>0</v>
      </c>
      <c r="W738" t="s">
        <v>29</v>
      </c>
      <c r="X738" t="s">
        <v>10</v>
      </c>
      <c r="Y738">
        <v>14</v>
      </c>
      <c r="Z738">
        <v>3</v>
      </c>
      <c r="AA738">
        <v>4</v>
      </c>
      <c r="AB738">
        <v>80</v>
      </c>
      <c r="AC738">
        <v>2</v>
      </c>
      <c r="AD738">
        <v>10</v>
      </c>
      <c r="AE738">
        <v>3</v>
      </c>
      <c r="AF738">
        <v>3</v>
      </c>
      <c r="AG738">
        <v>9</v>
      </c>
      <c r="AH738">
        <v>8</v>
      </c>
      <c r="AI738">
        <v>0</v>
      </c>
      <c r="AJ738">
        <v>8</v>
      </c>
    </row>
    <row r="739" spans="1:36" x14ac:dyDescent="0.25">
      <c r="A739">
        <v>284</v>
      </c>
      <c r="B739">
        <v>31</v>
      </c>
      <c r="C739" t="s">
        <v>9</v>
      </c>
      <c r="D739" t="s">
        <v>15</v>
      </c>
      <c r="E739">
        <v>691</v>
      </c>
      <c r="F739" t="s">
        <v>118</v>
      </c>
      <c r="G739">
        <v>7</v>
      </c>
      <c r="H739">
        <v>3</v>
      </c>
      <c r="I739" t="s">
        <v>18</v>
      </c>
      <c r="J739">
        <v>1</v>
      </c>
      <c r="K739">
        <v>438</v>
      </c>
      <c r="L739">
        <v>4</v>
      </c>
      <c r="M739" t="s">
        <v>23</v>
      </c>
      <c r="N739">
        <v>73</v>
      </c>
      <c r="O739">
        <v>3</v>
      </c>
      <c r="P739">
        <v>2</v>
      </c>
      <c r="Q739" t="s">
        <v>25</v>
      </c>
      <c r="R739">
        <v>4</v>
      </c>
      <c r="S739" t="s">
        <v>26</v>
      </c>
      <c r="T739">
        <v>7547</v>
      </c>
      <c r="U739">
        <v>7143</v>
      </c>
      <c r="V739">
        <v>4</v>
      </c>
      <c r="W739" t="s">
        <v>29</v>
      </c>
      <c r="X739" t="s">
        <v>9</v>
      </c>
      <c r="Y739">
        <v>12</v>
      </c>
      <c r="Z739">
        <v>3</v>
      </c>
      <c r="AA739">
        <v>4</v>
      </c>
      <c r="AB739">
        <v>80</v>
      </c>
      <c r="AC739">
        <v>3</v>
      </c>
      <c r="AD739">
        <v>13</v>
      </c>
      <c r="AE739">
        <v>3</v>
      </c>
      <c r="AF739">
        <v>3</v>
      </c>
      <c r="AG739">
        <v>7</v>
      </c>
      <c r="AH739">
        <v>7</v>
      </c>
      <c r="AI739">
        <v>1</v>
      </c>
      <c r="AJ739">
        <v>7</v>
      </c>
    </row>
    <row r="740" spans="1:36" x14ac:dyDescent="0.25">
      <c r="A740">
        <v>337</v>
      </c>
      <c r="B740">
        <v>35</v>
      </c>
      <c r="C740" t="s">
        <v>9</v>
      </c>
      <c r="D740" t="s">
        <v>11</v>
      </c>
      <c r="E740">
        <v>1182</v>
      </c>
      <c r="F740" t="s">
        <v>118</v>
      </c>
      <c r="G740">
        <v>11</v>
      </c>
      <c r="H740">
        <v>2</v>
      </c>
      <c r="I740" t="s">
        <v>18</v>
      </c>
      <c r="J740">
        <v>1</v>
      </c>
      <c r="K740">
        <v>1137</v>
      </c>
      <c r="L740">
        <v>4</v>
      </c>
      <c r="M740" t="s">
        <v>23</v>
      </c>
      <c r="N740">
        <v>54</v>
      </c>
      <c r="O740">
        <v>3</v>
      </c>
      <c r="P740">
        <v>2</v>
      </c>
      <c r="Q740" t="s">
        <v>25</v>
      </c>
      <c r="R740">
        <v>4</v>
      </c>
      <c r="S740" t="s">
        <v>26</v>
      </c>
      <c r="T740">
        <v>4968</v>
      </c>
      <c r="U740">
        <v>18500</v>
      </c>
      <c r="V740">
        <v>1</v>
      </c>
      <c r="W740" t="s">
        <v>29</v>
      </c>
      <c r="X740" t="s">
        <v>9</v>
      </c>
      <c r="Y740">
        <v>11</v>
      </c>
      <c r="Z740">
        <v>3</v>
      </c>
      <c r="AA740">
        <v>4</v>
      </c>
      <c r="AB740">
        <v>80</v>
      </c>
      <c r="AC740">
        <v>1</v>
      </c>
      <c r="AD740">
        <v>5</v>
      </c>
      <c r="AE740">
        <v>3</v>
      </c>
      <c r="AF740">
        <v>3</v>
      </c>
      <c r="AG740">
        <v>5</v>
      </c>
      <c r="AH740">
        <v>2</v>
      </c>
      <c r="AI740">
        <v>0</v>
      </c>
      <c r="AJ740">
        <v>2</v>
      </c>
    </row>
    <row r="741" spans="1:36" x14ac:dyDescent="0.25">
      <c r="A741">
        <v>477</v>
      </c>
      <c r="B741">
        <v>37</v>
      </c>
      <c r="C741" t="s">
        <v>9</v>
      </c>
      <c r="D741" t="s">
        <v>15</v>
      </c>
      <c r="E741">
        <v>342</v>
      </c>
      <c r="F741" t="s">
        <v>118</v>
      </c>
      <c r="G741">
        <v>16</v>
      </c>
      <c r="H741">
        <v>4</v>
      </c>
      <c r="I741" t="s">
        <v>18</v>
      </c>
      <c r="J741">
        <v>1</v>
      </c>
      <c r="K741">
        <v>868</v>
      </c>
      <c r="L741">
        <v>4</v>
      </c>
      <c r="M741" t="s">
        <v>23</v>
      </c>
      <c r="N741">
        <v>66</v>
      </c>
      <c r="O741">
        <v>2</v>
      </c>
      <c r="P741">
        <v>2</v>
      </c>
      <c r="Q741" t="s">
        <v>25</v>
      </c>
      <c r="R741">
        <v>3</v>
      </c>
      <c r="S741" t="s">
        <v>26</v>
      </c>
      <c r="T741">
        <v>6334</v>
      </c>
      <c r="U741">
        <v>24558</v>
      </c>
      <c r="V741">
        <v>4</v>
      </c>
      <c r="W741" t="s">
        <v>29</v>
      </c>
      <c r="X741" t="s">
        <v>9</v>
      </c>
      <c r="Y741">
        <v>19</v>
      </c>
      <c r="Z741">
        <v>3</v>
      </c>
      <c r="AA741">
        <v>4</v>
      </c>
      <c r="AB741">
        <v>80</v>
      </c>
      <c r="AC741">
        <v>2</v>
      </c>
      <c r="AD741">
        <v>9</v>
      </c>
      <c r="AE741">
        <v>2</v>
      </c>
      <c r="AF741">
        <v>3</v>
      </c>
      <c r="AG741">
        <v>1</v>
      </c>
      <c r="AH741">
        <v>0</v>
      </c>
      <c r="AI741">
        <v>0</v>
      </c>
      <c r="AJ741">
        <v>0</v>
      </c>
    </row>
    <row r="742" spans="1:36" x14ac:dyDescent="0.25">
      <c r="A742">
        <v>822</v>
      </c>
      <c r="B742">
        <v>29</v>
      </c>
      <c r="C742" t="s">
        <v>9</v>
      </c>
      <c r="D742" t="s">
        <v>15</v>
      </c>
      <c r="E742">
        <v>1247</v>
      </c>
      <c r="F742" t="s">
        <v>118</v>
      </c>
      <c r="G742">
        <v>20</v>
      </c>
      <c r="H742">
        <v>2</v>
      </c>
      <c r="I742" t="s">
        <v>18</v>
      </c>
      <c r="J742">
        <v>1</v>
      </c>
      <c r="K742">
        <v>349</v>
      </c>
      <c r="L742">
        <v>4</v>
      </c>
      <c r="M742" t="s">
        <v>23</v>
      </c>
      <c r="N742">
        <v>45</v>
      </c>
      <c r="O742">
        <v>3</v>
      </c>
      <c r="P742">
        <v>2</v>
      </c>
      <c r="Q742" t="s">
        <v>25</v>
      </c>
      <c r="R742">
        <v>4</v>
      </c>
      <c r="S742" t="s">
        <v>26</v>
      </c>
      <c r="T742">
        <v>6931</v>
      </c>
      <c r="U742">
        <v>10732</v>
      </c>
      <c r="V742">
        <v>2</v>
      </c>
      <c r="W742" t="s">
        <v>29</v>
      </c>
      <c r="X742" t="s">
        <v>9</v>
      </c>
      <c r="Y742">
        <v>14</v>
      </c>
      <c r="Z742">
        <v>3</v>
      </c>
      <c r="AA742">
        <v>4</v>
      </c>
      <c r="AB742">
        <v>80</v>
      </c>
      <c r="AC742">
        <v>1</v>
      </c>
      <c r="AD742">
        <v>10</v>
      </c>
      <c r="AE742">
        <v>2</v>
      </c>
      <c r="AF742">
        <v>3</v>
      </c>
      <c r="AG742">
        <v>3</v>
      </c>
      <c r="AH742">
        <v>2</v>
      </c>
      <c r="AI742">
        <v>0</v>
      </c>
      <c r="AJ742">
        <v>2</v>
      </c>
    </row>
    <row r="743" spans="1:36" x14ac:dyDescent="0.25">
      <c r="A743">
        <v>31</v>
      </c>
      <c r="B743">
        <v>32</v>
      </c>
      <c r="C743" t="s">
        <v>9</v>
      </c>
      <c r="D743" t="s">
        <v>11</v>
      </c>
      <c r="E743">
        <v>689</v>
      </c>
      <c r="F743" t="s">
        <v>118</v>
      </c>
      <c r="G743">
        <v>9</v>
      </c>
      <c r="H743">
        <v>2</v>
      </c>
      <c r="I743" t="s">
        <v>17</v>
      </c>
      <c r="J743">
        <v>1</v>
      </c>
      <c r="K743">
        <v>195</v>
      </c>
      <c r="L743">
        <v>4</v>
      </c>
      <c r="M743" t="s">
        <v>23</v>
      </c>
      <c r="N743">
        <v>35</v>
      </c>
      <c r="O743">
        <v>1</v>
      </c>
      <c r="P743">
        <v>2</v>
      </c>
      <c r="Q743" t="s">
        <v>25</v>
      </c>
      <c r="R743">
        <v>4</v>
      </c>
      <c r="S743" t="s">
        <v>26</v>
      </c>
      <c r="T743">
        <v>4668</v>
      </c>
      <c r="U743">
        <v>22812</v>
      </c>
      <c r="V743">
        <v>0</v>
      </c>
      <c r="W743" t="s">
        <v>29</v>
      </c>
      <c r="X743" t="s">
        <v>9</v>
      </c>
      <c r="Y743">
        <v>17</v>
      </c>
      <c r="Z743">
        <v>3</v>
      </c>
      <c r="AA743">
        <v>4</v>
      </c>
      <c r="AB743">
        <v>80</v>
      </c>
      <c r="AC743">
        <v>3</v>
      </c>
      <c r="AD743">
        <v>9</v>
      </c>
      <c r="AE743">
        <v>2</v>
      </c>
      <c r="AF743">
        <v>4</v>
      </c>
      <c r="AG743">
        <v>8</v>
      </c>
      <c r="AH743">
        <v>7</v>
      </c>
      <c r="AI743">
        <v>0</v>
      </c>
      <c r="AJ743">
        <v>7</v>
      </c>
    </row>
    <row r="744" spans="1:36" x14ac:dyDescent="0.25">
      <c r="A744">
        <v>638</v>
      </c>
      <c r="B744">
        <v>34</v>
      </c>
      <c r="C744" t="s">
        <v>9</v>
      </c>
      <c r="D744" t="s">
        <v>15</v>
      </c>
      <c r="E744">
        <v>1239</v>
      </c>
      <c r="F744" t="s">
        <v>118</v>
      </c>
      <c r="G744">
        <v>13</v>
      </c>
      <c r="H744">
        <v>4</v>
      </c>
      <c r="I744" t="s">
        <v>17</v>
      </c>
      <c r="J744">
        <v>1</v>
      </c>
      <c r="K744">
        <v>1951</v>
      </c>
      <c r="L744">
        <v>4</v>
      </c>
      <c r="M744" t="s">
        <v>23</v>
      </c>
      <c r="N744">
        <v>39</v>
      </c>
      <c r="O744">
        <v>3</v>
      </c>
      <c r="P744">
        <v>3</v>
      </c>
      <c r="Q744" t="s">
        <v>25</v>
      </c>
      <c r="R744">
        <v>3</v>
      </c>
      <c r="S744" t="s">
        <v>26</v>
      </c>
      <c r="T744">
        <v>8628</v>
      </c>
      <c r="U744">
        <v>22914</v>
      </c>
      <c r="V744">
        <v>1</v>
      </c>
      <c r="W744" t="s">
        <v>29</v>
      </c>
      <c r="X744" t="s">
        <v>9</v>
      </c>
      <c r="Y744">
        <v>18</v>
      </c>
      <c r="Z744">
        <v>3</v>
      </c>
      <c r="AA744">
        <v>3</v>
      </c>
      <c r="AB744">
        <v>80</v>
      </c>
      <c r="AC744">
        <v>1</v>
      </c>
      <c r="AD744">
        <v>9</v>
      </c>
      <c r="AE744">
        <v>2</v>
      </c>
      <c r="AF744">
        <v>2</v>
      </c>
      <c r="AG744">
        <v>8</v>
      </c>
      <c r="AH744">
        <v>7</v>
      </c>
      <c r="AI744">
        <v>1</v>
      </c>
      <c r="AJ744">
        <v>1</v>
      </c>
    </row>
    <row r="745" spans="1:36" x14ac:dyDescent="0.25">
      <c r="A745">
        <v>672</v>
      </c>
      <c r="B745">
        <v>33</v>
      </c>
      <c r="C745" t="s">
        <v>9</v>
      </c>
      <c r="D745" t="s">
        <v>15</v>
      </c>
      <c r="E745">
        <v>392</v>
      </c>
      <c r="F745" t="s">
        <v>118</v>
      </c>
      <c r="G745">
        <v>2</v>
      </c>
      <c r="H745">
        <v>4</v>
      </c>
      <c r="I745" t="s">
        <v>17</v>
      </c>
      <c r="J745">
        <v>1</v>
      </c>
      <c r="K745">
        <v>1670</v>
      </c>
      <c r="L745">
        <v>4</v>
      </c>
      <c r="M745" t="s">
        <v>23</v>
      </c>
      <c r="N745">
        <v>93</v>
      </c>
      <c r="O745">
        <v>3</v>
      </c>
      <c r="P745">
        <v>2</v>
      </c>
      <c r="Q745" t="s">
        <v>25</v>
      </c>
      <c r="R745">
        <v>4</v>
      </c>
      <c r="S745" t="s">
        <v>26</v>
      </c>
      <c r="T745">
        <v>5505</v>
      </c>
      <c r="U745">
        <v>3921</v>
      </c>
      <c r="V745">
        <v>1</v>
      </c>
      <c r="W745" t="s">
        <v>29</v>
      </c>
      <c r="X745" t="s">
        <v>9</v>
      </c>
      <c r="Y745">
        <v>14</v>
      </c>
      <c r="Z745">
        <v>3</v>
      </c>
      <c r="AA745">
        <v>3</v>
      </c>
      <c r="AB745">
        <v>80</v>
      </c>
      <c r="AC745">
        <v>2</v>
      </c>
      <c r="AD745">
        <v>6</v>
      </c>
      <c r="AE745">
        <v>5</v>
      </c>
      <c r="AF745">
        <v>3</v>
      </c>
      <c r="AG745">
        <v>6</v>
      </c>
      <c r="AH745">
        <v>2</v>
      </c>
      <c r="AI745">
        <v>0</v>
      </c>
      <c r="AJ745">
        <v>4</v>
      </c>
    </row>
    <row r="746" spans="1:36" x14ac:dyDescent="0.25">
      <c r="A746">
        <v>280</v>
      </c>
      <c r="B746">
        <v>55</v>
      </c>
      <c r="C746" t="s">
        <v>9</v>
      </c>
      <c r="D746" t="s">
        <v>15</v>
      </c>
      <c r="E746">
        <v>1229</v>
      </c>
      <c r="F746" t="s">
        <v>119</v>
      </c>
      <c r="G746">
        <v>4</v>
      </c>
      <c r="H746">
        <v>4</v>
      </c>
      <c r="I746" t="s">
        <v>21</v>
      </c>
      <c r="J746">
        <v>1</v>
      </c>
      <c r="K746">
        <v>1501</v>
      </c>
      <c r="L746">
        <v>4</v>
      </c>
      <c r="M746" t="s">
        <v>23</v>
      </c>
      <c r="N746">
        <v>30</v>
      </c>
      <c r="O746">
        <v>3</v>
      </c>
      <c r="P746">
        <v>2</v>
      </c>
      <c r="Q746" t="s">
        <v>34</v>
      </c>
      <c r="R746">
        <v>3</v>
      </c>
      <c r="S746" t="s">
        <v>28</v>
      </c>
      <c r="T746">
        <v>4035</v>
      </c>
      <c r="U746">
        <v>16143</v>
      </c>
      <c r="V746">
        <v>0</v>
      </c>
      <c r="W746" t="s">
        <v>29</v>
      </c>
      <c r="X746" t="s">
        <v>10</v>
      </c>
      <c r="Y746">
        <v>16</v>
      </c>
      <c r="Z746">
        <v>3</v>
      </c>
      <c r="AA746">
        <v>2</v>
      </c>
      <c r="AB746">
        <v>80</v>
      </c>
      <c r="AC746">
        <v>0</v>
      </c>
      <c r="AD746">
        <v>4</v>
      </c>
      <c r="AE746">
        <v>2</v>
      </c>
      <c r="AF746">
        <v>3</v>
      </c>
      <c r="AG746">
        <v>3</v>
      </c>
      <c r="AH746">
        <v>2</v>
      </c>
      <c r="AI746">
        <v>1</v>
      </c>
      <c r="AJ746">
        <v>2</v>
      </c>
    </row>
    <row r="747" spans="1:36" x14ac:dyDescent="0.25">
      <c r="A747">
        <v>555</v>
      </c>
      <c r="B747">
        <v>40</v>
      </c>
      <c r="C747" t="s">
        <v>9</v>
      </c>
      <c r="D747" t="s">
        <v>16</v>
      </c>
      <c r="E747">
        <v>1151</v>
      </c>
      <c r="F747" t="s">
        <v>119</v>
      </c>
      <c r="G747">
        <v>9</v>
      </c>
      <c r="H747">
        <v>5</v>
      </c>
      <c r="I747" t="s">
        <v>21</v>
      </c>
      <c r="J747">
        <v>1</v>
      </c>
      <c r="K747">
        <v>287</v>
      </c>
      <c r="L747">
        <v>4</v>
      </c>
      <c r="M747" t="s">
        <v>23</v>
      </c>
      <c r="N747">
        <v>63</v>
      </c>
      <c r="O747">
        <v>2</v>
      </c>
      <c r="P747">
        <v>2</v>
      </c>
      <c r="Q747" t="s">
        <v>34</v>
      </c>
      <c r="R747">
        <v>4</v>
      </c>
      <c r="S747" t="s">
        <v>28</v>
      </c>
      <c r="T747">
        <v>4876</v>
      </c>
      <c r="U747">
        <v>14242</v>
      </c>
      <c r="V747">
        <v>9</v>
      </c>
      <c r="W747" t="s">
        <v>29</v>
      </c>
      <c r="X747" t="s">
        <v>9</v>
      </c>
      <c r="Y747">
        <v>14</v>
      </c>
      <c r="Z747">
        <v>3</v>
      </c>
      <c r="AA747">
        <v>4</v>
      </c>
      <c r="AB747">
        <v>80</v>
      </c>
      <c r="AC747">
        <v>1</v>
      </c>
      <c r="AD747">
        <v>5</v>
      </c>
      <c r="AE747">
        <v>5</v>
      </c>
      <c r="AF747">
        <v>1</v>
      </c>
      <c r="AG747">
        <v>3</v>
      </c>
      <c r="AH747">
        <v>2</v>
      </c>
      <c r="AI747">
        <v>0</v>
      </c>
      <c r="AJ747">
        <v>2</v>
      </c>
    </row>
    <row r="748" spans="1:36" x14ac:dyDescent="0.25">
      <c r="A748">
        <v>775</v>
      </c>
      <c r="B748">
        <v>42</v>
      </c>
      <c r="C748" t="s">
        <v>9</v>
      </c>
      <c r="D748" t="s">
        <v>11</v>
      </c>
      <c r="E748">
        <v>288</v>
      </c>
      <c r="F748" t="s">
        <v>119</v>
      </c>
      <c r="G748">
        <v>2</v>
      </c>
      <c r="H748">
        <v>3</v>
      </c>
      <c r="I748" t="s">
        <v>21</v>
      </c>
      <c r="J748">
        <v>1</v>
      </c>
      <c r="K748">
        <v>1547</v>
      </c>
      <c r="L748">
        <v>4</v>
      </c>
      <c r="M748" t="s">
        <v>23</v>
      </c>
      <c r="N748">
        <v>40</v>
      </c>
      <c r="O748">
        <v>3</v>
      </c>
      <c r="P748">
        <v>3</v>
      </c>
      <c r="Q748" t="s">
        <v>34</v>
      </c>
      <c r="R748">
        <v>4</v>
      </c>
      <c r="S748" t="s">
        <v>28</v>
      </c>
      <c r="T748">
        <v>10124</v>
      </c>
      <c r="U748">
        <v>18611</v>
      </c>
      <c r="V748">
        <v>2</v>
      </c>
      <c r="W748" t="s">
        <v>29</v>
      </c>
      <c r="X748" t="s">
        <v>10</v>
      </c>
      <c r="Y748">
        <v>14</v>
      </c>
      <c r="Z748">
        <v>3</v>
      </c>
      <c r="AA748">
        <v>3</v>
      </c>
      <c r="AB748">
        <v>80</v>
      </c>
      <c r="AC748">
        <v>1</v>
      </c>
      <c r="AD748">
        <v>24</v>
      </c>
      <c r="AE748">
        <v>3</v>
      </c>
      <c r="AF748">
        <v>1</v>
      </c>
      <c r="AG748">
        <v>20</v>
      </c>
      <c r="AH748">
        <v>8</v>
      </c>
      <c r="AI748">
        <v>13</v>
      </c>
      <c r="AJ748">
        <v>9</v>
      </c>
    </row>
    <row r="749" spans="1:36" x14ac:dyDescent="0.25">
      <c r="A749">
        <v>806</v>
      </c>
      <c r="B749">
        <v>36</v>
      </c>
      <c r="C749" t="s">
        <v>9</v>
      </c>
      <c r="D749" t="s">
        <v>15</v>
      </c>
      <c r="E749">
        <v>1383</v>
      </c>
      <c r="F749" t="s">
        <v>119</v>
      </c>
      <c r="G749">
        <v>10</v>
      </c>
      <c r="H749">
        <v>3</v>
      </c>
      <c r="I749" t="s">
        <v>21</v>
      </c>
      <c r="J749">
        <v>1</v>
      </c>
      <c r="K749">
        <v>1790</v>
      </c>
      <c r="L749">
        <v>4</v>
      </c>
      <c r="M749" t="s">
        <v>23</v>
      </c>
      <c r="N749">
        <v>90</v>
      </c>
      <c r="O749">
        <v>3</v>
      </c>
      <c r="P749">
        <v>3</v>
      </c>
      <c r="Q749" t="s">
        <v>34</v>
      </c>
      <c r="R749">
        <v>1</v>
      </c>
      <c r="S749" t="s">
        <v>28</v>
      </c>
      <c r="T749">
        <v>8321</v>
      </c>
      <c r="U749">
        <v>25949</v>
      </c>
      <c r="V749">
        <v>7</v>
      </c>
      <c r="W749" t="s">
        <v>29</v>
      </c>
      <c r="X749" t="s">
        <v>10</v>
      </c>
      <c r="Y749">
        <v>13</v>
      </c>
      <c r="Z749">
        <v>3</v>
      </c>
      <c r="AA749">
        <v>4</v>
      </c>
      <c r="AB749">
        <v>80</v>
      </c>
      <c r="AC749">
        <v>1</v>
      </c>
      <c r="AD749">
        <v>15</v>
      </c>
      <c r="AE749">
        <v>1</v>
      </c>
      <c r="AF749">
        <v>3</v>
      </c>
      <c r="AG749">
        <v>12</v>
      </c>
      <c r="AH749">
        <v>8</v>
      </c>
      <c r="AI749">
        <v>5</v>
      </c>
      <c r="AJ749">
        <v>7</v>
      </c>
    </row>
    <row r="750" spans="1:36" x14ac:dyDescent="0.25">
      <c r="A750" s="15">
        <v>139</v>
      </c>
      <c r="B750" s="15">
        <v>39</v>
      </c>
      <c r="C750" s="15" t="s">
        <v>10</v>
      </c>
      <c r="D750" s="15" t="s">
        <v>15</v>
      </c>
      <c r="E750" s="15">
        <v>1122</v>
      </c>
      <c r="F750" s="15" t="s">
        <v>119</v>
      </c>
      <c r="G750" s="15">
        <v>6</v>
      </c>
      <c r="H750" s="15">
        <v>3</v>
      </c>
      <c r="I750" s="15" t="s">
        <v>17</v>
      </c>
      <c r="J750" s="15">
        <v>1</v>
      </c>
      <c r="K750" s="15">
        <v>932</v>
      </c>
      <c r="L750" s="15">
        <v>4</v>
      </c>
      <c r="M750" s="15" t="s">
        <v>23</v>
      </c>
      <c r="N750" s="15">
        <v>70</v>
      </c>
      <c r="O750" s="15">
        <v>3</v>
      </c>
      <c r="P750" s="15">
        <v>1</v>
      </c>
      <c r="Q750" s="15" t="s">
        <v>36</v>
      </c>
      <c r="R750" s="15">
        <v>1</v>
      </c>
      <c r="S750" s="15" t="s">
        <v>28</v>
      </c>
      <c r="T750" s="15">
        <v>2404</v>
      </c>
      <c r="U750" s="15">
        <v>4303</v>
      </c>
      <c r="V750" s="15">
        <v>7</v>
      </c>
      <c r="W750" s="15" t="s">
        <v>29</v>
      </c>
      <c r="X750" s="15" t="s">
        <v>10</v>
      </c>
      <c r="Y750" s="15">
        <v>21</v>
      </c>
      <c r="Z750" s="15">
        <v>4</v>
      </c>
      <c r="AA750" s="15">
        <v>4</v>
      </c>
      <c r="AB750" s="15">
        <v>80</v>
      </c>
      <c r="AC750" s="15">
        <v>0</v>
      </c>
      <c r="AD750" s="15">
        <v>8</v>
      </c>
      <c r="AE750" s="15">
        <v>2</v>
      </c>
      <c r="AF750" s="15">
        <v>1</v>
      </c>
      <c r="AG750" s="15">
        <v>2</v>
      </c>
      <c r="AH750" s="15">
        <v>2</v>
      </c>
      <c r="AI750" s="15">
        <v>2</v>
      </c>
      <c r="AJ750" s="15">
        <v>2</v>
      </c>
    </row>
    <row r="751" spans="1:36" x14ac:dyDescent="0.25">
      <c r="A751">
        <v>619</v>
      </c>
      <c r="B751">
        <v>39</v>
      </c>
      <c r="C751" t="s">
        <v>9</v>
      </c>
      <c r="D751" t="s">
        <v>15</v>
      </c>
      <c r="E751">
        <v>613</v>
      </c>
      <c r="F751" t="s">
        <v>119</v>
      </c>
      <c r="G751">
        <v>6</v>
      </c>
      <c r="H751">
        <v>1</v>
      </c>
      <c r="I751" t="s">
        <v>17</v>
      </c>
      <c r="J751">
        <v>1</v>
      </c>
      <c r="K751">
        <v>2062</v>
      </c>
      <c r="L751">
        <v>4</v>
      </c>
      <c r="M751" t="s">
        <v>23</v>
      </c>
      <c r="N751">
        <v>42</v>
      </c>
      <c r="O751">
        <v>2</v>
      </c>
      <c r="P751">
        <v>3</v>
      </c>
      <c r="Q751" t="s">
        <v>34</v>
      </c>
      <c r="R751">
        <v>1</v>
      </c>
      <c r="S751" t="s">
        <v>28</v>
      </c>
      <c r="T751">
        <v>9991</v>
      </c>
      <c r="U751">
        <v>21457</v>
      </c>
      <c r="V751">
        <v>4</v>
      </c>
      <c r="W751" t="s">
        <v>29</v>
      </c>
      <c r="X751" t="s">
        <v>9</v>
      </c>
      <c r="Y751">
        <v>15</v>
      </c>
      <c r="Z751">
        <v>3</v>
      </c>
      <c r="AA751">
        <v>1</v>
      </c>
      <c r="AB751">
        <v>80</v>
      </c>
      <c r="AC751">
        <v>1</v>
      </c>
      <c r="AD751">
        <v>9</v>
      </c>
      <c r="AE751">
        <v>5</v>
      </c>
      <c r="AF751">
        <v>3</v>
      </c>
      <c r="AG751">
        <v>7</v>
      </c>
      <c r="AH751">
        <v>7</v>
      </c>
      <c r="AI751">
        <v>1</v>
      </c>
      <c r="AJ751">
        <v>7</v>
      </c>
    </row>
    <row r="752" spans="1:36" x14ac:dyDescent="0.25">
      <c r="A752">
        <v>585</v>
      </c>
      <c r="B752">
        <v>44</v>
      </c>
      <c r="C752" t="s">
        <v>9</v>
      </c>
      <c r="D752" t="s">
        <v>15</v>
      </c>
      <c r="E752">
        <v>1459</v>
      </c>
      <c r="F752" t="s">
        <v>119</v>
      </c>
      <c r="G752">
        <v>10</v>
      </c>
      <c r="H752">
        <v>4</v>
      </c>
      <c r="I752" t="s">
        <v>19</v>
      </c>
      <c r="J752">
        <v>1</v>
      </c>
      <c r="K752">
        <v>40</v>
      </c>
      <c r="L752">
        <v>4</v>
      </c>
      <c r="M752" t="s">
        <v>23</v>
      </c>
      <c r="N752">
        <v>41</v>
      </c>
      <c r="O752">
        <v>3</v>
      </c>
      <c r="P752">
        <v>2</v>
      </c>
      <c r="Q752" t="s">
        <v>34</v>
      </c>
      <c r="R752">
        <v>4</v>
      </c>
      <c r="S752" t="s">
        <v>28</v>
      </c>
      <c r="T752">
        <v>6465</v>
      </c>
      <c r="U752">
        <v>19121</v>
      </c>
      <c r="V752">
        <v>2</v>
      </c>
      <c r="W752" t="s">
        <v>29</v>
      </c>
      <c r="X752" t="s">
        <v>10</v>
      </c>
      <c r="Y752">
        <v>13</v>
      </c>
      <c r="Z752">
        <v>3</v>
      </c>
      <c r="AA752">
        <v>4</v>
      </c>
      <c r="AB752">
        <v>80</v>
      </c>
      <c r="AC752">
        <v>0</v>
      </c>
      <c r="AD752">
        <v>9</v>
      </c>
      <c r="AE752">
        <v>5</v>
      </c>
      <c r="AF752">
        <v>4</v>
      </c>
      <c r="AG752">
        <v>4</v>
      </c>
      <c r="AH752">
        <v>2</v>
      </c>
      <c r="AI752">
        <v>1</v>
      </c>
      <c r="AJ752">
        <v>3</v>
      </c>
    </row>
    <row r="753" spans="1:36" x14ac:dyDescent="0.25">
      <c r="A753">
        <v>10</v>
      </c>
      <c r="B753">
        <v>34</v>
      </c>
      <c r="C753" t="s">
        <v>9</v>
      </c>
      <c r="D753" t="s">
        <v>11</v>
      </c>
      <c r="E753">
        <v>653</v>
      </c>
      <c r="F753" t="s">
        <v>119</v>
      </c>
      <c r="G753">
        <v>10</v>
      </c>
      <c r="H753">
        <v>4</v>
      </c>
      <c r="I753" t="s">
        <v>22</v>
      </c>
      <c r="J753">
        <v>1</v>
      </c>
      <c r="K753">
        <v>1597</v>
      </c>
      <c r="L753">
        <v>4</v>
      </c>
      <c r="M753" t="s">
        <v>23</v>
      </c>
      <c r="N753">
        <v>92</v>
      </c>
      <c r="O753">
        <v>2</v>
      </c>
      <c r="P753">
        <v>2</v>
      </c>
      <c r="Q753" t="s">
        <v>34</v>
      </c>
      <c r="R753">
        <v>3</v>
      </c>
      <c r="S753" t="s">
        <v>28</v>
      </c>
      <c r="T753">
        <v>5063</v>
      </c>
      <c r="U753">
        <v>15332</v>
      </c>
      <c r="V753">
        <v>1</v>
      </c>
      <c r="W753" t="s">
        <v>29</v>
      </c>
      <c r="X753" t="s">
        <v>9</v>
      </c>
      <c r="Y753">
        <v>14</v>
      </c>
      <c r="Z753">
        <v>3</v>
      </c>
      <c r="AA753">
        <v>2</v>
      </c>
      <c r="AB753">
        <v>80</v>
      </c>
      <c r="AC753">
        <v>1</v>
      </c>
      <c r="AD753">
        <v>8</v>
      </c>
      <c r="AE753">
        <v>3</v>
      </c>
      <c r="AF753">
        <v>2</v>
      </c>
      <c r="AG753">
        <v>8</v>
      </c>
      <c r="AH753">
        <v>2</v>
      </c>
      <c r="AI753">
        <v>7</v>
      </c>
      <c r="AJ753">
        <v>7</v>
      </c>
    </row>
    <row r="754" spans="1:36" x14ac:dyDescent="0.25">
      <c r="A754">
        <v>701</v>
      </c>
      <c r="B754">
        <v>29</v>
      </c>
      <c r="C754" t="s">
        <v>9</v>
      </c>
      <c r="D754" t="s">
        <v>15</v>
      </c>
      <c r="E754">
        <v>352</v>
      </c>
      <c r="F754" t="s">
        <v>20</v>
      </c>
      <c r="G754">
        <v>6</v>
      </c>
      <c r="H754">
        <v>1</v>
      </c>
      <c r="I754" t="s">
        <v>17</v>
      </c>
      <c r="J754">
        <v>1</v>
      </c>
      <c r="K754">
        <v>1865</v>
      </c>
      <c r="L754">
        <v>4</v>
      </c>
      <c r="M754" t="s">
        <v>23</v>
      </c>
      <c r="N754">
        <v>87</v>
      </c>
      <c r="O754">
        <v>2</v>
      </c>
      <c r="P754">
        <v>1</v>
      </c>
      <c r="Q754" t="s">
        <v>20</v>
      </c>
      <c r="R754">
        <v>2</v>
      </c>
      <c r="S754" t="s">
        <v>28</v>
      </c>
      <c r="T754">
        <v>2804</v>
      </c>
      <c r="U754">
        <v>15434</v>
      </c>
      <c r="V754">
        <v>1</v>
      </c>
      <c r="W754" t="s">
        <v>29</v>
      </c>
      <c r="X754" t="s">
        <v>9</v>
      </c>
      <c r="Y754">
        <v>11</v>
      </c>
      <c r="Z754">
        <v>3</v>
      </c>
      <c r="AA754">
        <v>4</v>
      </c>
      <c r="AB754">
        <v>80</v>
      </c>
      <c r="AC754">
        <v>0</v>
      </c>
      <c r="AD754">
        <v>1</v>
      </c>
      <c r="AE754">
        <v>3</v>
      </c>
      <c r="AF754">
        <v>3</v>
      </c>
      <c r="AG754">
        <v>1</v>
      </c>
      <c r="AH754">
        <v>0</v>
      </c>
      <c r="AI754">
        <v>0</v>
      </c>
      <c r="AJ754">
        <v>0</v>
      </c>
    </row>
    <row r="755" spans="1:36" x14ac:dyDescent="0.25">
      <c r="A755">
        <v>91</v>
      </c>
      <c r="B755">
        <v>38</v>
      </c>
      <c r="C755" t="s">
        <v>9</v>
      </c>
      <c r="D755" t="s">
        <v>11</v>
      </c>
      <c r="E755">
        <v>1490</v>
      </c>
      <c r="F755" t="s">
        <v>119</v>
      </c>
      <c r="G755">
        <v>2</v>
      </c>
      <c r="H755">
        <v>2</v>
      </c>
      <c r="I755" t="s">
        <v>21</v>
      </c>
      <c r="J755">
        <v>1</v>
      </c>
      <c r="K755">
        <v>556</v>
      </c>
      <c r="L755">
        <v>4</v>
      </c>
      <c r="M755" t="s">
        <v>23</v>
      </c>
      <c r="N755">
        <v>42</v>
      </c>
      <c r="O755">
        <v>3</v>
      </c>
      <c r="P755">
        <v>1</v>
      </c>
      <c r="Q755" t="s">
        <v>36</v>
      </c>
      <c r="R755">
        <v>4</v>
      </c>
      <c r="S755" t="s">
        <v>28</v>
      </c>
      <c r="T755">
        <v>1702</v>
      </c>
      <c r="U755">
        <v>12106</v>
      </c>
      <c r="V755">
        <v>1</v>
      </c>
      <c r="W755" t="s">
        <v>29</v>
      </c>
      <c r="X755" t="s">
        <v>10</v>
      </c>
      <c r="Y755">
        <v>23</v>
      </c>
      <c r="Z755">
        <v>4</v>
      </c>
      <c r="AA755">
        <v>3</v>
      </c>
      <c r="AB755">
        <v>80</v>
      </c>
      <c r="AC755">
        <v>1</v>
      </c>
      <c r="AD755">
        <v>1</v>
      </c>
      <c r="AE755">
        <v>3</v>
      </c>
      <c r="AF755">
        <v>3</v>
      </c>
      <c r="AG755">
        <v>1</v>
      </c>
      <c r="AH755">
        <v>0</v>
      </c>
      <c r="AI755">
        <v>0</v>
      </c>
      <c r="AJ755">
        <v>0</v>
      </c>
    </row>
    <row r="756" spans="1:36" x14ac:dyDescent="0.25">
      <c r="A756">
        <v>161</v>
      </c>
      <c r="B756">
        <v>30</v>
      </c>
      <c r="C756" t="s">
        <v>9</v>
      </c>
      <c r="D756" t="s">
        <v>15</v>
      </c>
      <c r="E756">
        <v>852</v>
      </c>
      <c r="F756" t="s">
        <v>119</v>
      </c>
      <c r="G756">
        <v>1</v>
      </c>
      <c r="H756">
        <v>1</v>
      </c>
      <c r="I756" t="s">
        <v>21</v>
      </c>
      <c r="J756">
        <v>1</v>
      </c>
      <c r="K756">
        <v>104</v>
      </c>
      <c r="L756">
        <v>4</v>
      </c>
      <c r="M756" t="s">
        <v>23</v>
      </c>
      <c r="N756">
        <v>55</v>
      </c>
      <c r="O756">
        <v>2</v>
      </c>
      <c r="P756">
        <v>2</v>
      </c>
      <c r="Q756" t="s">
        <v>36</v>
      </c>
      <c r="R756">
        <v>4</v>
      </c>
      <c r="S756" t="s">
        <v>28</v>
      </c>
      <c r="T756">
        <v>5126</v>
      </c>
      <c r="U756">
        <v>15998</v>
      </c>
      <c r="V756">
        <v>1</v>
      </c>
      <c r="W756" t="s">
        <v>29</v>
      </c>
      <c r="X756" t="s">
        <v>10</v>
      </c>
      <c r="Y756">
        <v>12</v>
      </c>
      <c r="Z756">
        <v>3</v>
      </c>
      <c r="AA756">
        <v>3</v>
      </c>
      <c r="AB756">
        <v>80</v>
      </c>
      <c r="AC756">
        <v>2</v>
      </c>
      <c r="AD756">
        <v>10</v>
      </c>
      <c r="AE756">
        <v>1</v>
      </c>
      <c r="AF756">
        <v>2</v>
      </c>
      <c r="AG756">
        <v>10</v>
      </c>
      <c r="AH756">
        <v>8</v>
      </c>
      <c r="AI756">
        <v>3</v>
      </c>
      <c r="AJ756">
        <v>0</v>
      </c>
    </row>
    <row r="757" spans="1:36" x14ac:dyDescent="0.25">
      <c r="A757">
        <v>197</v>
      </c>
      <c r="B757">
        <v>51</v>
      </c>
      <c r="C757" t="s">
        <v>9</v>
      </c>
      <c r="D757" t="s">
        <v>15</v>
      </c>
      <c r="E757">
        <v>432</v>
      </c>
      <c r="F757" t="s">
        <v>119</v>
      </c>
      <c r="G757">
        <v>9</v>
      </c>
      <c r="H757">
        <v>4</v>
      </c>
      <c r="I757" t="s">
        <v>21</v>
      </c>
      <c r="J757">
        <v>1</v>
      </c>
      <c r="K757">
        <v>116</v>
      </c>
      <c r="L757">
        <v>4</v>
      </c>
      <c r="M757" t="s">
        <v>23</v>
      </c>
      <c r="N757">
        <v>96</v>
      </c>
      <c r="O757">
        <v>3</v>
      </c>
      <c r="P757">
        <v>1</v>
      </c>
      <c r="Q757" t="s">
        <v>36</v>
      </c>
      <c r="R757">
        <v>4</v>
      </c>
      <c r="S757" t="s">
        <v>28</v>
      </c>
      <c r="T757">
        <v>2075</v>
      </c>
      <c r="U757">
        <v>18725</v>
      </c>
      <c r="V757">
        <v>3</v>
      </c>
      <c r="W757" t="s">
        <v>29</v>
      </c>
      <c r="X757" t="s">
        <v>9</v>
      </c>
      <c r="Y757">
        <v>23</v>
      </c>
      <c r="Z757">
        <v>4</v>
      </c>
      <c r="AA757">
        <v>2</v>
      </c>
      <c r="AB757">
        <v>80</v>
      </c>
      <c r="AC757">
        <v>2</v>
      </c>
      <c r="AD757">
        <v>10</v>
      </c>
      <c r="AE757">
        <v>4</v>
      </c>
      <c r="AF757">
        <v>3</v>
      </c>
      <c r="AG757">
        <v>4</v>
      </c>
      <c r="AH757">
        <v>2</v>
      </c>
      <c r="AI757">
        <v>0</v>
      </c>
      <c r="AJ757">
        <v>3</v>
      </c>
    </row>
    <row r="758" spans="1:36" x14ac:dyDescent="0.25">
      <c r="A758">
        <v>342</v>
      </c>
      <c r="B758">
        <v>28</v>
      </c>
      <c r="C758" t="s">
        <v>9</v>
      </c>
      <c r="D758" t="s">
        <v>11</v>
      </c>
      <c r="E758">
        <v>193</v>
      </c>
      <c r="F758" t="s">
        <v>119</v>
      </c>
      <c r="G758">
        <v>2</v>
      </c>
      <c r="H758">
        <v>3</v>
      </c>
      <c r="I758" t="s">
        <v>21</v>
      </c>
      <c r="J758">
        <v>1</v>
      </c>
      <c r="K758">
        <v>1296</v>
      </c>
      <c r="L758">
        <v>4</v>
      </c>
      <c r="M758" t="s">
        <v>23</v>
      </c>
      <c r="N758">
        <v>52</v>
      </c>
      <c r="O758">
        <v>2</v>
      </c>
      <c r="P758">
        <v>1</v>
      </c>
      <c r="Q758" t="s">
        <v>36</v>
      </c>
      <c r="R758">
        <v>4</v>
      </c>
      <c r="S758" t="s">
        <v>28</v>
      </c>
      <c r="T758">
        <v>3867</v>
      </c>
      <c r="U758">
        <v>14222</v>
      </c>
      <c r="V758">
        <v>1</v>
      </c>
      <c r="W758" t="s">
        <v>29</v>
      </c>
      <c r="X758" t="s">
        <v>10</v>
      </c>
      <c r="Y758">
        <v>12</v>
      </c>
      <c r="Z758">
        <v>3</v>
      </c>
      <c r="AA758">
        <v>2</v>
      </c>
      <c r="AB758">
        <v>80</v>
      </c>
      <c r="AC758">
        <v>1</v>
      </c>
      <c r="AD758">
        <v>2</v>
      </c>
      <c r="AE758">
        <v>2</v>
      </c>
      <c r="AF758">
        <v>3</v>
      </c>
      <c r="AG758">
        <v>2</v>
      </c>
      <c r="AH758">
        <v>2</v>
      </c>
      <c r="AI758">
        <v>2</v>
      </c>
      <c r="AJ758">
        <v>2</v>
      </c>
    </row>
    <row r="759" spans="1:36" x14ac:dyDescent="0.25">
      <c r="A759">
        <v>360</v>
      </c>
      <c r="B759">
        <v>36</v>
      </c>
      <c r="C759" t="s">
        <v>9</v>
      </c>
      <c r="D759" t="s">
        <v>15</v>
      </c>
      <c r="E759">
        <v>1403</v>
      </c>
      <c r="F759" t="s">
        <v>119</v>
      </c>
      <c r="G759">
        <v>6</v>
      </c>
      <c r="H759">
        <v>3</v>
      </c>
      <c r="I759" t="s">
        <v>21</v>
      </c>
      <c r="J759">
        <v>1</v>
      </c>
      <c r="K759">
        <v>373</v>
      </c>
      <c r="L759">
        <v>4</v>
      </c>
      <c r="M759" t="s">
        <v>23</v>
      </c>
      <c r="N759">
        <v>47</v>
      </c>
      <c r="O759">
        <v>3</v>
      </c>
      <c r="P759">
        <v>1</v>
      </c>
      <c r="Q759" t="s">
        <v>36</v>
      </c>
      <c r="R759">
        <v>4</v>
      </c>
      <c r="S759" t="s">
        <v>28</v>
      </c>
      <c r="T759">
        <v>3210</v>
      </c>
      <c r="U759">
        <v>20251</v>
      </c>
      <c r="V759">
        <v>0</v>
      </c>
      <c r="W759" t="s">
        <v>29</v>
      </c>
      <c r="X759" t="s">
        <v>9</v>
      </c>
      <c r="Y759">
        <v>11</v>
      </c>
      <c r="Z759">
        <v>3</v>
      </c>
      <c r="AA759">
        <v>3</v>
      </c>
      <c r="AB759">
        <v>80</v>
      </c>
      <c r="AC759">
        <v>1</v>
      </c>
      <c r="AD759">
        <v>16</v>
      </c>
      <c r="AE759">
        <v>4</v>
      </c>
      <c r="AF759">
        <v>3</v>
      </c>
      <c r="AG759">
        <v>15</v>
      </c>
      <c r="AH759">
        <v>13</v>
      </c>
      <c r="AI759">
        <v>10</v>
      </c>
      <c r="AJ759">
        <v>11</v>
      </c>
    </row>
    <row r="760" spans="1:36" x14ac:dyDescent="0.25">
      <c r="A760">
        <v>565</v>
      </c>
      <c r="B760">
        <v>30</v>
      </c>
      <c r="C760" t="s">
        <v>9</v>
      </c>
      <c r="D760" t="s">
        <v>15</v>
      </c>
      <c r="E760">
        <v>921</v>
      </c>
      <c r="F760" t="s">
        <v>119</v>
      </c>
      <c r="G760">
        <v>1</v>
      </c>
      <c r="H760">
        <v>3</v>
      </c>
      <c r="I760" t="s">
        <v>21</v>
      </c>
      <c r="J760">
        <v>1</v>
      </c>
      <c r="K760">
        <v>806</v>
      </c>
      <c r="L760">
        <v>4</v>
      </c>
      <c r="M760" t="s">
        <v>23</v>
      </c>
      <c r="N760">
        <v>38</v>
      </c>
      <c r="O760">
        <v>1</v>
      </c>
      <c r="P760">
        <v>1</v>
      </c>
      <c r="Q760" t="s">
        <v>36</v>
      </c>
      <c r="R760">
        <v>3</v>
      </c>
      <c r="S760" t="s">
        <v>28</v>
      </c>
      <c r="T760">
        <v>3833</v>
      </c>
      <c r="U760">
        <v>24375</v>
      </c>
      <c r="V760">
        <v>3</v>
      </c>
      <c r="W760" t="s">
        <v>29</v>
      </c>
      <c r="X760" t="s">
        <v>9</v>
      </c>
      <c r="Y760">
        <v>21</v>
      </c>
      <c r="Z760">
        <v>4</v>
      </c>
      <c r="AA760">
        <v>3</v>
      </c>
      <c r="AB760">
        <v>80</v>
      </c>
      <c r="AC760">
        <v>2</v>
      </c>
      <c r="AD760">
        <v>7</v>
      </c>
      <c r="AE760">
        <v>2</v>
      </c>
      <c r="AF760">
        <v>3</v>
      </c>
      <c r="AG760">
        <v>2</v>
      </c>
      <c r="AH760">
        <v>2</v>
      </c>
      <c r="AI760">
        <v>0</v>
      </c>
      <c r="AJ760">
        <v>2</v>
      </c>
    </row>
    <row r="761" spans="1:36" x14ac:dyDescent="0.25">
      <c r="A761">
        <v>831</v>
      </c>
      <c r="B761">
        <v>45</v>
      </c>
      <c r="C761" t="s">
        <v>9</v>
      </c>
      <c r="D761" t="s">
        <v>16</v>
      </c>
      <c r="E761">
        <v>248</v>
      </c>
      <c r="F761" t="s">
        <v>119</v>
      </c>
      <c r="G761">
        <v>23</v>
      </c>
      <c r="H761">
        <v>2</v>
      </c>
      <c r="I761" t="s">
        <v>21</v>
      </c>
      <c r="J761">
        <v>1</v>
      </c>
      <c r="K761">
        <v>1002</v>
      </c>
      <c r="L761">
        <v>4</v>
      </c>
      <c r="M761" t="s">
        <v>23</v>
      </c>
      <c r="N761">
        <v>42</v>
      </c>
      <c r="O761">
        <v>3</v>
      </c>
      <c r="P761">
        <v>2</v>
      </c>
      <c r="Q761" t="s">
        <v>36</v>
      </c>
      <c r="R761">
        <v>1</v>
      </c>
      <c r="S761" t="s">
        <v>28</v>
      </c>
      <c r="T761">
        <v>3633</v>
      </c>
      <c r="U761">
        <v>14039</v>
      </c>
      <c r="V761">
        <v>1</v>
      </c>
      <c r="W761" t="s">
        <v>29</v>
      </c>
      <c r="X761" t="s">
        <v>10</v>
      </c>
      <c r="Y761">
        <v>15</v>
      </c>
      <c r="Z761">
        <v>3</v>
      </c>
      <c r="AA761">
        <v>3</v>
      </c>
      <c r="AB761">
        <v>80</v>
      </c>
      <c r="AC761">
        <v>1</v>
      </c>
      <c r="AD761">
        <v>9</v>
      </c>
      <c r="AE761">
        <v>2</v>
      </c>
      <c r="AF761">
        <v>3</v>
      </c>
      <c r="AG761">
        <v>9</v>
      </c>
      <c r="AH761">
        <v>8</v>
      </c>
      <c r="AI761">
        <v>0</v>
      </c>
      <c r="AJ761">
        <v>8</v>
      </c>
    </row>
    <row r="762" spans="1:36" x14ac:dyDescent="0.25">
      <c r="A762" s="15">
        <v>774</v>
      </c>
      <c r="B762" s="15">
        <v>36</v>
      </c>
      <c r="C762" s="15" t="s">
        <v>10</v>
      </c>
      <c r="D762" s="15" t="s">
        <v>15</v>
      </c>
      <c r="E762" s="15">
        <v>318</v>
      </c>
      <c r="F762" s="15" t="s">
        <v>119</v>
      </c>
      <c r="G762" s="15">
        <v>9</v>
      </c>
      <c r="H762" s="15">
        <v>3</v>
      </c>
      <c r="I762" s="15" t="s">
        <v>17</v>
      </c>
      <c r="J762" s="15">
        <v>1</v>
      </c>
      <c r="K762" s="15">
        <v>90</v>
      </c>
      <c r="L762" s="15">
        <v>4</v>
      </c>
      <c r="M762" s="15" t="s">
        <v>23</v>
      </c>
      <c r="N762" s="15">
        <v>79</v>
      </c>
      <c r="O762" s="15">
        <v>2</v>
      </c>
      <c r="P762" s="15">
        <v>1</v>
      </c>
      <c r="Q762" s="15" t="s">
        <v>32</v>
      </c>
      <c r="R762" s="15">
        <v>3</v>
      </c>
      <c r="S762" s="15" t="s">
        <v>28</v>
      </c>
      <c r="T762" s="15">
        <v>3388</v>
      </c>
      <c r="U762" s="15">
        <v>21777</v>
      </c>
      <c r="V762" s="15">
        <v>0</v>
      </c>
      <c r="W762" s="15" t="s">
        <v>29</v>
      </c>
      <c r="X762" s="15" t="s">
        <v>10</v>
      </c>
      <c r="Y762" s="15">
        <v>17</v>
      </c>
      <c r="Z762" s="15">
        <v>3</v>
      </c>
      <c r="AA762" s="15">
        <v>1</v>
      </c>
      <c r="AB762" s="15">
        <v>80</v>
      </c>
      <c r="AC762" s="15">
        <v>1</v>
      </c>
      <c r="AD762" s="15">
        <v>2</v>
      </c>
      <c r="AE762" s="15">
        <v>0</v>
      </c>
      <c r="AF762" s="15">
        <v>2</v>
      </c>
      <c r="AG762" s="15">
        <v>1</v>
      </c>
      <c r="AH762" s="15">
        <v>0</v>
      </c>
      <c r="AI762" s="15">
        <v>0</v>
      </c>
      <c r="AJ762" s="15">
        <v>0</v>
      </c>
    </row>
    <row r="763" spans="1:36" x14ac:dyDescent="0.25">
      <c r="A763">
        <v>34</v>
      </c>
      <c r="B763">
        <v>35</v>
      </c>
      <c r="C763" t="s">
        <v>9</v>
      </c>
      <c r="D763" t="s">
        <v>15</v>
      </c>
      <c r="E763">
        <v>982</v>
      </c>
      <c r="F763" t="s">
        <v>119</v>
      </c>
      <c r="G763">
        <v>1</v>
      </c>
      <c r="H763">
        <v>4</v>
      </c>
      <c r="I763" t="s">
        <v>17</v>
      </c>
      <c r="J763">
        <v>1</v>
      </c>
      <c r="K763">
        <v>1172</v>
      </c>
      <c r="L763">
        <v>4</v>
      </c>
      <c r="M763" t="s">
        <v>23</v>
      </c>
      <c r="N763">
        <v>58</v>
      </c>
      <c r="O763">
        <v>2</v>
      </c>
      <c r="P763">
        <v>1</v>
      </c>
      <c r="Q763" t="s">
        <v>36</v>
      </c>
      <c r="R763">
        <v>3</v>
      </c>
      <c r="S763" t="s">
        <v>28</v>
      </c>
      <c r="T763">
        <v>2258</v>
      </c>
      <c r="U763">
        <v>16340</v>
      </c>
      <c r="V763">
        <v>6</v>
      </c>
      <c r="W763" t="s">
        <v>29</v>
      </c>
      <c r="X763" t="s">
        <v>9</v>
      </c>
      <c r="Y763">
        <v>12</v>
      </c>
      <c r="Z763">
        <v>3</v>
      </c>
      <c r="AA763">
        <v>2</v>
      </c>
      <c r="AB763">
        <v>80</v>
      </c>
      <c r="AC763">
        <v>1</v>
      </c>
      <c r="AD763">
        <v>10</v>
      </c>
      <c r="AE763">
        <v>2</v>
      </c>
      <c r="AF763">
        <v>3</v>
      </c>
      <c r="AG763">
        <v>8</v>
      </c>
      <c r="AH763">
        <v>0</v>
      </c>
      <c r="AI763">
        <v>1</v>
      </c>
      <c r="AJ763">
        <v>7</v>
      </c>
    </row>
    <row r="764" spans="1:36" x14ac:dyDescent="0.25">
      <c r="A764">
        <v>226</v>
      </c>
      <c r="B764">
        <v>30</v>
      </c>
      <c r="C764" t="s">
        <v>9</v>
      </c>
      <c r="D764" t="s">
        <v>15</v>
      </c>
      <c r="E764">
        <v>911</v>
      </c>
      <c r="F764" t="s">
        <v>119</v>
      </c>
      <c r="G764">
        <v>1</v>
      </c>
      <c r="H764">
        <v>2</v>
      </c>
      <c r="I764" t="s">
        <v>17</v>
      </c>
      <c r="J764">
        <v>1</v>
      </c>
      <c r="K764">
        <v>1989</v>
      </c>
      <c r="L764">
        <v>4</v>
      </c>
      <c r="M764" t="s">
        <v>23</v>
      </c>
      <c r="N764">
        <v>76</v>
      </c>
      <c r="O764">
        <v>3</v>
      </c>
      <c r="P764">
        <v>1</v>
      </c>
      <c r="Q764" t="s">
        <v>36</v>
      </c>
      <c r="R764">
        <v>2</v>
      </c>
      <c r="S764" t="s">
        <v>28</v>
      </c>
      <c r="T764">
        <v>3748</v>
      </c>
      <c r="U764">
        <v>4077</v>
      </c>
      <c r="V764">
        <v>1</v>
      </c>
      <c r="W764" t="s">
        <v>29</v>
      </c>
      <c r="X764" t="s">
        <v>9</v>
      </c>
      <c r="Y764">
        <v>13</v>
      </c>
      <c r="Z764">
        <v>3</v>
      </c>
      <c r="AA764">
        <v>3</v>
      </c>
      <c r="AB764">
        <v>80</v>
      </c>
      <c r="AC764">
        <v>0</v>
      </c>
      <c r="AD764">
        <v>12</v>
      </c>
      <c r="AE764">
        <v>6</v>
      </c>
      <c r="AF764">
        <v>2</v>
      </c>
      <c r="AG764">
        <v>12</v>
      </c>
      <c r="AH764">
        <v>8</v>
      </c>
      <c r="AI764">
        <v>1</v>
      </c>
      <c r="AJ764">
        <v>7</v>
      </c>
    </row>
    <row r="765" spans="1:36" x14ac:dyDescent="0.25">
      <c r="A765">
        <v>296</v>
      </c>
      <c r="B765">
        <v>35</v>
      </c>
      <c r="C765" t="s">
        <v>9</v>
      </c>
      <c r="D765" t="s">
        <v>15</v>
      </c>
      <c r="E765">
        <v>1490</v>
      </c>
      <c r="F765" t="s">
        <v>119</v>
      </c>
      <c r="G765">
        <v>11</v>
      </c>
      <c r="H765">
        <v>4</v>
      </c>
      <c r="I765" t="s">
        <v>17</v>
      </c>
      <c r="J765">
        <v>1</v>
      </c>
      <c r="K765">
        <v>2003</v>
      </c>
      <c r="L765">
        <v>4</v>
      </c>
      <c r="M765" t="s">
        <v>23</v>
      </c>
      <c r="N765">
        <v>43</v>
      </c>
      <c r="O765">
        <v>3</v>
      </c>
      <c r="P765">
        <v>1</v>
      </c>
      <c r="Q765" t="s">
        <v>36</v>
      </c>
      <c r="R765">
        <v>3</v>
      </c>
      <c r="S765" t="s">
        <v>28</v>
      </c>
      <c r="T765">
        <v>2660</v>
      </c>
      <c r="U765">
        <v>20232</v>
      </c>
      <c r="V765">
        <v>7</v>
      </c>
      <c r="W765" t="s">
        <v>29</v>
      </c>
      <c r="X765" t="s">
        <v>10</v>
      </c>
      <c r="Y765">
        <v>11</v>
      </c>
      <c r="Z765">
        <v>3</v>
      </c>
      <c r="AA765">
        <v>3</v>
      </c>
      <c r="AB765">
        <v>80</v>
      </c>
      <c r="AC765">
        <v>1</v>
      </c>
      <c r="AD765">
        <v>5</v>
      </c>
      <c r="AE765">
        <v>3</v>
      </c>
      <c r="AF765">
        <v>3</v>
      </c>
      <c r="AG765">
        <v>2</v>
      </c>
      <c r="AH765">
        <v>2</v>
      </c>
      <c r="AI765">
        <v>2</v>
      </c>
      <c r="AJ765">
        <v>2</v>
      </c>
    </row>
    <row r="766" spans="1:36" x14ac:dyDescent="0.25">
      <c r="A766">
        <v>581</v>
      </c>
      <c r="B766">
        <v>25</v>
      </c>
      <c r="C766" t="s">
        <v>9</v>
      </c>
      <c r="D766" t="s">
        <v>15</v>
      </c>
      <c r="E766">
        <v>882</v>
      </c>
      <c r="F766" t="s">
        <v>119</v>
      </c>
      <c r="G766">
        <v>19</v>
      </c>
      <c r="H766">
        <v>1</v>
      </c>
      <c r="I766" t="s">
        <v>17</v>
      </c>
      <c r="J766">
        <v>1</v>
      </c>
      <c r="K766">
        <v>1358</v>
      </c>
      <c r="L766">
        <v>4</v>
      </c>
      <c r="M766" t="s">
        <v>23</v>
      </c>
      <c r="N766">
        <v>67</v>
      </c>
      <c r="O766">
        <v>3</v>
      </c>
      <c r="P766">
        <v>1</v>
      </c>
      <c r="Q766" t="s">
        <v>36</v>
      </c>
      <c r="R766">
        <v>4</v>
      </c>
      <c r="S766" t="s">
        <v>28</v>
      </c>
      <c r="T766">
        <v>3669</v>
      </c>
      <c r="U766">
        <v>9075</v>
      </c>
      <c r="V766">
        <v>3</v>
      </c>
      <c r="W766" t="s">
        <v>29</v>
      </c>
      <c r="X766" t="s">
        <v>9</v>
      </c>
      <c r="Y766">
        <v>11</v>
      </c>
      <c r="Z766">
        <v>3</v>
      </c>
      <c r="AA766">
        <v>3</v>
      </c>
      <c r="AB766">
        <v>80</v>
      </c>
      <c r="AC766">
        <v>3</v>
      </c>
      <c r="AD766">
        <v>7</v>
      </c>
      <c r="AE766">
        <v>6</v>
      </c>
      <c r="AF766">
        <v>2</v>
      </c>
      <c r="AG766">
        <v>3</v>
      </c>
      <c r="AH766">
        <v>2</v>
      </c>
      <c r="AI766">
        <v>1</v>
      </c>
      <c r="AJ766">
        <v>2</v>
      </c>
    </row>
    <row r="767" spans="1:36" x14ac:dyDescent="0.25">
      <c r="A767">
        <v>648</v>
      </c>
      <c r="B767">
        <v>26</v>
      </c>
      <c r="C767" t="s">
        <v>9</v>
      </c>
      <c r="D767" t="s">
        <v>15</v>
      </c>
      <c r="E767">
        <v>390</v>
      </c>
      <c r="F767" t="s">
        <v>119</v>
      </c>
      <c r="G767">
        <v>17</v>
      </c>
      <c r="H767">
        <v>4</v>
      </c>
      <c r="I767" t="s">
        <v>17</v>
      </c>
      <c r="J767">
        <v>1</v>
      </c>
      <c r="K767">
        <v>1718</v>
      </c>
      <c r="L767">
        <v>4</v>
      </c>
      <c r="M767" t="s">
        <v>23</v>
      </c>
      <c r="N767">
        <v>62</v>
      </c>
      <c r="O767">
        <v>1</v>
      </c>
      <c r="P767">
        <v>1</v>
      </c>
      <c r="Q767" t="s">
        <v>36</v>
      </c>
      <c r="R767">
        <v>3</v>
      </c>
      <c r="S767" t="s">
        <v>28</v>
      </c>
      <c r="T767">
        <v>2305</v>
      </c>
      <c r="U767">
        <v>6217</v>
      </c>
      <c r="V767">
        <v>1</v>
      </c>
      <c r="W767" t="s">
        <v>29</v>
      </c>
      <c r="X767" t="s">
        <v>9</v>
      </c>
      <c r="Y767">
        <v>15</v>
      </c>
      <c r="Z767">
        <v>3</v>
      </c>
      <c r="AA767">
        <v>3</v>
      </c>
      <c r="AB767">
        <v>80</v>
      </c>
      <c r="AC767">
        <v>3</v>
      </c>
      <c r="AD767">
        <v>3</v>
      </c>
      <c r="AE767">
        <v>3</v>
      </c>
      <c r="AF767">
        <v>4</v>
      </c>
      <c r="AG767">
        <v>3</v>
      </c>
      <c r="AH767">
        <v>2</v>
      </c>
      <c r="AI767">
        <v>0</v>
      </c>
      <c r="AJ767">
        <v>2</v>
      </c>
    </row>
    <row r="768" spans="1:36" x14ac:dyDescent="0.25">
      <c r="A768">
        <v>682</v>
      </c>
      <c r="B768">
        <v>43</v>
      </c>
      <c r="C768" t="s">
        <v>9</v>
      </c>
      <c r="D768" t="s">
        <v>11</v>
      </c>
      <c r="E768">
        <v>313</v>
      </c>
      <c r="F768" t="s">
        <v>119</v>
      </c>
      <c r="G768">
        <v>21</v>
      </c>
      <c r="H768">
        <v>3</v>
      </c>
      <c r="I768" t="s">
        <v>17</v>
      </c>
      <c r="J768">
        <v>1</v>
      </c>
      <c r="K768">
        <v>525</v>
      </c>
      <c r="L768">
        <v>4</v>
      </c>
      <c r="M768" t="s">
        <v>23</v>
      </c>
      <c r="N768">
        <v>61</v>
      </c>
      <c r="O768">
        <v>3</v>
      </c>
      <c r="P768">
        <v>1</v>
      </c>
      <c r="Q768" t="s">
        <v>36</v>
      </c>
      <c r="R768">
        <v>4</v>
      </c>
      <c r="S768" t="s">
        <v>28</v>
      </c>
      <c r="T768">
        <v>2258</v>
      </c>
      <c r="U768">
        <v>15238</v>
      </c>
      <c r="V768">
        <v>7</v>
      </c>
      <c r="W768" t="s">
        <v>29</v>
      </c>
      <c r="X768" t="s">
        <v>9</v>
      </c>
      <c r="Y768">
        <v>20</v>
      </c>
      <c r="Z768">
        <v>4</v>
      </c>
      <c r="AA768">
        <v>1</v>
      </c>
      <c r="AB768">
        <v>80</v>
      </c>
      <c r="AC768">
        <v>1</v>
      </c>
      <c r="AD768">
        <v>8</v>
      </c>
      <c r="AE768">
        <v>1</v>
      </c>
      <c r="AF768">
        <v>3</v>
      </c>
      <c r="AG768">
        <v>3</v>
      </c>
      <c r="AH768">
        <v>2</v>
      </c>
      <c r="AI768">
        <v>1</v>
      </c>
      <c r="AJ768">
        <v>2</v>
      </c>
    </row>
    <row r="769" spans="1:36" x14ac:dyDescent="0.25">
      <c r="A769">
        <v>833</v>
      </c>
      <c r="B769">
        <v>28</v>
      </c>
      <c r="C769" t="s">
        <v>9</v>
      </c>
      <c r="D769" t="s">
        <v>15</v>
      </c>
      <c r="E769">
        <v>1179</v>
      </c>
      <c r="F769" t="s">
        <v>119</v>
      </c>
      <c r="G769">
        <v>19</v>
      </c>
      <c r="H769">
        <v>4</v>
      </c>
      <c r="I769" t="s">
        <v>17</v>
      </c>
      <c r="J769">
        <v>1</v>
      </c>
      <c r="K769">
        <v>1216</v>
      </c>
      <c r="L769">
        <v>4</v>
      </c>
      <c r="M769" t="s">
        <v>23</v>
      </c>
      <c r="N769">
        <v>78</v>
      </c>
      <c r="O769">
        <v>2</v>
      </c>
      <c r="P769">
        <v>1</v>
      </c>
      <c r="Q769" t="s">
        <v>36</v>
      </c>
      <c r="R769">
        <v>1</v>
      </c>
      <c r="S769" t="s">
        <v>28</v>
      </c>
      <c r="T769">
        <v>3196</v>
      </c>
      <c r="U769">
        <v>12449</v>
      </c>
      <c r="V769">
        <v>1</v>
      </c>
      <c r="W769" t="s">
        <v>29</v>
      </c>
      <c r="X769" t="s">
        <v>9</v>
      </c>
      <c r="Y769">
        <v>12</v>
      </c>
      <c r="Z769">
        <v>3</v>
      </c>
      <c r="AA769">
        <v>3</v>
      </c>
      <c r="AB769">
        <v>80</v>
      </c>
      <c r="AC769">
        <v>3</v>
      </c>
      <c r="AD769">
        <v>6</v>
      </c>
      <c r="AE769">
        <v>2</v>
      </c>
      <c r="AF769">
        <v>3</v>
      </c>
      <c r="AG769">
        <v>6</v>
      </c>
      <c r="AH769">
        <v>5</v>
      </c>
      <c r="AI769">
        <v>3</v>
      </c>
      <c r="AJ769">
        <v>3</v>
      </c>
    </row>
    <row r="770" spans="1:36" x14ac:dyDescent="0.25">
      <c r="A770" s="15">
        <v>332</v>
      </c>
      <c r="B770" s="15">
        <v>32</v>
      </c>
      <c r="C770" s="15" t="s">
        <v>10</v>
      </c>
      <c r="D770" s="15" t="s">
        <v>15</v>
      </c>
      <c r="E770" s="15">
        <v>1045</v>
      </c>
      <c r="F770" s="15" t="s">
        <v>118</v>
      </c>
      <c r="G770" s="15">
        <v>4</v>
      </c>
      <c r="H770" s="15">
        <v>4</v>
      </c>
      <c r="I770" s="15" t="s">
        <v>17</v>
      </c>
      <c r="J770" s="15">
        <v>1</v>
      </c>
      <c r="K770" s="15">
        <v>291</v>
      </c>
      <c r="L770" s="15">
        <v>4</v>
      </c>
      <c r="M770" s="15" t="s">
        <v>23</v>
      </c>
      <c r="N770" s="15">
        <v>32</v>
      </c>
      <c r="O770" s="15">
        <v>1</v>
      </c>
      <c r="P770" s="15">
        <v>3</v>
      </c>
      <c r="Q770" s="15" t="s">
        <v>25</v>
      </c>
      <c r="R770" s="15">
        <v>4</v>
      </c>
      <c r="S770" s="15" t="s">
        <v>28</v>
      </c>
      <c r="T770" s="15">
        <v>10400</v>
      </c>
      <c r="U770" s="15">
        <v>25812</v>
      </c>
      <c r="V770" s="15">
        <v>1</v>
      </c>
      <c r="W770" s="15" t="s">
        <v>29</v>
      </c>
      <c r="X770" s="15" t="s">
        <v>9</v>
      </c>
      <c r="Y770" s="15">
        <v>11</v>
      </c>
      <c r="Z770" s="15">
        <v>3</v>
      </c>
      <c r="AA770" s="15">
        <v>3</v>
      </c>
      <c r="AB770" s="15">
        <v>80</v>
      </c>
      <c r="AC770" s="15">
        <v>0</v>
      </c>
      <c r="AD770" s="15">
        <v>14</v>
      </c>
      <c r="AE770" s="15">
        <v>2</v>
      </c>
      <c r="AF770" s="15">
        <v>2</v>
      </c>
      <c r="AG770" s="15">
        <v>14</v>
      </c>
      <c r="AH770" s="15">
        <v>8</v>
      </c>
      <c r="AI770" s="15">
        <v>9</v>
      </c>
      <c r="AJ770" s="15">
        <v>8</v>
      </c>
    </row>
    <row r="771" spans="1:36" x14ac:dyDescent="0.25">
      <c r="A771">
        <v>118</v>
      </c>
      <c r="B771">
        <v>29</v>
      </c>
      <c r="C771" t="s">
        <v>9</v>
      </c>
      <c r="D771" t="s">
        <v>15</v>
      </c>
      <c r="E771">
        <v>1378</v>
      </c>
      <c r="F771" t="s">
        <v>119</v>
      </c>
      <c r="G771">
        <v>13</v>
      </c>
      <c r="H771">
        <v>2</v>
      </c>
      <c r="I771" t="s">
        <v>19</v>
      </c>
      <c r="J771">
        <v>1</v>
      </c>
      <c r="K771">
        <v>2053</v>
      </c>
      <c r="L771">
        <v>4</v>
      </c>
      <c r="M771" t="s">
        <v>23</v>
      </c>
      <c r="N771">
        <v>46</v>
      </c>
      <c r="O771">
        <v>2</v>
      </c>
      <c r="P771">
        <v>2</v>
      </c>
      <c r="Q771" t="s">
        <v>36</v>
      </c>
      <c r="R771">
        <v>2</v>
      </c>
      <c r="S771" t="s">
        <v>28</v>
      </c>
      <c r="T771">
        <v>4025</v>
      </c>
      <c r="U771">
        <v>23679</v>
      </c>
      <c r="V771">
        <v>4</v>
      </c>
      <c r="W771" t="s">
        <v>29</v>
      </c>
      <c r="X771" t="s">
        <v>10</v>
      </c>
      <c r="Y771">
        <v>13</v>
      </c>
      <c r="Z771">
        <v>3</v>
      </c>
      <c r="AA771">
        <v>1</v>
      </c>
      <c r="AB771">
        <v>80</v>
      </c>
      <c r="AC771">
        <v>1</v>
      </c>
      <c r="AD771">
        <v>10</v>
      </c>
      <c r="AE771">
        <v>2</v>
      </c>
      <c r="AF771">
        <v>3</v>
      </c>
      <c r="AG771">
        <v>4</v>
      </c>
      <c r="AH771">
        <v>3</v>
      </c>
      <c r="AI771">
        <v>0</v>
      </c>
      <c r="AJ771">
        <v>3</v>
      </c>
    </row>
    <row r="772" spans="1:36" x14ac:dyDescent="0.25">
      <c r="A772">
        <v>200</v>
      </c>
      <c r="B772">
        <v>24</v>
      </c>
      <c r="C772" t="s">
        <v>9</v>
      </c>
      <c r="D772" t="s">
        <v>15</v>
      </c>
      <c r="E772">
        <v>823</v>
      </c>
      <c r="F772" t="s">
        <v>119</v>
      </c>
      <c r="G772">
        <v>17</v>
      </c>
      <c r="H772">
        <v>2</v>
      </c>
      <c r="I772" t="s">
        <v>19</v>
      </c>
      <c r="J772">
        <v>1</v>
      </c>
      <c r="K772">
        <v>643</v>
      </c>
      <c r="L772">
        <v>4</v>
      </c>
      <c r="M772" t="s">
        <v>23</v>
      </c>
      <c r="N772">
        <v>94</v>
      </c>
      <c r="O772">
        <v>2</v>
      </c>
      <c r="P772">
        <v>1</v>
      </c>
      <c r="Q772" t="s">
        <v>36</v>
      </c>
      <c r="R772">
        <v>2</v>
      </c>
      <c r="S772" t="s">
        <v>28</v>
      </c>
      <c r="T772">
        <v>2127</v>
      </c>
      <c r="U772">
        <v>9100</v>
      </c>
      <c r="V772">
        <v>1</v>
      </c>
      <c r="W772" t="s">
        <v>29</v>
      </c>
      <c r="X772" t="s">
        <v>9</v>
      </c>
      <c r="Y772">
        <v>21</v>
      </c>
      <c r="Z772">
        <v>4</v>
      </c>
      <c r="AA772">
        <v>4</v>
      </c>
      <c r="AB772">
        <v>80</v>
      </c>
      <c r="AC772">
        <v>1</v>
      </c>
      <c r="AD772">
        <v>1</v>
      </c>
      <c r="AE772">
        <v>2</v>
      </c>
      <c r="AF772">
        <v>3</v>
      </c>
      <c r="AG772">
        <v>1</v>
      </c>
      <c r="AH772">
        <v>0</v>
      </c>
      <c r="AI772">
        <v>0</v>
      </c>
      <c r="AJ772">
        <v>0</v>
      </c>
    </row>
    <row r="773" spans="1:36" x14ac:dyDescent="0.25">
      <c r="A773">
        <v>636</v>
      </c>
      <c r="B773">
        <v>35</v>
      </c>
      <c r="C773" t="s">
        <v>9</v>
      </c>
      <c r="D773" t="s">
        <v>11</v>
      </c>
      <c r="E773">
        <v>636</v>
      </c>
      <c r="F773" t="s">
        <v>119</v>
      </c>
      <c r="G773">
        <v>4</v>
      </c>
      <c r="H773">
        <v>4</v>
      </c>
      <c r="I773" t="s">
        <v>19</v>
      </c>
      <c r="J773">
        <v>1</v>
      </c>
      <c r="K773">
        <v>1185</v>
      </c>
      <c r="L773">
        <v>4</v>
      </c>
      <c r="M773" t="s">
        <v>23</v>
      </c>
      <c r="N773">
        <v>47</v>
      </c>
      <c r="O773">
        <v>2</v>
      </c>
      <c r="P773">
        <v>1</v>
      </c>
      <c r="Q773" t="s">
        <v>36</v>
      </c>
      <c r="R773">
        <v>4</v>
      </c>
      <c r="S773" t="s">
        <v>28</v>
      </c>
      <c r="T773">
        <v>2376</v>
      </c>
      <c r="U773">
        <v>26537</v>
      </c>
      <c r="V773">
        <v>1</v>
      </c>
      <c r="W773" t="s">
        <v>29</v>
      </c>
      <c r="X773" t="s">
        <v>9</v>
      </c>
      <c r="Y773">
        <v>13</v>
      </c>
      <c r="Z773">
        <v>3</v>
      </c>
      <c r="AA773">
        <v>2</v>
      </c>
      <c r="AB773">
        <v>80</v>
      </c>
      <c r="AC773">
        <v>1</v>
      </c>
      <c r="AD773">
        <v>2</v>
      </c>
      <c r="AE773">
        <v>2</v>
      </c>
      <c r="AF773">
        <v>4</v>
      </c>
      <c r="AG773">
        <v>2</v>
      </c>
      <c r="AH773">
        <v>2</v>
      </c>
      <c r="AI773">
        <v>2</v>
      </c>
      <c r="AJ773">
        <v>2</v>
      </c>
    </row>
    <row r="774" spans="1:36" x14ac:dyDescent="0.25">
      <c r="A774">
        <v>551</v>
      </c>
      <c r="B774">
        <v>41</v>
      </c>
      <c r="C774" t="s">
        <v>9</v>
      </c>
      <c r="D774" t="s">
        <v>15</v>
      </c>
      <c r="E774">
        <v>314</v>
      </c>
      <c r="F774" t="s">
        <v>20</v>
      </c>
      <c r="G774">
        <v>1</v>
      </c>
      <c r="H774">
        <v>3</v>
      </c>
      <c r="I774" t="s">
        <v>20</v>
      </c>
      <c r="J774">
        <v>1</v>
      </c>
      <c r="K774">
        <v>734</v>
      </c>
      <c r="L774">
        <v>4</v>
      </c>
      <c r="M774" t="s">
        <v>23</v>
      </c>
      <c r="N774">
        <v>59</v>
      </c>
      <c r="O774">
        <v>2</v>
      </c>
      <c r="P774">
        <v>5</v>
      </c>
      <c r="Q774" t="s">
        <v>35</v>
      </c>
      <c r="R774">
        <v>3</v>
      </c>
      <c r="S774" t="s">
        <v>28</v>
      </c>
      <c r="T774">
        <v>19189</v>
      </c>
      <c r="U774">
        <v>19562</v>
      </c>
      <c r="V774">
        <v>1</v>
      </c>
      <c r="W774" t="s">
        <v>29</v>
      </c>
      <c r="X774" t="s">
        <v>9</v>
      </c>
      <c r="Y774">
        <v>12</v>
      </c>
      <c r="Z774">
        <v>3</v>
      </c>
      <c r="AA774">
        <v>2</v>
      </c>
      <c r="AB774">
        <v>80</v>
      </c>
      <c r="AC774">
        <v>1</v>
      </c>
      <c r="AD774">
        <v>22</v>
      </c>
      <c r="AE774">
        <v>3</v>
      </c>
      <c r="AF774">
        <v>3</v>
      </c>
      <c r="AG774">
        <v>22</v>
      </c>
      <c r="AH774">
        <v>7</v>
      </c>
      <c r="AI774">
        <v>2</v>
      </c>
      <c r="AJ774">
        <v>10</v>
      </c>
    </row>
    <row r="775" spans="1:36" x14ac:dyDescent="0.25">
      <c r="A775">
        <v>112</v>
      </c>
      <c r="B775">
        <v>52</v>
      </c>
      <c r="C775" t="s">
        <v>9</v>
      </c>
      <c r="D775" t="s">
        <v>15</v>
      </c>
      <c r="E775">
        <v>1053</v>
      </c>
      <c r="F775" t="s">
        <v>119</v>
      </c>
      <c r="G775">
        <v>1</v>
      </c>
      <c r="H775">
        <v>2</v>
      </c>
      <c r="I775" t="s">
        <v>21</v>
      </c>
      <c r="J775">
        <v>1</v>
      </c>
      <c r="K775">
        <v>976</v>
      </c>
      <c r="L775">
        <v>4</v>
      </c>
      <c r="M775" t="s">
        <v>23</v>
      </c>
      <c r="N775">
        <v>70</v>
      </c>
      <c r="O775">
        <v>3</v>
      </c>
      <c r="P775">
        <v>4</v>
      </c>
      <c r="Q775" t="s">
        <v>35</v>
      </c>
      <c r="R775">
        <v>4</v>
      </c>
      <c r="S775" t="s">
        <v>28</v>
      </c>
      <c r="T775">
        <v>17099</v>
      </c>
      <c r="U775">
        <v>13829</v>
      </c>
      <c r="V775">
        <v>2</v>
      </c>
      <c r="W775" t="s">
        <v>29</v>
      </c>
      <c r="X775" t="s">
        <v>9</v>
      </c>
      <c r="Y775">
        <v>15</v>
      </c>
      <c r="Z775">
        <v>3</v>
      </c>
      <c r="AA775">
        <v>2</v>
      </c>
      <c r="AB775">
        <v>80</v>
      </c>
      <c r="AC775">
        <v>1</v>
      </c>
      <c r="AD775">
        <v>26</v>
      </c>
      <c r="AE775">
        <v>2</v>
      </c>
      <c r="AF775">
        <v>2</v>
      </c>
      <c r="AG775">
        <v>9</v>
      </c>
      <c r="AH775">
        <v>8</v>
      </c>
      <c r="AI775">
        <v>7</v>
      </c>
      <c r="AJ775">
        <v>8</v>
      </c>
    </row>
    <row r="776" spans="1:36" x14ac:dyDescent="0.25">
      <c r="A776">
        <v>212</v>
      </c>
      <c r="B776">
        <v>42</v>
      </c>
      <c r="C776" t="s">
        <v>9</v>
      </c>
      <c r="D776" t="s">
        <v>15</v>
      </c>
      <c r="E776">
        <v>265</v>
      </c>
      <c r="F776" t="s">
        <v>118</v>
      </c>
      <c r="G776">
        <v>5</v>
      </c>
      <c r="H776">
        <v>2</v>
      </c>
      <c r="I776" t="s">
        <v>18</v>
      </c>
      <c r="J776">
        <v>1</v>
      </c>
      <c r="K776">
        <v>1029</v>
      </c>
      <c r="L776">
        <v>4</v>
      </c>
      <c r="M776" t="s">
        <v>23</v>
      </c>
      <c r="N776">
        <v>90</v>
      </c>
      <c r="O776">
        <v>3</v>
      </c>
      <c r="P776">
        <v>5</v>
      </c>
      <c r="Q776" t="s">
        <v>35</v>
      </c>
      <c r="R776">
        <v>3</v>
      </c>
      <c r="S776" t="s">
        <v>28</v>
      </c>
      <c r="T776">
        <v>18303</v>
      </c>
      <c r="U776">
        <v>7770</v>
      </c>
      <c r="V776">
        <v>6</v>
      </c>
      <c r="W776" t="s">
        <v>29</v>
      </c>
      <c r="X776" t="s">
        <v>9</v>
      </c>
      <c r="Y776">
        <v>13</v>
      </c>
      <c r="Z776">
        <v>3</v>
      </c>
      <c r="AA776">
        <v>2</v>
      </c>
      <c r="AB776">
        <v>80</v>
      </c>
      <c r="AC776">
        <v>0</v>
      </c>
      <c r="AD776">
        <v>21</v>
      </c>
      <c r="AE776">
        <v>3</v>
      </c>
      <c r="AF776">
        <v>4</v>
      </c>
      <c r="AG776">
        <v>1</v>
      </c>
      <c r="AH776">
        <v>0</v>
      </c>
      <c r="AI776">
        <v>0</v>
      </c>
      <c r="AJ776">
        <v>0</v>
      </c>
    </row>
    <row r="777" spans="1:36" x14ac:dyDescent="0.25">
      <c r="A777">
        <v>637</v>
      </c>
      <c r="B777">
        <v>42</v>
      </c>
      <c r="C777" t="s">
        <v>9</v>
      </c>
      <c r="D777" t="s">
        <v>15</v>
      </c>
      <c r="E777">
        <v>469</v>
      </c>
      <c r="F777" t="s">
        <v>119</v>
      </c>
      <c r="G777">
        <v>2</v>
      </c>
      <c r="H777">
        <v>2</v>
      </c>
      <c r="I777" t="s">
        <v>17</v>
      </c>
      <c r="J777">
        <v>1</v>
      </c>
      <c r="K777">
        <v>1109</v>
      </c>
      <c r="L777">
        <v>4</v>
      </c>
      <c r="M777" t="s">
        <v>23</v>
      </c>
      <c r="N777">
        <v>35</v>
      </c>
      <c r="O777">
        <v>3</v>
      </c>
      <c r="P777">
        <v>4</v>
      </c>
      <c r="Q777" t="s">
        <v>35</v>
      </c>
      <c r="R777">
        <v>1</v>
      </c>
      <c r="S777" t="s">
        <v>28</v>
      </c>
      <c r="T777">
        <v>17665</v>
      </c>
      <c r="U777">
        <v>14399</v>
      </c>
      <c r="V777">
        <v>0</v>
      </c>
      <c r="W777" t="s">
        <v>29</v>
      </c>
      <c r="X777" t="s">
        <v>9</v>
      </c>
      <c r="Y777">
        <v>17</v>
      </c>
      <c r="Z777">
        <v>3</v>
      </c>
      <c r="AA777">
        <v>4</v>
      </c>
      <c r="AB777">
        <v>80</v>
      </c>
      <c r="AC777">
        <v>1</v>
      </c>
      <c r="AD777">
        <v>23</v>
      </c>
      <c r="AE777">
        <v>3</v>
      </c>
      <c r="AF777">
        <v>3</v>
      </c>
      <c r="AG777">
        <v>22</v>
      </c>
      <c r="AH777">
        <v>6</v>
      </c>
      <c r="AI777">
        <v>13</v>
      </c>
      <c r="AJ777">
        <v>7</v>
      </c>
    </row>
    <row r="778" spans="1:36" x14ac:dyDescent="0.25">
      <c r="A778">
        <v>82</v>
      </c>
      <c r="B778">
        <v>35</v>
      </c>
      <c r="C778" t="s">
        <v>9</v>
      </c>
      <c r="D778" t="s">
        <v>15</v>
      </c>
      <c r="E778">
        <v>1370</v>
      </c>
      <c r="F778" t="s">
        <v>119</v>
      </c>
      <c r="G778">
        <v>27</v>
      </c>
      <c r="H778">
        <v>4</v>
      </c>
      <c r="I778" t="s">
        <v>21</v>
      </c>
      <c r="J778">
        <v>1</v>
      </c>
      <c r="K778">
        <v>1728</v>
      </c>
      <c r="L778">
        <v>4</v>
      </c>
      <c r="M778" t="s">
        <v>23</v>
      </c>
      <c r="N778">
        <v>49</v>
      </c>
      <c r="O778">
        <v>3</v>
      </c>
      <c r="P778">
        <v>2</v>
      </c>
      <c r="Q778" t="s">
        <v>31</v>
      </c>
      <c r="R778">
        <v>3</v>
      </c>
      <c r="S778" t="s">
        <v>28</v>
      </c>
      <c r="T778">
        <v>6883</v>
      </c>
      <c r="U778">
        <v>5151</v>
      </c>
      <c r="V778">
        <v>2</v>
      </c>
      <c r="W778" t="s">
        <v>29</v>
      </c>
      <c r="X778" t="s">
        <v>9</v>
      </c>
      <c r="Y778">
        <v>16</v>
      </c>
      <c r="Z778">
        <v>3</v>
      </c>
      <c r="AA778">
        <v>2</v>
      </c>
      <c r="AB778">
        <v>80</v>
      </c>
      <c r="AC778">
        <v>1</v>
      </c>
      <c r="AD778">
        <v>17</v>
      </c>
      <c r="AE778">
        <v>3</v>
      </c>
      <c r="AF778">
        <v>3</v>
      </c>
      <c r="AG778">
        <v>7</v>
      </c>
      <c r="AH778">
        <v>7</v>
      </c>
      <c r="AI778">
        <v>0</v>
      </c>
      <c r="AJ778">
        <v>7</v>
      </c>
    </row>
    <row r="779" spans="1:36" x14ac:dyDescent="0.25">
      <c r="A779">
        <v>141</v>
      </c>
      <c r="B779">
        <v>56</v>
      </c>
      <c r="C779" t="s">
        <v>9</v>
      </c>
      <c r="D779" t="s">
        <v>15</v>
      </c>
      <c r="E779">
        <v>1369</v>
      </c>
      <c r="F779" t="s">
        <v>119</v>
      </c>
      <c r="G779">
        <v>23</v>
      </c>
      <c r="H779">
        <v>3</v>
      </c>
      <c r="I779" t="s">
        <v>21</v>
      </c>
      <c r="J779">
        <v>1</v>
      </c>
      <c r="K779">
        <v>1373</v>
      </c>
      <c r="L779">
        <v>4</v>
      </c>
      <c r="M779" t="s">
        <v>23</v>
      </c>
      <c r="N779">
        <v>68</v>
      </c>
      <c r="O779">
        <v>3</v>
      </c>
      <c r="P779">
        <v>4</v>
      </c>
      <c r="Q779" t="s">
        <v>31</v>
      </c>
      <c r="R779">
        <v>2</v>
      </c>
      <c r="S779" t="s">
        <v>28</v>
      </c>
      <c r="T779">
        <v>13402</v>
      </c>
      <c r="U779">
        <v>18235</v>
      </c>
      <c r="V779">
        <v>4</v>
      </c>
      <c r="W779" t="s">
        <v>29</v>
      </c>
      <c r="X779" t="s">
        <v>10</v>
      </c>
      <c r="Y779">
        <v>12</v>
      </c>
      <c r="Z779">
        <v>3</v>
      </c>
      <c r="AA779">
        <v>1</v>
      </c>
      <c r="AB779">
        <v>80</v>
      </c>
      <c r="AC779">
        <v>1</v>
      </c>
      <c r="AD779">
        <v>33</v>
      </c>
      <c r="AE779">
        <v>0</v>
      </c>
      <c r="AF779">
        <v>3</v>
      </c>
      <c r="AG779">
        <v>19</v>
      </c>
      <c r="AH779">
        <v>16</v>
      </c>
      <c r="AI779">
        <v>15</v>
      </c>
      <c r="AJ779">
        <v>9</v>
      </c>
    </row>
    <row r="780" spans="1:36" x14ac:dyDescent="0.25">
      <c r="A780">
        <v>297</v>
      </c>
      <c r="B780">
        <v>34</v>
      </c>
      <c r="C780" t="s">
        <v>9</v>
      </c>
      <c r="D780" t="s">
        <v>11</v>
      </c>
      <c r="E780">
        <v>1069</v>
      </c>
      <c r="F780" t="s">
        <v>119</v>
      </c>
      <c r="G780">
        <v>2</v>
      </c>
      <c r="H780">
        <v>1</v>
      </c>
      <c r="I780" t="s">
        <v>21</v>
      </c>
      <c r="J780">
        <v>1</v>
      </c>
      <c r="K780">
        <v>256</v>
      </c>
      <c r="L780">
        <v>4</v>
      </c>
      <c r="M780" t="s">
        <v>23</v>
      </c>
      <c r="N780">
        <v>45</v>
      </c>
      <c r="O780">
        <v>2</v>
      </c>
      <c r="P780">
        <v>2</v>
      </c>
      <c r="Q780" t="s">
        <v>31</v>
      </c>
      <c r="R780">
        <v>3</v>
      </c>
      <c r="S780" t="s">
        <v>28</v>
      </c>
      <c r="T780">
        <v>9547</v>
      </c>
      <c r="U780">
        <v>14074</v>
      </c>
      <c r="V780">
        <v>1</v>
      </c>
      <c r="W780" t="s">
        <v>29</v>
      </c>
      <c r="X780" t="s">
        <v>9</v>
      </c>
      <c r="Y780">
        <v>17</v>
      </c>
      <c r="Z780">
        <v>3</v>
      </c>
      <c r="AA780">
        <v>3</v>
      </c>
      <c r="AB780">
        <v>80</v>
      </c>
      <c r="AC780">
        <v>0</v>
      </c>
      <c r="AD780">
        <v>10</v>
      </c>
      <c r="AE780">
        <v>2</v>
      </c>
      <c r="AF780">
        <v>2</v>
      </c>
      <c r="AG780">
        <v>10</v>
      </c>
      <c r="AH780">
        <v>9</v>
      </c>
      <c r="AI780">
        <v>1</v>
      </c>
      <c r="AJ780">
        <v>9</v>
      </c>
    </row>
    <row r="781" spans="1:36" x14ac:dyDescent="0.25">
      <c r="A781">
        <v>430</v>
      </c>
      <c r="B781">
        <v>34</v>
      </c>
      <c r="C781" t="s">
        <v>9</v>
      </c>
      <c r="D781" t="s">
        <v>15</v>
      </c>
      <c r="E781">
        <v>470</v>
      </c>
      <c r="F781" t="s">
        <v>119</v>
      </c>
      <c r="G781">
        <v>2</v>
      </c>
      <c r="H781">
        <v>4</v>
      </c>
      <c r="I781" t="s">
        <v>21</v>
      </c>
      <c r="J781">
        <v>1</v>
      </c>
      <c r="K781">
        <v>339</v>
      </c>
      <c r="L781">
        <v>4</v>
      </c>
      <c r="M781" t="s">
        <v>23</v>
      </c>
      <c r="N781">
        <v>84</v>
      </c>
      <c r="O781">
        <v>2</v>
      </c>
      <c r="P781">
        <v>2</v>
      </c>
      <c r="Q781" t="s">
        <v>31</v>
      </c>
      <c r="R781">
        <v>1</v>
      </c>
      <c r="S781" t="s">
        <v>28</v>
      </c>
      <c r="T781">
        <v>5957</v>
      </c>
      <c r="U781">
        <v>23687</v>
      </c>
      <c r="V781">
        <v>6</v>
      </c>
      <c r="W781" t="s">
        <v>29</v>
      </c>
      <c r="X781" t="s">
        <v>9</v>
      </c>
      <c r="Y781">
        <v>13</v>
      </c>
      <c r="Z781">
        <v>3</v>
      </c>
      <c r="AA781">
        <v>2</v>
      </c>
      <c r="AB781">
        <v>80</v>
      </c>
      <c r="AC781">
        <v>1</v>
      </c>
      <c r="AD781">
        <v>13</v>
      </c>
      <c r="AE781">
        <v>3</v>
      </c>
      <c r="AF781">
        <v>3</v>
      </c>
      <c r="AG781">
        <v>11</v>
      </c>
      <c r="AH781">
        <v>9</v>
      </c>
      <c r="AI781">
        <v>5</v>
      </c>
      <c r="AJ781">
        <v>9</v>
      </c>
    </row>
    <row r="782" spans="1:36" x14ac:dyDescent="0.25">
      <c r="A782">
        <v>544</v>
      </c>
      <c r="B782">
        <v>38</v>
      </c>
      <c r="C782" t="s">
        <v>9</v>
      </c>
      <c r="D782" t="s">
        <v>15</v>
      </c>
      <c r="E782">
        <v>1261</v>
      </c>
      <c r="F782" t="s">
        <v>119</v>
      </c>
      <c r="G782">
        <v>2</v>
      </c>
      <c r="H782">
        <v>4</v>
      </c>
      <c r="I782" t="s">
        <v>21</v>
      </c>
      <c r="J782">
        <v>1</v>
      </c>
      <c r="K782">
        <v>271</v>
      </c>
      <c r="L782">
        <v>4</v>
      </c>
      <c r="M782" t="s">
        <v>23</v>
      </c>
      <c r="N782">
        <v>88</v>
      </c>
      <c r="O782">
        <v>3</v>
      </c>
      <c r="P782">
        <v>2</v>
      </c>
      <c r="Q782" t="s">
        <v>31</v>
      </c>
      <c r="R782">
        <v>3</v>
      </c>
      <c r="S782" t="s">
        <v>28</v>
      </c>
      <c r="T782">
        <v>6553</v>
      </c>
      <c r="U782">
        <v>7259</v>
      </c>
      <c r="V782">
        <v>9</v>
      </c>
      <c r="W782" t="s">
        <v>29</v>
      </c>
      <c r="X782" t="s">
        <v>9</v>
      </c>
      <c r="Y782">
        <v>14</v>
      </c>
      <c r="Z782">
        <v>3</v>
      </c>
      <c r="AA782">
        <v>2</v>
      </c>
      <c r="AB782">
        <v>80</v>
      </c>
      <c r="AC782">
        <v>0</v>
      </c>
      <c r="AD782">
        <v>14</v>
      </c>
      <c r="AE782">
        <v>3</v>
      </c>
      <c r="AF782">
        <v>3</v>
      </c>
      <c r="AG782">
        <v>1</v>
      </c>
      <c r="AH782">
        <v>0</v>
      </c>
      <c r="AI782">
        <v>0</v>
      </c>
      <c r="AJ782">
        <v>0</v>
      </c>
    </row>
    <row r="783" spans="1:36" x14ac:dyDescent="0.25">
      <c r="A783">
        <v>570</v>
      </c>
      <c r="B783">
        <v>50</v>
      </c>
      <c r="C783" t="s">
        <v>9</v>
      </c>
      <c r="D783" t="s">
        <v>15</v>
      </c>
      <c r="E783">
        <v>939</v>
      </c>
      <c r="F783" t="s">
        <v>119</v>
      </c>
      <c r="G783">
        <v>24</v>
      </c>
      <c r="H783">
        <v>3</v>
      </c>
      <c r="I783" t="s">
        <v>21</v>
      </c>
      <c r="J783">
        <v>1</v>
      </c>
      <c r="K783">
        <v>1005</v>
      </c>
      <c r="L783">
        <v>4</v>
      </c>
      <c r="M783" t="s">
        <v>23</v>
      </c>
      <c r="N783">
        <v>95</v>
      </c>
      <c r="O783">
        <v>3</v>
      </c>
      <c r="P783">
        <v>4</v>
      </c>
      <c r="Q783" t="s">
        <v>31</v>
      </c>
      <c r="R783">
        <v>3</v>
      </c>
      <c r="S783" t="s">
        <v>28</v>
      </c>
      <c r="T783">
        <v>13973</v>
      </c>
      <c r="U783">
        <v>4161</v>
      </c>
      <c r="V783">
        <v>3</v>
      </c>
      <c r="W783" t="s">
        <v>29</v>
      </c>
      <c r="X783" t="s">
        <v>10</v>
      </c>
      <c r="Y783">
        <v>18</v>
      </c>
      <c r="Z783">
        <v>3</v>
      </c>
      <c r="AA783">
        <v>4</v>
      </c>
      <c r="AB783">
        <v>80</v>
      </c>
      <c r="AC783">
        <v>1</v>
      </c>
      <c r="AD783">
        <v>22</v>
      </c>
      <c r="AE783">
        <v>2</v>
      </c>
      <c r="AF783">
        <v>3</v>
      </c>
      <c r="AG783">
        <v>12</v>
      </c>
      <c r="AH783">
        <v>11</v>
      </c>
      <c r="AI783">
        <v>1</v>
      </c>
      <c r="AJ783">
        <v>5</v>
      </c>
    </row>
    <row r="784" spans="1:36" x14ac:dyDescent="0.25">
      <c r="A784">
        <v>629</v>
      </c>
      <c r="B784">
        <v>55</v>
      </c>
      <c r="C784" t="s">
        <v>9</v>
      </c>
      <c r="D784" t="s">
        <v>11</v>
      </c>
      <c r="E784">
        <v>1091</v>
      </c>
      <c r="F784" t="s">
        <v>119</v>
      </c>
      <c r="G784">
        <v>2</v>
      </c>
      <c r="H784">
        <v>1</v>
      </c>
      <c r="I784" t="s">
        <v>21</v>
      </c>
      <c r="J784">
        <v>1</v>
      </c>
      <c r="K784">
        <v>1096</v>
      </c>
      <c r="L784">
        <v>4</v>
      </c>
      <c r="M784" t="s">
        <v>23</v>
      </c>
      <c r="N784">
        <v>65</v>
      </c>
      <c r="O784">
        <v>3</v>
      </c>
      <c r="P784">
        <v>3</v>
      </c>
      <c r="Q784" t="s">
        <v>31</v>
      </c>
      <c r="R784">
        <v>2</v>
      </c>
      <c r="S784" t="s">
        <v>28</v>
      </c>
      <c r="T784">
        <v>10976</v>
      </c>
      <c r="U784">
        <v>15813</v>
      </c>
      <c r="V784">
        <v>3</v>
      </c>
      <c r="W784" t="s">
        <v>29</v>
      </c>
      <c r="X784" t="s">
        <v>9</v>
      </c>
      <c r="Y784">
        <v>18</v>
      </c>
      <c r="Z784">
        <v>3</v>
      </c>
      <c r="AA784">
        <v>2</v>
      </c>
      <c r="AB784">
        <v>80</v>
      </c>
      <c r="AC784">
        <v>1</v>
      </c>
      <c r="AD784">
        <v>23</v>
      </c>
      <c r="AE784">
        <v>4</v>
      </c>
      <c r="AF784">
        <v>3</v>
      </c>
      <c r="AG784">
        <v>3</v>
      </c>
      <c r="AH784">
        <v>2</v>
      </c>
      <c r="AI784">
        <v>1</v>
      </c>
      <c r="AJ784">
        <v>2</v>
      </c>
    </row>
    <row r="785" spans="1:36" x14ac:dyDescent="0.25">
      <c r="A785">
        <v>134</v>
      </c>
      <c r="B785">
        <v>39</v>
      </c>
      <c r="C785" t="s">
        <v>9</v>
      </c>
      <c r="D785" t="s">
        <v>15</v>
      </c>
      <c r="E785">
        <v>492</v>
      </c>
      <c r="F785" t="s">
        <v>119</v>
      </c>
      <c r="G785">
        <v>12</v>
      </c>
      <c r="H785">
        <v>3</v>
      </c>
      <c r="I785" t="s">
        <v>17</v>
      </c>
      <c r="J785">
        <v>1</v>
      </c>
      <c r="K785">
        <v>1654</v>
      </c>
      <c r="L785">
        <v>4</v>
      </c>
      <c r="M785" t="s">
        <v>23</v>
      </c>
      <c r="N785">
        <v>66</v>
      </c>
      <c r="O785">
        <v>3</v>
      </c>
      <c r="P785">
        <v>2</v>
      </c>
      <c r="Q785" t="s">
        <v>31</v>
      </c>
      <c r="R785">
        <v>2</v>
      </c>
      <c r="S785" t="s">
        <v>28</v>
      </c>
      <c r="T785">
        <v>5295</v>
      </c>
      <c r="U785">
        <v>7693</v>
      </c>
      <c r="V785">
        <v>4</v>
      </c>
      <c r="W785" t="s">
        <v>29</v>
      </c>
      <c r="X785" t="s">
        <v>9</v>
      </c>
      <c r="Y785">
        <v>21</v>
      </c>
      <c r="Z785">
        <v>4</v>
      </c>
      <c r="AA785">
        <v>3</v>
      </c>
      <c r="AB785">
        <v>80</v>
      </c>
      <c r="AC785">
        <v>0</v>
      </c>
      <c r="AD785">
        <v>7</v>
      </c>
      <c r="AE785">
        <v>3</v>
      </c>
      <c r="AF785">
        <v>3</v>
      </c>
      <c r="AG785">
        <v>5</v>
      </c>
      <c r="AH785">
        <v>4</v>
      </c>
      <c r="AI785">
        <v>1</v>
      </c>
      <c r="AJ785">
        <v>0</v>
      </c>
    </row>
    <row r="786" spans="1:36" x14ac:dyDescent="0.25">
      <c r="A786">
        <v>241</v>
      </c>
      <c r="B786">
        <v>42</v>
      </c>
      <c r="C786" t="s">
        <v>9</v>
      </c>
      <c r="D786" t="s">
        <v>15</v>
      </c>
      <c r="E786">
        <v>319</v>
      </c>
      <c r="F786" t="s">
        <v>119</v>
      </c>
      <c r="G786">
        <v>24</v>
      </c>
      <c r="H786">
        <v>3</v>
      </c>
      <c r="I786" t="s">
        <v>17</v>
      </c>
      <c r="J786">
        <v>1</v>
      </c>
      <c r="K786">
        <v>605</v>
      </c>
      <c r="L786">
        <v>4</v>
      </c>
      <c r="M786" t="s">
        <v>23</v>
      </c>
      <c r="N786">
        <v>56</v>
      </c>
      <c r="O786">
        <v>3</v>
      </c>
      <c r="P786">
        <v>3</v>
      </c>
      <c r="Q786" t="s">
        <v>31</v>
      </c>
      <c r="R786">
        <v>1</v>
      </c>
      <c r="S786" t="s">
        <v>28</v>
      </c>
      <c r="T786">
        <v>7406</v>
      </c>
      <c r="U786">
        <v>6950</v>
      </c>
      <c r="V786">
        <v>1</v>
      </c>
      <c r="W786" t="s">
        <v>29</v>
      </c>
      <c r="X786" t="s">
        <v>10</v>
      </c>
      <c r="Y786">
        <v>21</v>
      </c>
      <c r="Z786">
        <v>4</v>
      </c>
      <c r="AA786">
        <v>4</v>
      </c>
      <c r="AB786">
        <v>80</v>
      </c>
      <c r="AC786">
        <v>1</v>
      </c>
      <c r="AD786">
        <v>10</v>
      </c>
      <c r="AE786">
        <v>5</v>
      </c>
      <c r="AF786">
        <v>2</v>
      </c>
      <c r="AG786">
        <v>10</v>
      </c>
      <c r="AH786">
        <v>9</v>
      </c>
      <c r="AI786">
        <v>5</v>
      </c>
      <c r="AJ786">
        <v>8</v>
      </c>
    </row>
    <row r="787" spans="1:36" x14ac:dyDescent="0.25">
      <c r="A787">
        <v>107</v>
      </c>
      <c r="B787">
        <v>29</v>
      </c>
      <c r="C787" t="s">
        <v>9</v>
      </c>
      <c r="D787" t="s">
        <v>16</v>
      </c>
      <c r="E787">
        <v>1496</v>
      </c>
      <c r="F787" t="s">
        <v>119</v>
      </c>
      <c r="G787">
        <v>1</v>
      </c>
      <c r="H787">
        <v>1</v>
      </c>
      <c r="I787" t="s">
        <v>22</v>
      </c>
      <c r="J787">
        <v>1</v>
      </c>
      <c r="K787">
        <v>208</v>
      </c>
      <c r="L787">
        <v>4</v>
      </c>
      <c r="M787" t="s">
        <v>23</v>
      </c>
      <c r="N787">
        <v>41</v>
      </c>
      <c r="O787">
        <v>3</v>
      </c>
      <c r="P787">
        <v>2</v>
      </c>
      <c r="Q787" t="s">
        <v>31</v>
      </c>
      <c r="R787">
        <v>3</v>
      </c>
      <c r="S787" t="s">
        <v>28</v>
      </c>
      <c r="T787">
        <v>4319</v>
      </c>
      <c r="U787">
        <v>26283</v>
      </c>
      <c r="V787">
        <v>1</v>
      </c>
      <c r="W787" t="s">
        <v>29</v>
      </c>
      <c r="X787" t="s">
        <v>9</v>
      </c>
      <c r="Y787">
        <v>13</v>
      </c>
      <c r="Z787">
        <v>3</v>
      </c>
      <c r="AA787">
        <v>1</v>
      </c>
      <c r="AB787">
        <v>80</v>
      </c>
      <c r="AC787">
        <v>1</v>
      </c>
      <c r="AD787">
        <v>10</v>
      </c>
      <c r="AE787">
        <v>1</v>
      </c>
      <c r="AF787">
        <v>3</v>
      </c>
      <c r="AG787">
        <v>10</v>
      </c>
      <c r="AH787">
        <v>7</v>
      </c>
      <c r="AI787">
        <v>0</v>
      </c>
      <c r="AJ787">
        <v>9</v>
      </c>
    </row>
    <row r="788" spans="1:36" x14ac:dyDescent="0.25">
      <c r="A788">
        <v>597</v>
      </c>
      <c r="B788">
        <v>35</v>
      </c>
      <c r="C788" t="s">
        <v>9</v>
      </c>
      <c r="D788" t="s">
        <v>15</v>
      </c>
      <c r="E788">
        <v>672</v>
      </c>
      <c r="F788" t="s">
        <v>119</v>
      </c>
      <c r="G788">
        <v>25</v>
      </c>
      <c r="H788">
        <v>3</v>
      </c>
      <c r="I788" t="s">
        <v>22</v>
      </c>
      <c r="J788">
        <v>1</v>
      </c>
      <c r="K788">
        <v>899</v>
      </c>
      <c r="L788">
        <v>4</v>
      </c>
      <c r="M788" t="s">
        <v>23</v>
      </c>
      <c r="N788">
        <v>78</v>
      </c>
      <c r="O788">
        <v>2</v>
      </c>
      <c r="P788">
        <v>3</v>
      </c>
      <c r="Q788" t="s">
        <v>31</v>
      </c>
      <c r="R788">
        <v>2</v>
      </c>
      <c r="S788" t="s">
        <v>28</v>
      </c>
      <c r="T788">
        <v>10903</v>
      </c>
      <c r="U788">
        <v>9129</v>
      </c>
      <c r="V788">
        <v>3</v>
      </c>
      <c r="W788" t="s">
        <v>29</v>
      </c>
      <c r="X788" t="s">
        <v>9</v>
      </c>
      <c r="Y788">
        <v>16</v>
      </c>
      <c r="Z788">
        <v>3</v>
      </c>
      <c r="AA788">
        <v>1</v>
      </c>
      <c r="AB788">
        <v>80</v>
      </c>
      <c r="AC788">
        <v>0</v>
      </c>
      <c r="AD788">
        <v>16</v>
      </c>
      <c r="AE788">
        <v>2</v>
      </c>
      <c r="AF788">
        <v>3</v>
      </c>
      <c r="AG788">
        <v>13</v>
      </c>
      <c r="AH788">
        <v>10</v>
      </c>
      <c r="AI788">
        <v>4</v>
      </c>
      <c r="AJ788">
        <v>8</v>
      </c>
    </row>
    <row r="789" spans="1:36" x14ac:dyDescent="0.25">
      <c r="A789">
        <v>381</v>
      </c>
      <c r="B789">
        <v>47</v>
      </c>
      <c r="C789" t="s">
        <v>9</v>
      </c>
      <c r="D789" t="s">
        <v>15</v>
      </c>
      <c r="E789">
        <v>1482</v>
      </c>
      <c r="F789" t="s">
        <v>119</v>
      </c>
      <c r="G789">
        <v>5</v>
      </c>
      <c r="H789">
        <v>5</v>
      </c>
      <c r="I789" t="s">
        <v>21</v>
      </c>
      <c r="J789">
        <v>1</v>
      </c>
      <c r="K789">
        <v>447</v>
      </c>
      <c r="L789">
        <v>4</v>
      </c>
      <c r="M789" t="s">
        <v>23</v>
      </c>
      <c r="N789">
        <v>42</v>
      </c>
      <c r="O789">
        <v>3</v>
      </c>
      <c r="P789">
        <v>5</v>
      </c>
      <c r="Q789" t="s">
        <v>30</v>
      </c>
      <c r="R789">
        <v>3</v>
      </c>
      <c r="S789" t="s">
        <v>28</v>
      </c>
      <c r="T789">
        <v>18300</v>
      </c>
      <c r="U789">
        <v>16375</v>
      </c>
      <c r="V789">
        <v>4</v>
      </c>
      <c r="W789" t="s">
        <v>29</v>
      </c>
      <c r="X789" t="s">
        <v>9</v>
      </c>
      <c r="Y789">
        <v>11</v>
      </c>
      <c r="Z789">
        <v>3</v>
      </c>
      <c r="AA789">
        <v>2</v>
      </c>
      <c r="AB789">
        <v>80</v>
      </c>
      <c r="AC789">
        <v>1</v>
      </c>
      <c r="AD789">
        <v>21</v>
      </c>
      <c r="AE789">
        <v>2</v>
      </c>
      <c r="AF789">
        <v>3</v>
      </c>
      <c r="AG789">
        <v>3</v>
      </c>
      <c r="AH789">
        <v>2</v>
      </c>
      <c r="AI789">
        <v>1</v>
      </c>
      <c r="AJ789">
        <v>1</v>
      </c>
    </row>
    <row r="790" spans="1:36" x14ac:dyDescent="0.25">
      <c r="A790">
        <v>670</v>
      </c>
      <c r="B790">
        <v>54</v>
      </c>
      <c r="C790" t="s">
        <v>9</v>
      </c>
      <c r="D790" t="s">
        <v>15</v>
      </c>
      <c r="E790">
        <v>685</v>
      </c>
      <c r="F790" t="s">
        <v>119</v>
      </c>
      <c r="G790">
        <v>3</v>
      </c>
      <c r="H790">
        <v>3</v>
      </c>
      <c r="I790" t="s">
        <v>21</v>
      </c>
      <c r="J790">
        <v>1</v>
      </c>
      <c r="K790">
        <v>1250</v>
      </c>
      <c r="L790">
        <v>4</v>
      </c>
      <c r="M790" t="s">
        <v>23</v>
      </c>
      <c r="N790">
        <v>85</v>
      </c>
      <c r="O790">
        <v>3</v>
      </c>
      <c r="P790">
        <v>4</v>
      </c>
      <c r="Q790" t="s">
        <v>30</v>
      </c>
      <c r="R790">
        <v>4</v>
      </c>
      <c r="S790" t="s">
        <v>28</v>
      </c>
      <c r="T790">
        <v>17779</v>
      </c>
      <c r="U790">
        <v>23474</v>
      </c>
      <c r="V790">
        <v>3</v>
      </c>
      <c r="W790" t="s">
        <v>29</v>
      </c>
      <c r="X790" t="s">
        <v>9</v>
      </c>
      <c r="Y790">
        <v>14</v>
      </c>
      <c r="Z790">
        <v>3</v>
      </c>
      <c r="AA790">
        <v>1</v>
      </c>
      <c r="AB790">
        <v>80</v>
      </c>
      <c r="AC790">
        <v>0</v>
      </c>
      <c r="AD790">
        <v>36</v>
      </c>
      <c r="AE790">
        <v>2</v>
      </c>
      <c r="AF790">
        <v>3</v>
      </c>
      <c r="AG790">
        <v>10</v>
      </c>
      <c r="AH790">
        <v>9</v>
      </c>
      <c r="AI790">
        <v>0</v>
      </c>
      <c r="AJ790">
        <v>9</v>
      </c>
    </row>
    <row r="791" spans="1:36" x14ac:dyDescent="0.25">
      <c r="A791">
        <v>700</v>
      </c>
      <c r="B791">
        <v>46</v>
      </c>
      <c r="C791" t="s">
        <v>9</v>
      </c>
      <c r="D791" t="s">
        <v>15</v>
      </c>
      <c r="E791">
        <v>1450</v>
      </c>
      <c r="F791" t="s">
        <v>119</v>
      </c>
      <c r="G791">
        <v>15</v>
      </c>
      <c r="H791">
        <v>2</v>
      </c>
      <c r="I791" t="s">
        <v>21</v>
      </c>
      <c r="J791">
        <v>1</v>
      </c>
      <c r="K791">
        <v>1217</v>
      </c>
      <c r="L791">
        <v>4</v>
      </c>
      <c r="M791" t="s">
        <v>23</v>
      </c>
      <c r="N791">
        <v>52</v>
      </c>
      <c r="O791">
        <v>3</v>
      </c>
      <c r="P791">
        <v>5</v>
      </c>
      <c r="Q791" t="s">
        <v>30</v>
      </c>
      <c r="R791">
        <v>2</v>
      </c>
      <c r="S791" t="s">
        <v>28</v>
      </c>
      <c r="T791">
        <v>19081</v>
      </c>
      <c r="U791">
        <v>10849</v>
      </c>
      <c r="V791">
        <v>5</v>
      </c>
      <c r="W791" t="s">
        <v>29</v>
      </c>
      <c r="X791" t="s">
        <v>9</v>
      </c>
      <c r="Y791">
        <v>11</v>
      </c>
      <c r="Z791">
        <v>3</v>
      </c>
      <c r="AA791">
        <v>1</v>
      </c>
      <c r="AB791">
        <v>80</v>
      </c>
      <c r="AC791">
        <v>1</v>
      </c>
      <c r="AD791">
        <v>25</v>
      </c>
      <c r="AE791">
        <v>2</v>
      </c>
      <c r="AF791">
        <v>3</v>
      </c>
      <c r="AG791">
        <v>4</v>
      </c>
      <c r="AH791">
        <v>2</v>
      </c>
      <c r="AI791">
        <v>0</v>
      </c>
      <c r="AJ791">
        <v>3</v>
      </c>
    </row>
    <row r="792" spans="1:36" x14ac:dyDescent="0.25">
      <c r="A792">
        <v>840</v>
      </c>
      <c r="B792">
        <v>48</v>
      </c>
      <c r="C792" t="s">
        <v>9</v>
      </c>
      <c r="D792" t="s">
        <v>15</v>
      </c>
      <c r="E792">
        <v>1224</v>
      </c>
      <c r="F792" t="s">
        <v>119</v>
      </c>
      <c r="G792">
        <v>10</v>
      </c>
      <c r="H792">
        <v>3</v>
      </c>
      <c r="I792" t="s">
        <v>21</v>
      </c>
      <c r="J792">
        <v>1</v>
      </c>
      <c r="K792">
        <v>1867</v>
      </c>
      <c r="L792">
        <v>4</v>
      </c>
      <c r="M792" t="s">
        <v>23</v>
      </c>
      <c r="N792">
        <v>91</v>
      </c>
      <c r="O792">
        <v>2</v>
      </c>
      <c r="P792">
        <v>5</v>
      </c>
      <c r="Q792" t="s">
        <v>30</v>
      </c>
      <c r="R792">
        <v>2</v>
      </c>
      <c r="S792" t="s">
        <v>28</v>
      </c>
      <c r="T792">
        <v>19665</v>
      </c>
      <c r="U792">
        <v>13583</v>
      </c>
      <c r="V792">
        <v>4</v>
      </c>
      <c r="W792" t="s">
        <v>29</v>
      </c>
      <c r="X792" t="s">
        <v>9</v>
      </c>
      <c r="Y792">
        <v>12</v>
      </c>
      <c r="Z792">
        <v>3</v>
      </c>
      <c r="AA792">
        <v>4</v>
      </c>
      <c r="AB792">
        <v>80</v>
      </c>
      <c r="AC792">
        <v>0</v>
      </c>
      <c r="AD792">
        <v>29</v>
      </c>
      <c r="AE792">
        <v>3</v>
      </c>
      <c r="AF792">
        <v>3</v>
      </c>
      <c r="AG792">
        <v>22</v>
      </c>
      <c r="AH792">
        <v>10</v>
      </c>
      <c r="AI792">
        <v>12</v>
      </c>
      <c r="AJ792">
        <v>9</v>
      </c>
    </row>
    <row r="793" spans="1:36" x14ac:dyDescent="0.25">
      <c r="A793">
        <v>473</v>
      </c>
      <c r="B793">
        <v>45</v>
      </c>
      <c r="C793" t="s">
        <v>9</v>
      </c>
      <c r="D793" t="s">
        <v>15</v>
      </c>
      <c r="E793">
        <v>193</v>
      </c>
      <c r="F793" t="s">
        <v>119</v>
      </c>
      <c r="G793">
        <v>6</v>
      </c>
      <c r="H793">
        <v>4</v>
      </c>
      <c r="I793" t="s">
        <v>19</v>
      </c>
      <c r="J793">
        <v>1</v>
      </c>
      <c r="K793">
        <v>101</v>
      </c>
      <c r="L793">
        <v>4</v>
      </c>
      <c r="M793" t="s">
        <v>23</v>
      </c>
      <c r="N793">
        <v>52</v>
      </c>
      <c r="O793">
        <v>3</v>
      </c>
      <c r="P793">
        <v>3</v>
      </c>
      <c r="Q793" t="s">
        <v>30</v>
      </c>
      <c r="R793">
        <v>1</v>
      </c>
      <c r="S793" t="s">
        <v>28</v>
      </c>
      <c r="T793">
        <v>13245</v>
      </c>
      <c r="U793">
        <v>15067</v>
      </c>
      <c r="V793">
        <v>4</v>
      </c>
      <c r="W793" t="s">
        <v>29</v>
      </c>
      <c r="X793" t="s">
        <v>10</v>
      </c>
      <c r="Y793">
        <v>14</v>
      </c>
      <c r="Z793">
        <v>3</v>
      </c>
      <c r="AA793">
        <v>2</v>
      </c>
      <c r="AB793">
        <v>80</v>
      </c>
      <c r="AC793">
        <v>0</v>
      </c>
      <c r="AD793">
        <v>17</v>
      </c>
      <c r="AE793">
        <v>3</v>
      </c>
      <c r="AF793">
        <v>4</v>
      </c>
      <c r="AG793">
        <v>0</v>
      </c>
      <c r="AH793">
        <v>0</v>
      </c>
      <c r="AI793">
        <v>0</v>
      </c>
      <c r="AJ793">
        <v>0</v>
      </c>
    </row>
    <row r="794" spans="1:36" x14ac:dyDescent="0.25">
      <c r="A794" s="15">
        <v>254</v>
      </c>
      <c r="B794" s="15">
        <v>31</v>
      </c>
      <c r="C794" s="15" t="s">
        <v>10</v>
      </c>
      <c r="D794" s="15" t="s">
        <v>15</v>
      </c>
      <c r="E794" s="15">
        <v>359</v>
      </c>
      <c r="F794" s="15" t="s">
        <v>20</v>
      </c>
      <c r="G794" s="15">
        <v>18</v>
      </c>
      <c r="H794" s="15">
        <v>5</v>
      </c>
      <c r="I794" s="15" t="s">
        <v>20</v>
      </c>
      <c r="J794" s="15">
        <v>1</v>
      </c>
      <c r="K794" s="15">
        <v>1842</v>
      </c>
      <c r="L794" s="15">
        <v>4</v>
      </c>
      <c r="M794" s="15" t="s">
        <v>23</v>
      </c>
      <c r="N794" s="15">
        <v>89</v>
      </c>
      <c r="O794" s="15">
        <v>4</v>
      </c>
      <c r="P794" s="15">
        <v>1</v>
      </c>
      <c r="Q794" s="15" t="s">
        <v>20</v>
      </c>
      <c r="R794" s="15">
        <v>1</v>
      </c>
      <c r="S794" s="15" t="s">
        <v>28</v>
      </c>
      <c r="T794" s="15">
        <v>2956</v>
      </c>
      <c r="U794" s="15">
        <v>21495</v>
      </c>
      <c r="V794" s="15">
        <v>0</v>
      </c>
      <c r="W794" s="15" t="s">
        <v>29</v>
      </c>
      <c r="X794" s="15" t="s">
        <v>9</v>
      </c>
      <c r="Y794" s="15">
        <v>17</v>
      </c>
      <c r="Z794" s="15">
        <v>3</v>
      </c>
      <c r="AA794" s="15">
        <v>3</v>
      </c>
      <c r="AB794" s="15">
        <v>80</v>
      </c>
      <c r="AC794" s="15">
        <v>0</v>
      </c>
      <c r="AD794" s="15">
        <v>2</v>
      </c>
      <c r="AE794" s="15">
        <v>4</v>
      </c>
      <c r="AF794" s="15">
        <v>3</v>
      </c>
      <c r="AG794" s="15">
        <v>1</v>
      </c>
      <c r="AH794" s="15">
        <v>0</v>
      </c>
      <c r="AI794" s="15">
        <v>0</v>
      </c>
      <c r="AJ794" s="15">
        <v>0</v>
      </c>
    </row>
    <row r="795" spans="1:36" x14ac:dyDescent="0.25">
      <c r="A795" s="15">
        <v>716</v>
      </c>
      <c r="B795" s="15">
        <v>24</v>
      </c>
      <c r="C795" s="15" t="s">
        <v>10</v>
      </c>
      <c r="D795" s="15" t="s">
        <v>15</v>
      </c>
      <c r="E795" s="15">
        <v>240</v>
      </c>
      <c r="F795" s="15" t="s">
        <v>20</v>
      </c>
      <c r="G795" s="15">
        <v>22</v>
      </c>
      <c r="H795" s="15">
        <v>1</v>
      </c>
      <c r="I795" s="15" t="s">
        <v>20</v>
      </c>
      <c r="J795" s="15">
        <v>1</v>
      </c>
      <c r="K795" s="15">
        <v>1714</v>
      </c>
      <c r="L795" s="15">
        <v>4</v>
      </c>
      <c r="M795" s="15" t="s">
        <v>23</v>
      </c>
      <c r="N795" s="15">
        <v>58</v>
      </c>
      <c r="O795" s="15">
        <v>1</v>
      </c>
      <c r="P795" s="15">
        <v>1</v>
      </c>
      <c r="Q795" s="15" t="s">
        <v>20</v>
      </c>
      <c r="R795" s="15">
        <v>3</v>
      </c>
      <c r="S795" s="15" t="s">
        <v>28</v>
      </c>
      <c r="T795" s="15">
        <v>1555</v>
      </c>
      <c r="U795" s="15">
        <v>11585</v>
      </c>
      <c r="V795" s="15">
        <v>1</v>
      </c>
      <c r="W795" s="15" t="s">
        <v>29</v>
      </c>
      <c r="X795" s="15" t="s">
        <v>9</v>
      </c>
      <c r="Y795" s="15">
        <v>11</v>
      </c>
      <c r="Z795" s="15">
        <v>3</v>
      </c>
      <c r="AA795" s="15">
        <v>3</v>
      </c>
      <c r="AB795" s="15">
        <v>80</v>
      </c>
      <c r="AC795" s="15">
        <v>1</v>
      </c>
      <c r="AD795" s="15">
        <v>1</v>
      </c>
      <c r="AE795" s="15">
        <v>2</v>
      </c>
      <c r="AF795" s="15">
        <v>3</v>
      </c>
      <c r="AG795" s="15">
        <v>1</v>
      </c>
      <c r="AH795" s="15">
        <v>0</v>
      </c>
      <c r="AI795" s="15">
        <v>0</v>
      </c>
      <c r="AJ795" s="15">
        <v>0</v>
      </c>
    </row>
    <row r="796" spans="1:36" x14ac:dyDescent="0.25">
      <c r="A796">
        <v>45</v>
      </c>
      <c r="B796">
        <v>23</v>
      </c>
      <c r="C796" t="s">
        <v>9</v>
      </c>
      <c r="D796" t="s">
        <v>15</v>
      </c>
      <c r="E796">
        <v>373</v>
      </c>
      <c r="F796" t="s">
        <v>119</v>
      </c>
      <c r="G796">
        <v>1</v>
      </c>
      <c r="H796">
        <v>2</v>
      </c>
      <c r="I796" t="s">
        <v>21</v>
      </c>
      <c r="J796">
        <v>1</v>
      </c>
      <c r="K796">
        <v>1270</v>
      </c>
      <c r="L796">
        <v>4</v>
      </c>
      <c r="M796" t="s">
        <v>23</v>
      </c>
      <c r="N796">
        <v>47</v>
      </c>
      <c r="O796">
        <v>3</v>
      </c>
      <c r="P796">
        <v>1</v>
      </c>
      <c r="Q796" t="s">
        <v>32</v>
      </c>
      <c r="R796">
        <v>3</v>
      </c>
      <c r="S796" t="s">
        <v>28</v>
      </c>
      <c r="T796">
        <v>1223</v>
      </c>
      <c r="U796">
        <v>16901</v>
      </c>
      <c r="V796">
        <v>1</v>
      </c>
      <c r="W796" t="s">
        <v>29</v>
      </c>
      <c r="X796" t="s">
        <v>9</v>
      </c>
      <c r="Y796">
        <v>22</v>
      </c>
      <c r="Z796">
        <v>4</v>
      </c>
      <c r="AA796">
        <v>4</v>
      </c>
      <c r="AB796">
        <v>80</v>
      </c>
      <c r="AC796">
        <v>1</v>
      </c>
      <c r="AD796">
        <v>1</v>
      </c>
      <c r="AE796">
        <v>2</v>
      </c>
      <c r="AF796">
        <v>3</v>
      </c>
      <c r="AG796">
        <v>1</v>
      </c>
      <c r="AH796">
        <v>0</v>
      </c>
      <c r="AI796">
        <v>0</v>
      </c>
      <c r="AJ796">
        <v>1</v>
      </c>
    </row>
    <row r="797" spans="1:36" x14ac:dyDescent="0.25">
      <c r="A797">
        <v>71</v>
      </c>
      <c r="B797">
        <v>41</v>
      </c>
      <c r="C797" t="s">
        <v>9</v>
      </c>
      <c r="D797" t="s">
        <v>15</v>
      </c>
      <c r="E797">
        <v>642</v>
      </c>
      <c r="F797" t="s">
        <v>119</v>
      </c>
      <c r="G797">
        <v>1</v>
      </c>
      <c r="H797">
        <v>3</v>
      </c>
      <c r="I797" t="s">
        <v>21</v>
      </c>
      <c r="J797">
        <v>1</v>
      </c>
      <c r="K797">
        <v>1999</v>
      </c>
      <c r="L797">
        <v>4</v>
      </c>
      <c r="M797" t="s">
        <v>23</v>
      </c>
      <c r="N797">
        <v>76</v>
      </c>
      <c r="O797">
        <v>3</v>
      </c>
      <c r="P797">
        <v>1</v>
      </c>
      <c r="Q797" t="s">
        <v>32</v>
      </c>
      <c r="R797">
        <v>4</v>
      </c>
      <c r="S797" t="s">
        <v>28</v>
      </c>
      <c r="T797">
        <v>2782</v>
      </c>
      <c r="U797">
        <v>21412</v>
      </c>
      <c r="V797">
        <v>3</v>
      </c>
      <c r="W797" t="s">
        <v>29</v>
      </c>
      <c r="X797" t="s">
        <v>9</v>
      </c>
      <c r="Y797">
        <v>22</v>
      </c>
      <c r="Z797">
        <v>4</v>
      </c>
      <c r="AA797">
        <v>1</v>
      </c>
      <c r="AB797">
        <v>80</v>
      </c>
      <c r="AC797">
        <v>1</v>
      </c>
      <c r="AD797">
        <v>12</v>
      </c>
      <c r="AE797">
        <v>3</v>
      </c>
      <c r="AF797">
        <v>3</v>
      </c>
      <c r="AG797">
        <v>5</v>
      </c>
      <c r="AH797">
        <v>3</v>
      </c>
      <c r="AI797">
        <v>1</v>
      </c>
      <c r="AJ797">
        <v>0</v>
      </c>
    </row>
    <row r="798" spans="1:36" x14ac:dyDescent="0.25">
      <c r="A798">
        <v>447</v>
      </c>
      <c r="B798">
        <v>38</v>
      </c>
      <c r="C798" t="s">
        <v>9</v>
      </c>
      <c r="D798" t="s">
        <v>11</v>
      </c>
      <c r="E798">
        <v>1189</v>
      </c>
      <c r="F798" t="s">
        <v>119</v>
      </c>
      <c r="G798">
        <v>1</v>
      </c>
      <c r="H798">
        <v>3</v>
      </c>
      <c r="I798" t="s">
        <v>21</v>
      </c>
      <c r="J798">
        <v>1</v>
      </c>
      <c r="K798">
        <v>1668</v>
      </c>
      <c r="L798">
        <v>4</v>
      </c>
      <c r="M798" t="s">
        <v>23</v>
      </c>
      <c r="N798">
        <v>90</v>
      </c>
      <c r="O798">
        <v>3</v>
      </c>
      <c r="P798">
        <v>2</v>
      </c>
      <c r="Q798" t="s">
        <v>32</v>
      </c>
      <c r="R798">
        <v>4</v>
      </c>
      <c r="S798" t="s">
        <v>28</v>
      </c>
      <c r="T798">
        <v>4735</v>
      </c>
      <c r="U798">
        <v>9867</v>
      </c>
      <c r="V798">
        <v>7</v>
      </c>
      <c r="W798" t="s">
        <v>29</v>
      </c>
      <c r="X798" t="s">
        <v>9</v>
      </c>
      <c r="Y798">
        <v>15</v>
      </c>
      <c r="Z798">
        <v>3</v>
      </c>
      <c r="AA798">
        <v>4</v>
      </c>
      <c r="AB798">
        <v>80</v>
      </c>
      <c r="AC798">
        <v>2</v>
      </c>
      <c r="AD798">
        <v>19</v>
      </c>
      <c r="AE798">
        <v>4</v>
      </c>
      <c r="AF798">
        <v>4</v>
      </c>
      <c r="AG798">
        <v>13</v>
      </c>
      <c r="AH798">
        <v>11</v>
      </c>
      <c r="AI798">
        <v>2</v>
      </c>
      <c r="AJ798">
        <v>9</v>
      </c>
    </row>
    <row r="799" spans="1:36" x14ac:dyDescent="0.25">
      <c r="A799">
        <v>482</v>
      </c>
      <c r="B799">
        <v>31</v>
      </c>
      <c r="C799" t="s">
        <v>9</v>
      </c>
      <c r="D799" t="s">
        <v>15</v>
      </c>
      <c r="E799">
        <v>1222</v>
      </c>
      <c r="F799" t="s">
        <v>119</v>
      </c>
      <c r="G799">
        <v>11</v>
      </c>
      <c r="H799">
        <v>4</v>
      </c>
      <c r="I799" t="s">
        <v>21</v>
      </c>
      <c r="J799">
        <v>1</v>
      </c>
      <c r="K799">
        <v>895</v>
      </c>
      <c r="L799">
        <v>4</v>
      </c>
      <c r="M799" t="s">
        <v>23</v>
      </c>
      <c r="N799">
        <v>48</v>
      </c>
      <c r="O799">
        <v>3</v>
      </c>
      <c r="P799">
        <v>1</v>
      </c>
      <c r="Q799" t="s">
        <v>32</v>
      </c>
      <c r="R799">
        <v>4</v>
      </c>
      <c r="S799" t="s">
        <v>28</v>
      </c>
      <c r="T799">
        <v>2356</v>
      </c>
      <c r="U799">
        <v>14871</v>
      </c>
      <c r="V799">
        <v>3</v>
      </c>
      <c r="W799" t="s">
        <v>29</v>
      </c>
      <c r="X799" t="s">
        <v>10</v>
      </c>
      <c r="Y799">
        <v>19</v>
      </c>
      <c r="Z799">
        <v>3</v>
      </c>
      <c r="AA799">
        <v>2</v>
      </c>
      <c r="AB799">
        <v>80</v>
      </c>
      <c r="AC799">
        <v>1</v>
      </c>
      <c r="AD799">
        <v>8</v>
      </c>
      <c r="AE799">
        <v>2</v>
      </c>
      <c r="AF799">
        <v>3</v>
      </c>
      <c r="AG799">
        <v>6</v>
      </c>
      <c r="AH799">
        <v>4</v>
      </c>
      <c r="AI799">
        <v>0</v>
      </c>
      <c r="AJ799">
        <v>2</v>
      </c>
    </row>
    <row r="800" spans="1:36" x14ac:dyDescent="0.25">
      <c r="A800">
        <v>542</v>
      </c>
      <c r="B800">
        <v>33</v>
      </c>
      <c r="C800" t="s">
        <v>9</v>
      </c>
      <c r="D800" t="s">
        <v>15</v>
      </c>
      <c r="E800">
        <v>867</v>
      </c>
      <c r="F800" t="s">
        <v>119</v>
      </c>
      <c r="G800">
        <v>8</v>
      </c>
      <c r="H800">
        <v>4</v>
      </c>
      <c r="I800" t="s">
        <v>21</v>
      </c>
      <c r="J800">
        <v>1</v>
      </c>
      <c r="K800">
        <v>1798</v>
      </c>
      <c r="L800">
        <v>4</v>
      </c>
      <c r="M800" t="s">
        <v>23</v>
      </c>
      <c r="N800">
        <v>90</v>
      </c>
      <c r="O800">
        <v>4</v>
      </c>
      <c r="P800">
        <v>1</v>
      </c>
      <c r="Q800" t="s">
        <v>32</v>
      </c>
      <c r="R800">
        <v>1</v>
      </c>
      <c r="S800" t="s">
        <v>28</v>
      </c>
      <c r="T800">
        <v>3143</v>
      </c>
      <c r="U800">
        <v>6076</v>
      </c>
      <c r="V800">
        <v>6</v>
      </c>
      <c r="W800" t="s">
        <v>29</v>
      </c>
      <c r="X800" t="s">
        <v>9</v>
      </c>
      <c r="Y800">
        <v>19</v>
      </c>
      <c r="Z800">
        <v>3</v>
      </c>
      <c r="AA800">
        <v>2</v>
      </c>
      <c r="AB800">
        <v>80</v>
      </c>
      <c r="AC800">
        <v>1</v>
      </c>
      <c r="AD800">
        <v>14</v>
      </c>
      <c r="AE800">
        <v>1</v>
      </c>
      <c r="AF800">
        <v>3</v>
      </c>
      <c r="AG800">
        <v>10</v>
      </c>
      <c r="AH800">
        <v>8</v>
      </c>
      <c r="AI800">
        <v>7</v>
      </c>
      <c r="AJ800">
        <v>6</v>
      </c>
    </row>
    <row r="801" spans="1:36" x14ac:dyDescent="0.25">
      <c r="A801" s="15">
        <v>669</v>
      </c>
      <c r="B801" s="15">
        <v>32</v>
      </c>
      <c r="C801" s="15" t="s">
        <v>10</v>
      </c>
      <c r="D801" s="15" t="s">
        <v>15</v>
      </c>
      <c r="E801" s="15">
        <v>1089</v>
      </c>
      <c r="F801" s="15" t="s">
        <v>119</v>
      </c>
      <c r="G801" s="15">
        <v>7</v>
      </c>
      <c r="H801" s="15">
        <v>2</v>
      </c>
      <c r="I801" s="15" t="s">
        <v>21</v>
      </c>
      <c r="J801" s="15">
        <v>1</v>
      </c>
      <c r="K801" s="15">
        <v>1309</v>
      </c>
      <c r="L801" s="15">
        <v>4</v>
      </c>
      <c r="M801" s="15" t="s">
        <v>23</v>
      </c>
      <c r="N801" s="15">
        <v>79</v>
      </c>
      <c r="O801" s="15">
        <v>3</v>
      </c>
      <c r="P801" s="15">
        <v>2</v>
      </c>
      <c r="Q801" s="15" t="s">
        <v>36</v>
      </c>
      <c r="R801" s="15">
        <v>3</v>
      </c>
      <c r="S801" s="15" t="s">
        <v>28</v>
      </c>
      <c r="T801" s="15">
        <v>4883</v>
      </c>
      <c r="U801" s="15">
        <v>22845</v>
      </c>
      <c r="V801" s="15">
        <v>1</v>
      </c>
      <c r="W801" s="15" t="s">
        <v>29</v>
      </c>
      <c r="X801" s="15" t="s">
        <v>9</v>
      </c>
      <c r="Y801" s="15">
        <v>18</v>
      </c>
      <c r="Z801" s="15">
        <v>3</v>
      </c>
      <c r="AA801" s="15">
        <v>1</v>
      </c>
      <c r="AB801" s="15">
        <v>80</v>
      </c>
      <c r="AC801" s="15">
        <v>1</v>
      </c>
      <c r="AD801" s="15">
        <v>10</v>
      </c>
      <c r="AE801" s="15">
        <v>3</v>
      </c>
      <c r="AF801" s="15">
        <v>3</v>
      </c>
      <c r="AG801" s="15">
        <v>10</v>
      </c>
      <c r="AH801" s="15">
        <v>4</v>
      </c>
      <c r="AI801" s="15">
        <v>1</v>
      </c>
      <c r="AJ801" s="15">
        <v>1</v>
      </c>
    </row>
    <row r="802" spans="1:36" x14ac:dyDescent="0.25">
      <c r="A802">
        <v>19</v>
      </c>
      <c r="B802">
        <v>34</v>
      </c>
      <c r="C802" t="s">
        <v>9</v>
      </c>
      <c r="D802" t="s">
        <v>15</v>
      </c>
      <c r="E802">
        <v>181</v>
      </c>
      <c r="F802" t="s">
        <v>119</v>
      </c>
      <c r="G802">
        <v>2</v>
      </c>
      <c r="H802">
        <v>4</v>
      </c>
      <c r="I802" t="s">
        <v>17</v>
      </c>
      <c r="J802">
        <v>1</v>
      </c>
      <c r="K802">
        <v>1755</v>
      </c>
      <c r="L802">
        <v>4</v>
      </c>
      <c r="M802" t="s">
        <v>23</v>
      </c>
      <c r="N802">
        <v>97</v>
      </c>
      <c r="O802">
        <v>4</v>
      </c>
      <c r="P802">
        <v>1</v>
      </c>
      <c r="Q802" t="s">
        <v>32</v>
      </c>
      <c r="R802">
        <v>4</v>
      </c>
      <c r="S802" t="s">
        <v>28</v>
      </c>
      <c r="T802">
        <v>2932</v>
      </c>
      <c r="U802">
        <v>5586</v>
      </c>
      <c r="V802">
        <v>0</v>
      </c>
      <c r="W802" t="s">
        <v>29</v>
      </c>
      <c r="X802" t="s">
        <v>10</v>
      </c>
      <c r="Y802">
        <v>14</v>
      </c>
      <c r="Z802">
        <v>3</v>
      </c>
      <c r="AA802">
        <v>1</v>
      </c>
      <c r="AB802">
        <v>80</v>
      </c>
      <c r="AC802">
        <v>3</v>
      </c>
      <c r="AD802">
        <v>6</v>
      </c>
      <c r="AE802">
        <v>3</v>
      </c>
      <c r="AF802">
        <v>3</v>
      </c>
      <c r="AG802">
        <v>5</v>
      </c>
      <c r="AH802">
        <v>0</v>
      </c>
      <c r="AI802">
        <v>1</v>
      </c>
      <c r="AJ802">
        <v>2</v>
      </c>
    </row>
    <row r="803" spans="1:36" x14ac:dyDescent="0.25">
      <c r="A803">
        <v>30</v>
      </c>
      <c r="B803">
        <v>52</v>
      </c>
      <c r="C803" t="s">
        <v>9</v>
      </c>
      <c r="D803" t="s">
        <v>16</v>
      </c>
      <c r="E803">
        <v>715</v>
      </c>
      <c r="F803" t="s">
        <v>119</v>
      </c>
      <c r="G803">
        <v>19</v>
      </c>
      <c r="H803">
        <v>4</v>
      </c>
      <c r="I803" t="s">
        <v>17</v>
      </c>
      <c r="J803">
        <v>1</v>
      </c>
      <c r="K803">
        <v>791</v>
      </c>
      <c r="L803">
        <v>4</v>
      </c>
      <c r="M803" t="s">
        <v>23</v>
      </c>
      <c r="N803">
        <v>41</v>
      </c>
      <c r="O803">
        <v>3</v>
      </c>
      <c r="P803">
        <v>1</v>
      </c>
      <c r="Q803" t="s">
        <v>32</v>
      </c>
      <c r="R803">
        <v>4</v>
      </c>
      <c r="S803" t="s">
        <v>28</v>
      </c>
      <c r="T803">
        <v>4258</v>
      </c>
      <c r="U803">
        <v>26589</v>
      </c>
      <c r="V803">
        <v>0</v>
      </c>
      <c r="W803" t="s">
        <v>29</v>
      </c>
      <c r="X803" t="s">
        <v>9</v>
      </c>
      <c r="Y803">
        <v>18</v>
      </c>
      <c r="Z803">
        <v>3</v>
      </c>
      <c r="AA803">
        <v>1</v>
      </c>
      <c r="AB803">
        <v>80</v>
      </c>
      <c r="AC803">
        <v>1</v>
      </c>
      <c r="AD803">
        <v>5</v>
      </c>
      <c r="AE803">
        <v>3</v>
      </c>
      <c r="AF803">
        <v>3</v>
      </c>
      <c r="AG803">
        <v>4</v>
      </c>
      <c r="AH803">
        <v>3</v>
      </c>
      <c r="AI803">
        <v>1</v>
      </c>
      <c r="AJ803">
        <v>2</v>
      </c>
    </row>
    <row r="804" spans="1:36" x14ac:dyDescent="0.25">
      <c r="A804">
        <v>186</v>
      </c>
      <c r="B804">
        <v>28</v>
      </c>
      <c r="C804" t="s">
        <v>9</v>
      </c>
      <c r="D804" t="s">
        <v>15</v>
      </c>
      <c r="E804">
        <v>1158</v>
      </c>
      <c r="F804" t="s">
        <v>119</v>
      </c>
      <c r="G804">
        <v>9</v>
      </c>
      <c r="H804">
        <v>3</v>
      </c>
      <c r="I804" t="s">
        <v>17</v>
      </c>
      <c r="J804">
        <v>1</v>
      </c>
      <c r="K804">
        <v>377</v>
      </c>
      <c r="L804">
        <v>4</v>
      </c>
      <c r="M804" t="s">
        <v>23</v>
      </c>
      <c r="N804">
        <v>94</v>
      </c>
      <c r="O804">
        <v>3</v>
      </c>
      <c r="P804">
        <v>1</v>
      </c>
      <c r="Q804" t="s">
        <v>32</v>
      </c>
      <c r="R804">
        <v>4</v>
      </c>
      <c r="S804" t="s">
        <v>28</v>
      </c>
      <c r="T804">
        <v>2070</v>
      </c>
      <c r="U804">
        <v>2613</v>
      </c>
      <c r="V804">
        <v>1</v>
      </c>
      <c r="W804" t="s">
        <v>29</v>
      </c>
      <c r="X804" t="s">
        <v>9</v>
      </c>
      <c r="Y804">
        <v>23</v>
      </c>
      <c r="Z804">
        <v>4</v>
      </c>
      <c r="AA804">
        <v>4</v>
      </c>
      <c r="AB804">
        <v>80</v>
      </c>
      <c r="AC804">
        <v>1</v>
      </c>
      <c r="AD804">
        <v>5</v>
      </c>
      <c r="AE804">
        <v>3</v>
      </c>
      <c r="AF804">
        <v>2</v>
      </c>
      <c r="AG804">
        <v>5</v>
      </c>
      <c r="AH804">
        <v>2</v>
      </c>
      <c r="AI804">
        <v>0</v>
      </c>
      <c r="AJ804">
        <v>4</v>
      </c>
    </row>
    <row r="805" spans="1:36" x14ac:dyDescent="0.25">
      <c r="A805">
        <v>554</v>
      </c>
      <c r="B805">
        <v>48</v>
      </c>
      <c r="C805" t="s">
        <v>9</v>
      </c>
      <c r="D805" t="s">
        <v>15</v>
      </c>
      <c r="E805">
        <v>1469</v>
      </c>
      <c r="F805" t="s">
        <v>119</v>
      </c>
      <c r="G805">
        <v>20</v>
      </c>
      <c r="H805">
        <v>4</v>
      </c>
      <c r="I805" t="s">
        <v>17</v>
      </c>
      <c r="J805">
        <v>1</v>
      </c>
      <c r="K805">
        <v>945</v>
      </c>
      <c r="L805">
        <v>4</v>
      </c>
      <c r="M805" t="s">
        <v>23</v>
      </c>
      <c r="N805">
        <v>51</v>
      </c>
      <c r="O805">
        <v>3</v>
      </c>
      <c r="P805">
        <v>1</v>
      </c>
      <c r="Q805" t="s">
        <v>32</v>
      </c>
      <c r="R805">
        <v>3</v>
      </c>
      <c r="S805" t="s">
        <v>28</v>
      </c>
      <c r="T805">
        <v>2259</v>
      </c>
      <c r="U805">
        <v>5543</v>
      </c>
      <c r="V805">
        <v>4</v>
      </c>
      <c r="W805" t="s">
        <v>29</v>
      </c>
      <c r="X805" t="s">
        <v>9</v>
      </c>
      <c r="Y805">
        <v>17</v>
      </c>
      <c r="Z805">
        <v>3</v>
      </c>
      <c r="AA805">
        <v>1</v>
      </c>
      <c r="AB805">
        <v>80</v>
      </c>
      <c r="AC805">
        <v>2</v>
      </c>
      <c r="AD805">
        <v>13</v>
      </c>
      <c r="AE805">
        <v>2</v>
      </c>
      <c r="AF805">
        <v>2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 s="15">
        <v>177</v>
      </c>
      <c r="B806" s="15">
        <v>55</v>
      </c>
      <c r="C806" s="15" t="s">
        <v>10</v>
      </c>
      <c r="D806" s="15" t="s">
        <v>15</v>
      </c>
      <c r="E806" s="15">
        <v>725</v>
      </c>
      <c r="F806" s="15" t="s">
        <v>119</v>
      </c>
      <c r="G806" s="15">
        <v>2</v>
      </c>
      <c r="H806" s="15">
        <v>3</v>
      </c>
      <c r="I806" s="15" t="s">
        <v>17</v>
      </c>
      <c r="J806" s="15">
        <v>1</v>
      </c>
      <c r="K806" s="15">
        <v>787</v>
      </c>
      <c r="L806" s="15">
        <v>4</v>
      </c>
      <c r="M806" s="15" t="s">
        <v>23</v>
      </c>
      <c r="N806" s="15">
        <v>78</v>
      </c>
      <c r="O806" s="15">
        <v>3</v>
      </c>
      <c r="P806" s="15">
        <v>5</v>
      </c>
      <c r="Q806" s="15" t="s">
        <v>35</v>
      </c>
      <c r="R806" s="15">
        <v>1</v>
      </c>
      <c r="S806" s="15" t="s">
        <v>28</v>
      </c>
      <c r="T806" s="15">
        <v>19859</v>
      </c>
      <c r="U806" s="15">
        <v>21199</v>
      </c>
      <c r="V806" s="15">
        <v>5</v>
      </c>
      <c r="W806" s="15" t="s">
        <v>29</v>
      </c>
      <c r="X806" s="15" t="s">
        <v>10</v>
      </c>
      <c r="Y806" s="15">
        <v>13</v>
      </c>
      <c r="Z806" s="15">
        <v>3</v>
      </c>
      <c r="AA806" s="15">
        <v>4</v>
      </c>
      <c r="AB806" s="15">
        <v>80</v>
      </c>
      <c r="AC806" s="15">
        <v>1</v>
      </c>
      <c r="AD806" s="15">
        <v>24</v>
      </c>
      <c r="AE806" s="15">
        <v>2</v>
      </c>
      <c r="AF806" s="15">
        <v>3</v>
      </c>
      <c r="AG806" s="15">
        <v>5</v>
      </c>
      <c r="AH806" s="15">
        <v>2</v>
      </c>
      <c r="AI806" s="15">
        <v>1</v>
      </c>
      <c r="AJ806" s="15">
        <v>4</v>
      </c>
    </row>
    <row r="807" spans="1:36" x14ac:dyDescent="0.25">
      <c r="A807">
        <v>369</v>
      </c>
      <c r="B807">
        <v>23</v>
      </c>
      <c r="C807" t="s">
        <v>9</v>
      </c>
      <c r="D807" t="s">
        <v>15</v>
      </c>
      <c r="E807">
        <v>977</v>
      </c>
      <c r="F807" t="s">
        <v>119</v>
      </c>
      <c r="G807">
        <v>10</v>
      </c>
      <c r="H807">
        <v>3</v>
      </c>
      <c r="I807" t="s">
        <v>22</v>
      </c>
      <c r="J807">
        <v>1</v>
      </c>
      <c r="K807">
        <v>1592</v>
      </c>
      <c r="L807">
        <v>4</v>
      </c>
      <c r="M807" t="s">
        <v>23</v>
      </c>
      <c r="N807">
        <v>45</v>
      </c>
      <c r="O807">
        <v>4</v>
      </c>
      <c r="P807">
        <v>1</v>
      </c>
      <c r="Q807" t="s">
        <v>32</v>
      </c>
      <c r="R807">
        <v>3</v>
      </c>
      <c r="S807" t="s">
        <v>28</v>
      </c>
      <c r="T807">
        <v>2073</v>
      </c>
      <c r="U807">
        <v>12826</v>
      </c>
      <c r="V807">
        <v>2</v>
      </c>
      <c r="W807" t="s">
        <v>29</v>
      </c>
      <c r="X807" t="s">
        <v>9</v>
      </c>
      <c r="Y807">
        <v>16</v>
      </c>
      <c r="Z807">
        <v>3</v>
      </c>
      <c r="AA807">
        <v>4</v>
      </c>
      <c r="AB807">
        <v>80</v>
      </c>
      <c r="AC807">
        <v>1</v>
      </c>
      <c r="AD807">
        <v>4</v>
      </c>
      <c r="AE807">
        <v>2</v>
      </c>
      <c r="AF807">
        <v>3</v>
      </c>
      <c r="AG807">
        <v>2</v>
      </c>
      <c r="AH807">
        <v>2</v>
      </c>
      <c r="AI807">
        <v>2</v>
      </c>
      <c r="AJ807">
        <v>2</v>
      </c>
    </row>
    <row r="808" spans="1:36" x14ac:dyDescent="0.25">
      <c r="A808">
        <v>602</v>
      </c>
      <c r="B808">
        <v>32</v>
      </c>
      <c r="C808" t="s">
        <v>9</v>
      </c>
      <c r="D808" t="s">
        <v>16</v>
      </c>
      <c r="E808">
        <v>1200</v>
      </c>
      <c r="F808" t="s">
        <v>119</v>
      </c>
      <c r="G808">
        <v>1</v>
      </c>
      <c r="H808">
        <v>4</v>
      </c>
      <c r="I808" t="s">
        <v>22</v>
      </c>
      <c r="J808">
        <v>1</v>
      </c>
      <c r="K808">
        <v>1574</v>
      </c>
      <c r="L808">
        <v>4</v>
      </c>
      <c r="M808" t="s">
        <v>23</v>
      </c>
      <c r="N808">
        <v>62</v>
      </c>
      <c r="O808">
        <v>3</v>
      </c>
      <c r="P808">
        <v>2</v>
      </c>
      <c r="Q808" t="s">
        <v>32</v>
      </c>
      <c r="R808">
        <v>1</v>
      </c>
      <c r="S808" t="s">
        <v>28</v>
      </c>
      <c r="T808">
        <v>4087</v>
      </c>
      <c r="U808">
        <v>25174</v>
      </c>
      <c r="V808">
        <v>4</v>
      </c>
      <c r="W808" t="s">
        <v>29</v>
      </c>
      <c r="X808" t="s">
        <v>9</v>
      </c>
      <c r="Y808">
        <v>14</v>
      </c>
      <c r="Z808">
        <v>3</v>
      </c>
      <c r="AA808">
        <v>2</v>
      </c>
      <c r="AB808">
        <v>80</v>
      </c>
      <c r="AC808">
        <v>1</v>
      </c>
      <c r="AD808">
        <v>9</v>
      </c>
      <c r="AE808">
        <v>3</v>
      </c>
      <c r="AF808">
        <v>2</v>
      </c>
      <c r="AG808">
        <v>6</v>
      </c>
      <c r="AH808">
        <v>5</v>
      </c>
      <c r="AI808">
        <v>1</v>
      </c>
      <c r="AJ808">
        <v>2</v>
      </c>
    </row>
    <row r="809" spans="1:36" x14ac:dyDescent="0.25">
      <c r="A809" s="15">
        <v>644</v>
      </c>
      <c r="B809" s="15">
        <v>34</v>
      </c>
      <c r="C809" s="15" t="s">
        <v>10</v>
      </c>
      <c r="D809" s="15" t="s">
        <v>16</v>
      </c>
      <c r="E809" s="15">
        <v>967</v>
      </c>
      <c r="F809" s="15" t="s">
        <v>119</v>
      </c>
      <c r="G809" s="15">
        <v>16</v>
      </c>
      <c r="H809" s="15">
        <v>4</v>
      </c>
      <c r="I809" s="15" t="s">
        <v>22</v>
      </c>
      <c r="J809" s="15">
        <v>1</v>
      </c>
      <c r="K809" s="15">
        <v>1905</v>
      </c>
      <c r="L809" s="15">
        <v>4</v>
      </c>
      <c r="M809" s="15" t="s">
        <v>23</v>
      </c>
      <c r="N809" s="15">
        <v>85</v>
      </c>
      <c r="O809" s="15">
        <v>1</v>
      </c>
      <c r="P809" s="15">
        <v>1</v>
      </c>
      <c r="Q809" s="15" t="s">
        <v>32</v>
      </c>
      <c r="R809" s="15">
        <v>1</v>
      </c>
      <c r="S809" s="15" t="s">
        <v>28</v>
      </c>
      <c r="T809" s="15">
        <v>2307</v>
      </c>
      <c r="U809" s="15">
        <v>14460</v>
      </c>
      <c r="V809" s="15">
        <v>1</v>
      </c>
      <c r="W809" s="15" t="s">
        <v>29</v>
      </c>
      <c r="X809" s="15" t="s">
        <v>10</v>
      </c>
      <c r="Y809" s="15">
        <v>23</v>
      </c>
      <c r="Z809" s="15">
        <v>4</v>
      </c>
      <c r="AA809" s="15">
        <v>2</v>
      </c>
      <c r="AB809" s="15">
        <v>80</v>
      </c>
      <c r="AC809" s="15">
        <v>1</v>
      </c>
      <c r="AD809" s="15">
        <v>5</v>
      </c>
      <c r="AE809" s="15">
        <v>2</v>
      </c>
      <c r="AF809" s="15">
        <v>3</v>
      </c>
      <c r="AG809" s="15">
        <v>5</v>
      </c>
      <c r="AH809" s="15">
        <v>2</v>
      </c>
      <c r="AI809" s="15">
        <v>3</v>
      </c>
      <c r="AJ809" s="15">
        <v>0</v>
      </c>
    </row>
    <row r="810" spans="1:36" x14ac:dyDescent="0.25">
      <c r="A810">
        <v>146</v>
      </c>
      <c r="B810">
        <v>29</v>
      </c>
      <c r="C810" t="s">
        <v>9</v>
      </c>
      <c r="D810" t="s">
        <v>16</v>
      </c>
      <c r="E810">
        <v>746</v>
      </c>
      <c r="F810" t="s">
        <v>118</v>
      </c>
      <c r="G810">
        <v>2</v>
      </c>
      <c r="H810">
        <v>3</v>
      </c>
      <c r="I810" t="s">
        <v>21</v>
      </c>
      <c r="J810">
        <v>1</v>
      </c>
      <c r="K810">
        <v>469</v>
      </c>
      <c r="L810">
        <v>4</v>
      </c>
      <c r="M810" t="s">
        <v>23</v>
      </c>
      <c r="N810">
        <v>61</v>
      </c>
      <c r="O810">
        <v>3</v>
      </c>
      <c r="P810">
        <v>2</v>
      </c>
      <c r="Q810" t="s">
        <v>25</v>
      </c>
      <c r="R810">
        <v>3</v>
      </c>
      <c r="S810" t="s">
        <v>28</v>
      </c>
      <c r="T810">
        <v>4649</v>
      </c>
      <c r="U810">
        <v>16928</v>
      </c>
      <c r="V810">
        <v>1</v>
      </c>
      <c r="W810" t="s">
        <v>29</v>
      </c>
      <c r="X810" t="s">
        <v>9</v>
      </c>
      <c r="Y810">
        <v>14</v>
      </c>
      <c r="Z810">
        <v>3</v>
      </c>
      <c r="AA810">
        <v>1</v>
      </c>
      <c r="AB810">
        <v>80</v>
      </c>
      <c r="AC810">
        <v>1</v>
      </c>
      <c r="AD810">
        <v>4</v>
      </c>
      <c r="AE810">
        <v>3</v>
      </c>
      <c r="AF810">
        <v>2</v>
      </c>
      <c r="AG810">
        <v>4</v>
      </c>
      <c r="AH810">
        <v>3</v>
      </c>
      <c r="AI810">
        <v>0</v>
      </c>
      <c r="AJ810">
        <v>2</v>
      </c>
    </row>
    <row r="811" spans="1:36" x14ac:dyDescent="0.25">
      <c r="A811">
        <v>153</v>
      </c>
      <c r="B811">
        <v>32</v>
      </c>
      <c r="C811" t="s">
        <v>9</v>
      </c>
      <c r="D811" t="s">
        <v>15</v>
      </c>
      <c r="E811">
        <v>906</v>
      </c>
      <c r="F811" t="s">
        <v>118</v>
      </c>
      <c r="G811">
        <v>7</v>
      </c>
      <c r="H811">
        <v>3</v>
      </c>
      <c r="I811" t="s">
        <v>21</v>
      </c>
      <c r="J811">
        <v>1</v>
      </c>
      <c r="K811">
        <v>420</v>
      </c>
      <c r="L811">
        <v>4</v>
      </c>
      <c r="M811" t="s">
        <v>23</v>
      </c>
      <c r="N811">
        <v>91</v>
      </c>
      <c r="O811">
        <v>2</v>
      </c>
      <c r="P811">
        <v>2</v>
      </c>
      <c r="Q811" t="s">
        <v>25</v>
      </c>
      <c r="R811">
        <v>3</v>
      </c>
      <c r="S811" t="s">
        <v>28</v>
      </c>
      <c r="T811">
        <v>5484</v>
      </c>
      <c r="U811">
        <v>16985</v>
      </c>
      <c r="V811">
        <v>1</v>
      </c>
      <c r="W811" t="s">
        <v>29</v>
      </c>
      <c r="X811" t="s">
        <v>9</v>
      </c>
      <c r="Y811">
        <v>14</v>
      </c>
      <c r="Z811">
        <v>3</v>
      </c>
      <c r="AA811">
        <v>3</v>
      </c>
      <c r="AB811">
        <v>80</v>
      </c>
      <c r="AC811">
        <v>1</v>
      </c>
      <c r="AD811">
        <v>13</v>
      </c>
      <c r="AE811">
        <v>3</v>
      </c>
      <c r="AF811">
        <v>2</v>
      </c>
      <c r="AG811">
        <v>13</v>
      </c>
      <c r="AH811">
        <v>8</v>
      </c>
      <c r="AI811">
        <v>4</v>
      </c>
      <c r="AJ811">
        <v>8</v>
      </c>
    </row>
    <row r="812" spans="1:36" x14ac:dyDescent="0.25">
      <c r="A812">
        <v>310</v>
      </c>
      <c r="B812">
        <v>25</v>
      </c>
      <c r="C812" t="s">
        <v>9</v>
      </c>
      <c r="D812" t="s">
        <v>15</v>
      </c>
      <c r="E812">
        <v>810</v>
      </c>
      <c r="F812" t="s">
        <v>118</v>
      </c>
      <c r="G812">
        <v>8</v>
      </c>
      <c r="H812">
        <v>3</v>
      </c>
      <c r="I812" t="s">
        <v>21</v>
      </c>
      <c r="J812">
        <v>1</v>
      </c>
      <c r="K812">
        <v>707</v>
      </c>
      <c r="L812">
        <v>4</v>
      </c>
      <c r="M812" t="s">
        <v>23</v>
      </c>
      <c r="N812">
        <v>57</v>
      </c>
      <c r="O812">
        <v>4</v>
      </c>
      <c r="P812">
        <v>2</v>
      </c>
      <c r="Q812" t="s">
        <v>25</v>
      </c>
      <c r="R812">
        <v>2</v>
      </c>
      <c r="S812" t="s">
        <v>28</v>
      </c>
      <c r="T812">
        <v>4851</v>
      </c>
      <c r="U812">
        <v>15678</v>
      </c>
      <c r="V812">
        <v>0</v>
      </c>
      <c r="W812" t="s">
        <v>29</v>
      </c>
      <c r="X812" t="s">
        <v>9</v>
      </c>
      <c r="Y812">
        <v>22</v>
      </c>
      <c r="Z812">
        <v>4</v>
      </c>
      <c r="AA812">
        <v>3</v>
      </c>
      <c r="AB812">
        <v>80</v>
      </c>
      <c r="AC812">
        <v>1</v>
      </c>
      <c r="AD812">
        <v>4</v>
      </c>
      <c r="AE812">
        <v>4</v>
      </c>
      <c r="AF812">
        <v>3</v>
      </c>
      <c r="AG812">
        <v>3</v>
      </c>
      <c r="AH812">
        <v>2</v>
      </c>
      <c r="AI812">
        <v>1</v>
      </c>
      <c r="AJ812">
        <v>2</v>
      </c>
    </row>
    <row r="813" spans="1:36" x14ac:dyDescent="0.25">
      <c r="A813">
        <v>556</v>
      </c>
      <c r="B813">
        <v>37</v>
      </c>
      <c r="C813" t="s">
        <v>9</v>
      </c>
      <c r="D813" t="s">
        <v>15</v>
      </c>
      <c r="E813">
        <v>558</v>
      </c>
      <c r="F813" t="s">
        <v>118</v>
      </c>
      <c r="G813">
        <v>2</v>
      </c>
      <c r="H813">
        <v>3</v>
      </c>
      <c r="I813" t="s">
        <v>18</v>
      </c>
      <c r="J813">
        <v>1</v>
      </c>
      <c r="K813">
        <v>656</v>
      </c>
      <c r="L813">
        <v>4</v>
      </c>
      <c r="M813" t="s">
        <v>23</v>
      </c>
      <c r="N813">
        <v>75</v>
      </c>
      <c r="O813">
        <v>3</v>
      </c>
      <c r="P813">
        <v>2</v>
      </c>
      <c r="Q813" t="s">
        <v>25</v>
      </c>
      <c r="R813">
        <v>3</v>
      </c>
      <c r="S813" t="s">
        <v>28</v>
      </c>
      <c r="T813">
        <v>9602</v>
      </c>
      <c r="U813">
        <v>3010</v>
      </c>
      <c r="V813">
        <v>4</v>
      </c>
      <c r="W813" t="s">
        <v>29</v>
      </c>
      <c r="X813" t="s">
        <v>10</v>
      </c>
      <c r="Y813">
        <v>11</v>
      </c>
      <c r="Z813">
        <v>3</v>
      </c>
      <c r="AA813">
        <v>3</v>
      </c>
      <c r="AB813">
        <v>80</v>
      </c>
      <c r="AC813">
        <v>1</v>
      </c>
      <c r="AD813">
        <v>17</v>
      </c>
      <c r="AE813">
        <v>3</v>
      </c>
      <c r="AF813">
        <v>2</v>
      </c>
      <c r="AG813">
        <v>3</v>
      </c>
      <c r="AH813">
        <v>0</v>
      </c>
      <c r="AI813">
        <v>1</v>
      </c>
      <c r="AJ813">
        <v>0</v>
      </c>
    </row>
    <row r="814" spans="1:36" x14ac:dyDescent="0.25">
      <c r="A814" s="15">
        <v>37</v>
      </c>
      <c r="B814" s="15">
        <v>35</v>
      </c>
      <c r="C814" s="15" t="s">
        <v>10</v>
      </c>
      <c r="D814" s="15" t="s">
        <v>15</v>
      </c>
      <c r="E814" s="15">
        <v>737</v>
      </c>
      <c r="F814" s="15" t="s">
        <v>118</v>
      </c>
      <c r="G814" s="15">
        <v>10</v>
      </c>
      <c r="H814" s="15">
        <v>3</v>
      </c>
      <c r="I814" s="15" t="s">
        <v>17</v>
      </c>
      <c r="J814" s="15">
        <v>1</v>
      </c>
      <c r="K814" s="15">
        <v>1639</v>
      </c>
      <c r="L814" s="15">
        <v>4</v>
      </c>
      <c r="M814" s="15" t="s">
        <v>23</v>
      </c>
      <c r="N814" s="15">
        <v>55</v>
      </c>
      <c r="O814" s="15">
        <v>2</v>
      </c>
      <c r="P814" s="15">
        <v>3</v>
      </c>
      <c r="Q814" s="15" t="s">
        <v>25</v>
      </c>
      <c r="R814" s="15">
        <v>1</v>
      </c>
      <c r="S814" s="15" t="s">
        <v>28</v>
      </c>
      <c r="T814" s="15">
        <v>10306</v>
      </c>
      <c r="U814" s="15">
        <v>21530</v>
      </c>
      <c r="V814" s="15">
        <v>9</v>
      </c>
      <c r="W814" s="15" t="s">
        <v>29</v>
      </c>
      <c r="X814" s="15" t="s">
        <v>9</v>
      </c>
      <c r="Y814" s="15">
        <v>17</v>
      </c>
      <c r="Z814" s="15">
        <v>3</v>
      </c>
      <c r="AA814" s="15">
        <v>3</v>
      </c>
      <c r="AB814" s="15">
        <v>80</v>
      </c>
      <c r="AC814" s="15">
        <v>0</v>
      </c>
      <c r="AD814" s="15">
        <v>15</v>
      </c>
      <c r="AE814" s="15">
        <v>3</v>
      </c>
      <c r="AF814" s="15">
        <v>3</v>
      </c>
      <c r="AG814" s="15">
        <v>13</v>
      </c>
      <c r="AH814" s="15">
        <v>12</v>
      </c>
      <c r="AI814" s="15">
        <v>6</v>
      </c>
      <c r="AJ814" s="15">
        <v>0</v>
      </c>
    </row>
    <row r="815" spans="1:36" x14ac:dyDescent="0.25">
      <c r="A815" s="15">
        <v>734</v>
      </c>
      <c r="B815" s="15">
        <v>32</v>
      </c>
      <c r="C815" s="15" t="s">
        <v>10</v>
      </c>
      <c r="D815" s="15" t="s">
        <v>16</v>
      </c>
      <c r="E815" s="15">
        <v>1474</v>
      </c>
      <c r="F815" s="15" t="s">
        <v>118</v>
      </c>
      <c r="G815" s="15">
        <v>11</v>
      </c>
      <c r="H815" s="15">
        <v>4</v>
      </c>
      <c r="I815" s="15" t="s">
        <v>19</v>
      </c>
      <c r="J815" s="15">
        <v>1</v>
      </c>
      <c r="K815" s="15">
        <v>631</v>
      </c>
      <c r="L815" s="15">
        <v>4</v>
      </c>
      <c r="M815" s="15" t="s">
        <v>23</v>
      </c>
      <c r="N815" s="15">
        <v>60</v>
      </c>
      <c r="O815" s="15">
        <v>4</v>
      </c>
      <c r="P815" s="15">
        <v>2</v>
      </c>
      <c r="Q815" s="15" t="s">
        <v>25</v>
      </c>
      <c r="R815" s="15">
        <v>3</v>
      </c>
      <c r="S815" s="15" t="s">
        <v>28</v>
      </c>
      <c r="T815" s="15">
        <v>4707</v>
      </c>
      <c r="U815" s="15">
        <v>23914</v>
      </c>
      <c r="V815" s="15">
        <v>8</v>
      </c>
      <c r="W815" s="15" t="s">
        <v>29</v>
      </c>
      <c r="X815" s="15" t="s">
        <v>9</v>
      </c>
      <c r="Y815" s="15">
        <v>12</v>
      </c>
      <c r="Z815" s="15">
        <v>3</v>
      </c>
      <c r="AA815" s="15">
        <v>4</v>
      </c>
      <c r="AB815" s="15">
        <v>80</v>
      </c>
      <c r="AC815" s="15">
        <v>0</v>
      </c>
      <c r="AD815" s="15">
        <v>6</v>
      </c>
      <c r="AE815" s="15">
        <v>2</v>
      </c>
      <c r="AF815" s="15">
        <v>3</v>
      </c>
      <c r="AG815" s="15">
        <v>4</v>
      </c>
      <c r="AH815" s="15">
        <v>2</v>
      </c>
      <c r="AI815" s="15">
        <v>1</v>
      </c>
      <c r="AJ815" s="15">
        <v>2</v>
      </c>
    </row>
    <row r="816" spans="1:36" x14ac:dyDescent="0.25">
      <c r="A816">
        <v>281</v>
      </c>
      <c r="B816">
        <v>43</v>
      </c>
      <c r="C816" t="s">
        <v>9</v>
      </c>
      <c r="D816" t="s">
        <v>15</v>
      </c>
      <c r="E816">
        <v>1179</v>
      </c>
      <c r="F816" t="s">
        <v>118</v>
      </c>
      <c r="G816">
        <v>2</v>
      </c>
      <c r="H816">
        <v>3</v>
      </c>
      <c r="I816" t="s">
        <v>17</v>
      </c>
      <c r="J816">
        <v>1</v>
      </c>
      <c r="K816">
        <v>1706</v>
      </c>
      <c r="L816">
        <v>4</v>
      </c>
      <c r="M816" t="s">
        <v>23</v>
      </c>
      <c r="N816">
        <v>73</v>
      </c>
      <c r="O816">
        <v>3</v>
      </c>
      <c r="P816">
        <v>2</v>
      </c>
      <c r="Q816" t="s">
        <v>25</v>
      </c>
      <c r="R816">
        <v>4</v>
      </c>
      <c r="S816" t="s">
        <v>28</v>
      </c>
      <c r="T816">
        <v>7847</v>
      </c>
      <c r="U816">
        <v>6069</v>
      </c>
      <c r="V816">
        <v>1</v>
      </c>
      <c r="W816" t="s">
        <v>29</v>
      </c>
      <c r="X816" t="s">
        <v>10</v>
      </c>
      <c r="Y816">
        <v>17</v>
      </c>
      <c r="Z816">
        <v>3</v>
      </c>
      <c r="AA816">
        <v>1</v>
      </c>
      <c r="AB816">
        <v>80</v>
      </c>
      <c r="AC816">
        <v>1</v>
      </c>
      <c r="AD816">
        <v>10</v>
      </c>
      <c r="AE816">
        <v>3</v>
      </c>
      <c r="AF816">
        <v>3</v>
      </c>
      <c r="AG816">
        <v>10</v>
      </c>
      <c r="AH816">
        <v>9</v>
      </c>
      <c r="AI816">
        <v>8</v>
      </c>
      <c r="AJ816">
        <v>8</v>
      </c>
    </row>
    <row r="817" spans="1:36" x14ac:dyDescent="0.25">
      <c r="A817">
        <v>77</v>
      </c>
      <c r="B817">
        <v>34</v>
      </c>
      <c r="C817" t="s">
        <v>9</v>
      </c>
      <c r="D817" t="s">
        <v>15</v>
      </c>
      <c r="E817">
        <v>971</v>
      </c>
      <c r="F817" t="s">
        <v>118</v>
      </c>
      <c r="G817">
        <v>1</v>
      </c>
      <c r="H817">
        <v>3</v>
      </c>
      <c r="I817" t="s">
        <v>22</v>
      </c>
      <c r="J817">
        <v>1</v>
      </c>
      <c r="K817">
        <v>1535</v>
      </c>
      <c r="L817">
        <v>4</v>
      </c>
      <c r="M817" t="s">
        <v>23</v>
      </c>
      <c r="N817">
        <v>64</v>
      </c>
      <c r="O817">
        <v>2</v>
      </c>
      <c r="P817">
        <v>3</v>
      </c>
      <c r="Q817" t="s">
        <v>25</v>
      </c>
      <c r="R817">
        <v>3</v>
      </c>
      <c r="S817" t="s">
        <v>28</v>
      </c>
      <c r="T817">
        <v>7083</v>
      </c>
      <c r="U817">
        <v>12288</v>
      </c>
      <c r="V817">
        <v>1</v>
      </c>
      <c r="W817" t="s">
        <v>29</v>
      </c>
      <c r="X817" t="s">
        <v>10</v>
      </c>
      <c r="Y817">
        <v>14</v>
      </c>
      <c r="Z817">
        <v>3</v>
      </c>
      <c r="AA817">
        <v>4</v>
      </c>
      <c r="AB817">
        <v>80</v>
      </c>
      <c r="AC817">
        <v>0</v>
      </c>
      <c r="AD817">
        <v>10</v>
      </c>
      <c r="AE817">
        <v>3</v>
      </c>
      <c r="AF817">
        <v>3</v>
      </c>
      <c r="AG817">
        <v>10</v>
      </c>
      <c r="AH817">
        <v>9</v>
      </c>
      <c r="AI817">
        <v>8</v>
      </c>
      <c r="AJ817">
        <v>6</v>
      </c>
    </row>
    <row r="818" spans="1:36" x14ac:dyDescent="0.25">
      <c r="A818">
        <v>198</v>
      </c>
      <c r="B818">
        <v>49</v>
      </c>
      <c r="C818" t="s">
        <v>9</v>
      </c>
      <c r="D818" t="s">
        <v>15</v>
      </c>
      <c r="E818">
        <v>174</v>
      </c>
      <c r="F818" t="s">
        <v>118</v>
      </c>
      <c r="G818">
        <v>8</v>
      </c>
      <c r="H818">
        <v>4</v>
      </c>
      <c r="I818" t="s">
        <v>22</v>
      </c>
      <c r="J818">
        <v>1</v>
      </c>
      <c r="K818">
        <v>1138</v>
      </c>
      <c r="L818">
        <v>4</v>
      </c>
      <c r="M818" t="s">
        <v>23</v>
      </c>
      <c r="N818">
        <v>56</v>
      </c>
      <c r="O818">
        <v>2</v>
      </c>
      <c r="P818">
        <v>4</v>
      </c>
      <c r="Q818" t="s">
        <v>25</v>
      </c>
      <c r="R818">
        <v>2</v>
      </c>
      <c r="S818" t="s">
        <v>28</v>
      </c>
      <c r="T818">
        <v>13120</v>
      </c>
      <c r="U818">
        <v>11879</v>
      </c>
      <c r="V818">
        <v>6</v>
      </c>
      <c r="W818" t="s">
        <v>29</v>
      </c>
      <c r="X818" t="s">
        <v>9</v>
      </c>
      <c r="Y818">
        <v>17</v>
      </c>
      <c r="Z818">
        <v>3</v>
      </c>
      <c r="AA818">
        <v>2</v>
      </c>
      <c r="AB818">
        <v>80</v>
      </c>
      <c r="AC818">
        <v>1</v>
      </c>
      <c r="AD818">
        <v>22</v>
      </c>
      <c r="AE818">
        <v>3</v>
      </c>
      <c r="AF818">
        <v>3</v>
      </c>
      <c r="AG818">
        <v>9</v>
      </c>
      <c r="AH818">
        <v>8</v>
      </c>
      <c r="AI818">
        <v>2</v>
      </c>
      <c r="AJ818">
        <v>3</v>
      </c>
    </row>
    <row r="819" spans="1:36" x14ac:dyDescent="0.25">
      <c r="A819">
        <v>856</v>
      </c>
      <c r="B819">
        <v>35</v>
      </c>
      <c r="C819" t="s">
        <v>9</v>
      </c>
      <c r="D819" t="s">
        <v>15</v>
      </c>
      <c r="E819">
        <v>660</v>
      </c>
      <c r="F819" t="s">
        <v>118</v>
      </c>
      <c r="G819">
        <v>7</v>
      </c>
      <c r="H819">
        <v>1</v>
      </c>
      <c r="I819" t="s">
        <v>21</v>
      </c>
      <c r="J819">
        <v>1</v>
      </c>
      <c r="K819">
        <v>1492</v>
      </c>
      <c r="L819">
        <v>4</v>
      </c>
      <c r="M819" t="s">
        <v>23</v>
      </c>
      <c r="N819">
        <v>76</v>
      </c>
      <c r="O819">
        <v>3</v>
      </c>
      <c r="P819">
        <v>1</v>
      </c>
      <c r="Q819" t="s">
        <v>33</v>
      </c>
      <c r="R819">
        <v>3</v>
      </c>
      <c r="S819" t="s">
        <v>28</v>
      </c>
      <c r="T819">
        <v>2404</v>
      </c>
      <c r="U819">
        <v>16192</v>
      </c>
      <c r="V819">
        <v>1</v>
      </c>
      <c r="W819" t="s">
        <v>29</v>
      </c>
      <c r="X819" t="s">
        <v>9</v>
      </c>
      <c r="Y819">
        <v>13</v>
      </c>
      <c r="Z819">
        <v>3</v>
      </c>
      <c r="AA819">
        <v>1</v>
      </c>
      <c r="AB819">
        <v>80</v>
      </c>
      <c r="AC819">
        <v>1</v>
      </c>
      <c r="AD819">
        <v>1</v>
      </c>
      <c r="AE819">
        <v>3</v>
      </c>
      <c r="AF819">
        <v>3</v>
      </c>
      <c r="AG819">
        <v>1</v>
      </c>
      <c r="AH819">
        <v>0</v>
      </c>
      <c r="AI819">
        <v>0</v>
      </c>
      <c r="AJ819">
        <v>0</v>
      </c>
    </row>
    <row r="820" spans="1:36" x14ac:dyDescent="0.25">
      <c r="A820">
        <v>666</v>
      </c>
      <c r="B820">
        <v>29</v>
      </c>
      <c r="C820" t="s">
        <v>9</v>
      </c>
      <c r="D820" t="s">
        <v>11</v>
      </c>
      <c r="E820">
        <v>461</v>
      </c>
      <c r="F820" t="s">
        <v>119</v>
      </c>
      <c r="G820">
        <v>1</v>
      </c>
      <c r="H820">
        <v>3</v>
      </c>
      <c r="I820" t="s">
        <v>21</v>
      </c>
      <c r="J820">
        <v>1</v>
      </c>
      <c r="K820">
        <v>1753</v>
      </c>
      <c r="L820">
        <v>4</v>
      </c>
      <c r="M820" t="s">
        <v>23</v>
      </c>
      <c r="N820">
        <v>70</v>
      </c>
      <c r="O820">
        <v>4</v>
      </c>
      <c r="P820">
        <v>2</v>
      </c>
      <c r="Q820" t="s">
        <v>34</v>
      </c>
      <c r="R820">
        <v>3</v>
      </c>
      <c r="S820" t="s">
        <v>27</v>
      </c>
      <c r="T820">
        <v>6294</v>
      </c>
      <c r="U820">
        <v>23060</v>
      </c>
      <c r="V820">
        <v>8</v>
      </c>
      <c r="W820" t="s">
        <v>29</v>
      </c>
      <c r="X820" t="s">
        <v>10</v>
      </c>
      <c r="Y820">
        <v>12</v>
      </c>
      <c r="Z820">
        <v>3</v>
      </c>
      <c r="AA820">
        <v>4</v>
      </c>
      <c r="AB820">
        <v>80</v>
      </c>
      <c r="AC820">
        <v>0</v>
      </c>
      <c r="AD820">
        <v>10</v>
      </c>
      <c r="AE820">
        <v>5</v>
      </c>
      <c r="AF820">
        <v>4</v>
      </c>
      <c r="AG820">
        <v>3</v>
      </c>
      <c r="AH820">
        <v>2</v>
      </c>
      <c r="AI820">
        <v>0</v>
      </c>
      <c r="AJ820">
        <v>2</v>
      </c>
    </row>
    <row r="821" spans="1:36" x14ac:dyDescent="0.25">
      <c r="A821" s="15">
        <v>429</v>
      </c>
      <c r="B821" s="15">
        <v>32</v>
      </c>
      <c r="C821" s="15" t="s">
        <v>10</v>
      </c>
      <c r="D821" s="15" t="s">
        <v>15</v>
      </c>
      <c r="E821" s="15">
        <v>515</v>
      </c>
      <c r="F821" s="15" t="s">
        <v>119</v>
      </c>
      <c r="G821" s="15">
        <v>1</v>
      </c>
      <c r="H821" s="15">
        <v>3</v>
      </c>
      <c r="I821" s="15" t="s">
        <v>21</v>
      </c>
      <c r="J821" s="15">
        <v>1</v>
      </c>
      <c r="K821" s="15">
        <v>331</v>
      </c>
      <c r="L821" s="15">
        <v>4</v>
      </c>
      <c r="M821" s="15" t="s">
        <v>23</v>
      </c>
      <c r="N821" s="15">
        <v>62</v>
      </c>
      <c r="O821" s="15">
        <v>2</v>
      </c>
      <c r="P821" s="15">
        <v>1</v>
      </c>
      <c r="Q821" s="15" t="s">
        <v>36</v>
      </c>
      <c r="R821" s="15">
        <v>3</v>
      </c>
      <c r="S821" s="15" t="s">
        <v>27</v>
      </c>
      <c r="T821" s="15">
        <v>3730</v>
      </c>
      <c r="U821" s="15">
        <v>9571</v>
      </c>
      <c r="V821" s="15">
        <v>0</v>
      </c>
      <c r="W821" s="15" t="s">
        <v>29</v>
      </c>
      <c r="X821" s="15" t="s">
        <v>10</v>
      </c>
      <c r="Y821" s="15">
        <v>14</v>
      </c>
      <c r="Z821" s="15">
        <v>3</v>
      </c>
      <c r="AA821" s="15">
        <v>4</v>
      </c>
      <c r="AB821" s="15">
        <v>80</v>
      </c>
      <c r="AC821" s="15">
        <v>0</v>
      </c>
      <c r="AD821" s="15">
        <v>4</v>
      </c>
      <c r="AE821" s="15">
        <v>2</v>
      </c>
      <c r="AF821" s="15">
        <v>1</v>
      </c>
      <c r="AG821" s="15">
        <v>3</v>
      </c>
      <c r="AH821" s="15">
        <v>2</v>
      </c>
      <c r="AI821" s="15">
        <v>1</v>
      </c>
      <c r="AJ821" s="15">
        <v>2</v>
      </c>
    </row>
    <row r="822" spans="1:36" x14ac:dyDescent="0.25">
      <c r="A822">
        <v>748</v>
      </c>
      <c r="B822">
        <v>34</v>
      </c>
      <c r="C822" t="s">
        <v>9</v>
      </c>
      <c r="D822" t="s">
        <v>11</v>
      </c>
      <c r="E822">
        <v>669</v>
      </c>
      <c r="F822" t="s">
        <v>119</v>
      </c>
      <c r="G822">
        <v>1</v>
      </c>
      <c r="H822">
        <v>3</v>
      </c>
      <c r="I822" t="s">
        <v>17</v>
      </c>
      <c r="J822">
        <v>1</v>
      </c>
      <c r="K822">
        <v>1184</v>
      </c>
      <c r="L822">
        <v>4</v>
      </c>
      <c r="M822" t="s">
        <v>23</v>
      </c>
      <c r="N822">
        <v>97</v>
      </c>
      <c r="O822">
        <v>2</v>
      </c>
      <c r="P822">
        <v>2</v>
      </c>
      <c r="Q822" t="s">
        <v>34</v>
      </c>
      <c r="R822">
        <v>1</v>
      </c>
      <c r="S822" t="s">
        <v>27</v>
      </c>
      <c r="T822">
        <v>5343</v>
      </c>
      <c r="U822">
        <v>25755</v>
      </c>
      <c r="V822">
        <v>0</v>
      </c>
      <c r="W822" t="s">
        <v>29</v>
      </c>
      <c r="X822" t="s">
        <v>9</v>
      </c>
      <c r="Y822">
        <v>20</v>
      </c>
      <c r="Z822">
        <v>4</v>
      </c>
      <c r="AA822">
        <v>3</v>
      </c>
      <c r="AB822">
        <v>80</v>
      </c>
      <c r="AC822">
        <v>0</v>
      </c>
      <c r="AD822">
        <v>14</v>
      </c>
      <c r="AE822">
        <v>3</v>
      </c>
      <c r="AF822">
        <v>3</v>
      </c>
      <c r="AG822">
        <v>13</v>
      </c>
      <c r="AH822">
        <v>9</v>
      </c>
      <c r="AI822">
        <v>4</v>
      </c>
      <c r="AJ822">
        <v>9</v>
      </c>
    </row>
    <row r="823" spans="1:36" x14ac:dyDescent="0.25">
      <c r="A823" s="15">
        <v>472</v>
      </c>
      <c r="B823" s="15">
        <v>29</v>
      </c>
      <c r="C823" s="15" t="s">
        <v>10</v>
      </c>
      <c r="D823" s="15" t="s">
        <v>11</v>
      </c>
      <c r="E823" s="15">
        <v>459</v>
      </c>
      <c r="F823" s="15" t="s">
        <v>119</v>
      </c>
      <c r="G823" s="15">
        <v>24</v>
      </c>
      <c r="H823" s="15">
        <v>2</v>
      </c>
      <c r="I823" s="15" t="s">
        <v>21</v>
      </c>
      <c r="J823" s="15">
        <v>1</v>
      </c>
      <c r="K823" s="15">
        <v>1868</v>
      </c>
      <c r="L823" s="15">
        <v>4</v>
      </c>
      <c r="M823" s="15" t="s">
        <v>23</v>
      </c>
      <c r="N823" s="15">
        <v>73</v>
      </c>
      <c r="O823" s="15">
        <v>2</v>
      </c>
      <c r="P823" s="15">
        <v>1</v>
      </c>
      <c r="Q823" s="15" t="s">
        <v>32</v>
      </c>
      <c r="R823" s="15">
        <v>4</v>
      </c>
      <c r="S823" s="15" t="s">
        <v>27</v>
      </c>
      <c r="T823" s="15">
        <v>2439</v>
      </c>
      <c r="U823" s="15">
        <v>14753</v>
      </c>
      <c r="V823" s="15">
        <v>1</v>
      </c>
      <c r="W823" s="15" t="s">
        <v>29</v>
      </c>
      <c r="X823" s="15" t="s">
        <v>10</v>
      </c>
      <c r="Y823" s="15">
        <v>24</v>
      </c>
      <c r="Z823" s="15">
        <v>4</v>
      </c>
      <c r="AA823" s="15">
        <v>2</v>
      </c>
      <c r="AB823" s="15">
        <v>80</v>
      </c>
      <c r="AC823" s="15">
        <v>0</v>
      </c>
      <c r="AD823" s="15">
        <v>1</v>
      </c>
      <c r="AE823" s="15">
        <v>3</v>
      </c>
      <c r="AF823" s="15">
        <v>2</v>
      </c>
      <c r="AG823" s="15">
        <v>1</v>
      </c>
      <c r="AH823" s="15">
        <v>0</v>
      </c>
      <c r="AI823" s="15">
        <v>1</v>
      </c>
      <c r="AJ823" s="15">
        <v>0</v>
      </c>
    </row>
    <row r="824" spans="1:36" x14ac:dyDescent="0.25">
      <c r="A824">
        <v>698</v>
      </c>
      <c r="B824">
        <v>36</v>
      </c>
      <c r="C824" t="s">
        <v>9</v>
      </c>
      <c r="D824" t="s">
        <v>15</v>
      </c>
      <c r="E824">
        <v>1396</v>
      </c>
      <c r="F824" t="s">
        <v>119</v>
      </c>
      <c r="G824">
        <v>5</v>
      </c>
      <c r="H824">
        <v>2</v>
      </c>
      <c r="I824" t="s">
        <v>21</v>
      </c>
      <c r="J824">
        <v>1</v>
      </c>
      <c r="K824">
        <v>304</v>
      </c>
      <c r="L824">
        <v>4</v>
      </c>
      <c r="M824" t="s">
        <v>23</v>
      </c>
      <c r="N824">
        <v>62</v>
      </c>
      <c r="O824">
        <v>3</v>
      </c>
      <c r="P824">
        <v>2</v>
      </c>
      <c r="Q824" t="s">
        <v>36</v>
      </c>
      <c r="R824">
        <v>2</v>
      </c>
      <c r="S824" t="s">
        <v>27</v>
      </c>
      <c r="T824">
        <v>5914</v>
      </c>
      <c r="U824">
        <v>9945</v>
      </c>
      <c r="V824">
        <v>8</v>
      </c>
      <c r="W824" t="s">
        <v>29</v>
      </c>
      <c r="X824" t="s">
        <v>9</v>
      </c>
      <c r="Y824">
        <v>16</v>
      </c>
      <c r="Z824">
        <v>3</v>
      </c>
      <c r="AA824">
        <v>4</v>
      </c>
      <c r="AB824">
        <v>80</v>
      </c>
      <c r="AC824">
        <v>0</v>
      </c>
      <c r="AD824">
        <v>16</v>
      </c>
      <c r="AE824">
        <v>3</v>
      </c>
      <c r="AF824">
        <v>4</v>
      </c>
      <c r="AG824">
        <v>13</v>
      </c>
      <c r="AH824">
        <v>11</v>
      </c>
      <c r="AI824">
        <v>3</v>
      </c>
      <c r="AJ824">
        <v>7</v>
      </c>
    </row>
    <row r="825" spans="1:36" x14ac:dyDescent="0.25">
      <c r="A825">
        <v>725</v>
      </c>
      <c r="B825">
        <v>42</v>
      </c>
      <c r="C825" t="s">
        <v>9</v>
      </c>
      <c r="D825" t="s">
        <v>15</v>
      </c>
      <c r="E825">
        <v>1142</v>
      </c>
      <c r="F825" t="s">
        <v>119</v>
      </c>
      <c r="G825">
        <v>8</v>
      </c>
      <c r="H825">
        <v>3</v>
      </c>
      <c r="I825" t="s">
        <v>21</v>
      </c>
      <c r="J825">
        <v>1</v>
      </c>
      <c r="K825">
        <v>1860</v>
      </c>
      <c r="L825">
        <v>4</v>
      </c>
      <c r="M825" t="s">
        <v>23</v>
      </c>
      <c r="N825">
        <v>81</v>
      </c>
      <c r="O825">
        <v>3</v>
      </c>
      <c r="P825">
        <v>1</v>
      </c>
      <c r="Q825" t="s">
        <v>36</v>
      </c>
      <c r="R825">
        <v>3</v>
      </c>
      <c r="S825" t="s">
        <v>27</v>
      </c>
      <c r="T825">
        <v>3968</v>
      </c>
      <c r="U825">
        <v>13624</v>
      </c>
      <c r="V825">
        <v>4</v>
      </c>
      <c r="W825" t="s">
        <v>29</v>
      </c>
      <c r="X825" t="s">
        <v>9</v>
      </c>
      <c r="Y825">
        <v>13</v>
      </c>
      <c r="Z825">
        <v>3</v>
      </c>
      <c r="AA825">
        <v>4</v>
      </c>
      <c r="AB825">
        <v>80</v>
      </c>
      <c r="AC825">
        <v>0</v>
      </c>
      <c r="AD825">
        <v>8</v>
      </c>
      <c r="AE825">
        <v>3</v>
      </c>
      <c r="AF825">
        <v>3</v>
      </c>
      <c r="AG825">
        <v>0</v>
      </c>
      <c r="AH825">
        <v>0</v>
      </c>
      <c r="AI825">
        <v>0</v>
      </c>
      <c r="AJ825">
        <v>0</v>
      </c>
    </row>
    <row r="826" spans="1:36" x14ac:dyDescent="0.25">
      <c r="A826">
        <v>149</v>
      </c>
      <c r="B826">
        <v>24</v>
      </c>
      <c r="C826" t="s">
        <v>9</v>
      </c>
      <c r="D826" t="s">
        <v>15</v>
      </c>
      <c r="E826">
        <v>477</v>
      </c>
      <c r="F826" t="s">
        <v>119</v>
      </c>
      <c r="G826">
        <v>24</v>
      </c>
      <c r="H826">
        <v>3</v>
      </c>
      <c r="I826" t="s">
        <v>17</v>
      </c>
      <c r="J826">
        <v>1</v>
      </c>
      <c r="K826">
        <v>1173</v>
      </c>
      <c r="L826">
        <v>4</v>
      </c>
      <c r="M826" t="s">
        <v>23</v>
      </c>
      <c r="N826">
        <v>49</v>
      </c>
      <c r="O826">
        <v>3</v>
      </c>
      <c r="P826">
        <v>1</v>
      </c>
      <c r="Q826" t="s">
        <v>36</v>
      </c>
      <c r="R826">
        <v>2</v>
      </c>
      <c r="S826" t="s">
        <v>27</v>
      </c>
      <c r="T826">
        <v>3597</v>
      </c>
      <c r="U826">
        <v>6409</v>
      </c>
      <c r="V826">
        <v>8</v>
      </c>
      <c r="W826" t="s">
        <v>29</v>
      </c>
      <c r="X826" t="s">
        <v>9</v>
      </c>
      <c r="Y826">
        <v>22</v>
      </c>
      <c r="Z826">
        <v>4</v>
      </c>
      <c r="AA826">
        <v>4</v>
      </c>
      <c r="AB826">
        <v>80</v>
      </c>
      <c r="AC826">
        <v>0</v>
      </c>
      <c r="AD826">
        <v>6</v>
      </c>
      <c r="AE826">
        <v>2</v>
      </c>
      <c r="AF826">
        <v>3</v>
      </c>
      <c r="AG826">
        <v>4</v>
      </c>
      <c r="AH826">
        <v>3</v>
      </c>
      <c r="AI826">
        <v>1</v>
      </c>
      <c r="AJ826">
        <v>2</v>
      </c>
    </row>
    <row r="827" spans="1:36" x14ac:dyDescent="0.25">
      <c r="A827">
        <v>282</v>
      </c>
      <c r="B827">
        <v>41</v>
      </c>
      <c r="C827" t="s">
        <v>9</v>
      </c>
      <c r="D827" t="s">
        <v>15</v>
      </c>
      <c r="E827">
        <v>263</v>
      </c>
      <c r="F827" t="s">
        <v>119</v>
      </c>
      <c r="G827">
        <v>6</v>
      </c>
      <c r="H827">
        <v>3</v>
      </c>
      <c r="I827" t="s">
        <v>17</v>
      </c>
      <c r="J827">
        <v>1</v>
      </c>
      <c r="K827">
        <v>957</v>
      </c>
      <c r="L827">
        <v>4</v>
      </c>
      <c r="M827" t="s">
        <v>23</v>
      </c>
      <c r="N827">
        <v>59</v>
      </c>
      <c r="O827">
        <v>3</v>
      </c>
      <c r="P827">
        <v>1</v>
      </c>
      <c r="Q827" t="s">
        <v>36</v>
      </c>
      <c r="R827">
        <v>1</v>
      </c>
      <c r="S827" t="s">
        <v>27</v>
      </c>
      <c r="T827">
        <v>4721</v>
      </c>
      <c r="U827">
        <v>3119</v>
      </c>
      <c r="V827">
        <v>2</v>
      </c>
      <c r="W827" t="s">
        <v>29</v>
      </c>
      <c r="X827" t="s">
        <v>10</v>
      </c>
      <c r="Y827">
        <v>13</v>
      </c>
      <c r="Z827">
        <v>3</v>
      </c>
      <c r="AA827">
        <v>3</v>
      </c>
      <c r="AB827">
        <v>80</v>
      </c>
      <c r="AC827">
        <v>0</v>
      </c>
      <c r="AD827">
        <v>20</v>
      </c>
      <c r="AE827">
        <v>3</v>
      </c>
      <c r="AF827">
        <v>3</v>
      </c>
      <c r="AG827">
        <v>18</v>
      </c>
      <c r="AH827">
        <v>13</v>
      </c>
      <c r="AI827">
        <v>2</v>
      </c>
      <c r="AJ827">
        <v>17</v>
      </c>
    </row>
    <row r="828" spans="1:36" x14ac:dyDescent="0.25">
      <c r="A828">
        <v>561</v>
      </c>
      <c r="B828">
        <v>36</v>
      </c>
      <c r="C828" t="s">
        <v>9</v>
      </c>
      <c r="D828" t="s">
        <v>11</v>
      </c>
      <c r="E828">
        <v>1480</v>
      </c>
      <c r="F828" t="s">
        <v>119</v>
      </c>
      <c r="G828">
        <v>3</v>
      </c>
      <c r="H828">
        <v>2</v>
      </c>
      <c r="I828" t="s">
        <v>17</v>
      </c>
      <c r="J828">
        <v>1</v>
      </c>
      <c r="K828">
        <v>238</v>
      </c>
      <c r="L828">
        <v>4</v>
      </c>
      <c r="M828" t="s">
        <v>23</v>
      </c>
      <c r="N828">
        <v>30</v>
      </c>
      <c r="O828">
        <v>3</v>
      </c>
      <c r="P828">
        <v>1</v>
      </c>
      <c r="Q828" t="s">
        <v>36</v>
      </c>
      <c r="R828">
        <v>2</v>
      </c>
      <c r="S828" t="s">
        <v>27</v>
      </c>
      <c r="T828">
        <v>2088</v>
      </c>
      <c r="U828">
        <v>15062</v>
      </c>
      <c r="V828">
        <v>4</v>
      </c>
      <c r="W828" t="s">
        <v>29</v>
      </c>
      <c r="X828" t="s">
        <v>9</v>
      </c>
      <c r="Y828">
        <v>12</v>
      </c>
      <c r="Z828">
        <v>3</v>
      </c>
      <c r="AA828">
        <v>3</v>
      </c>
      <c r="AB828">
        <v>80</v>
      </c>
      <c r="AC828">
        <v>0</v>
      </c>
      <c r="AD828">
        <v>13</v>
      </c>
      <c r="AE828">
        <v>3</v>
      </c>
      <c r="AF828">
        <v>2</v>
      </c>
      <c r="AG828">
        <v>8</v>
      </c>
      <c r="AH828">
        <v>7</v>
      </c>
      <c r="AI828">
        <v>7</v>
      </c>
      <c r="AJ828">
        <v>2</v>
      </c>
    </row>
    <row r="829" spans="1:36" x14ac:dyDescent="0.25">
      <c r="A829">
        <v>651</v>
      </c>
      <c r="B829">
        <v>35</v>
      </c>
      <c r="C829" t="s">
        <v>9</v>
      </c>
      <c r="D829" t="s">
        <v>15</v>
      </c>
      <c r="E829">
        <v>992</v>
      </c>
      <c r="F829" t="s">
        <v>119</v>
      </c>
      <c r="G829">
        <v>1</v>
      </c>
      <c r="H829">
        <v>3</v>
      </c>
      <c r="I829" t="s">
        <v>17</v>
      </c>
      <c r="J829">
        <v>1</v>
      </c>
      <c r="K829">
        <v>1564</v>
      </c>
      <c r="L829">
        <v>4</v>
      </c>
      <c r="M829" t="s">
        <v>23</v>
      </c>
      <c r="N829">
        <v>68</v>
      </c>
      <c r="O829">
        <v>2</v>
      </c>
      <c r="P829">
        <v>1</v>
      </c>
      <c r="Q829" t="s">
        <v>36</v>
      </c>
      <c r="R829">
        <v>1</v>
      </c>
      <c r="S829" t="s">
        <v>27</v>
      </c>
      <c r="T829">
        <v>2450</v>
      </c>
      <c r="U829">
        <v>21731</v>
      </c>
      <c r="V829">
        <v>1</v>
      </c>
      <c r="W829" t="s">
        <v>29</v>
      </c>
      <c r="X829" t="s">
        <v>9</v>
      </c>
      <c r="Y829">
        <v>19</v>
      </c>
      <c r="Z829">
        <v>3</v>
      </c>
      <c r="AA829">
        <v>2</v>
      </c>
      <c r="AB829">
        <v>80</v>
      </c>
      <c r="AC829">
        <v>0</v>
      </c>
      <c r="AD829">
        <v>3</v>
      </c>
      <c r="AE829">
        <v>3</v>
      </c>
      <c r="AF829">
        <v>3</v>
      </c>
      <c r="AG829">
        <v>3</v>
      </c>
      <c r="AH829">
        <v>0</v>
      </c>
      <c r="AI829">
        <v>1</v>
      </c>
      <c r="AJ829">
        <v>2</v>
      </c>
    </row>
    <row r="830" spans="1:36" x14ac:dyDescent="0.25">
      <c r="A830">
        <v>779</v>
      </c>
      <c r="B830">
        <v>26</v>
      </c>
      <c r="C830" t="s">
        <v>9</v>
      </c>
      <c r="D830" t="s">
        <v>16</v>
      </c>
      <c r="E830">
        <v>786</v>
      </c>
      <c r="F830" t="s">
        <v>119</v>
      </c>
      <c r="G830">
        <v>7</v>
      </c>
      <c r="H830">
        <v>3</v>
      </c>
      <c r="I830" t="s">
        <v>17</v>
      </c>
      <c r="J830">
        <v>1</v>
      </c>
      <c r="K830">
        <v>1693</v>
      </c>
      <c r="L830">
        <v>4</v>
      </c>
      <c r="M830" t="s">
        <v>23</v>
      </c>
      <c r="N830">
        <v>76</v>
      </c>
      <c r="O830">
        <v>3</v>
      </c>
      <c r="P830">
        <v>1</v>
      </c>
      <c r="Q830" t="s">
        <v>36</v>
      </c>
      <c r="R830">
        <v>4</v>
      </c>
      <c r="S830" t="s">
        <v>27</v>
      </c>
      <c r="T830">
        <v>2570</v>
      </c>
      <c r="U830">
        <v>11925</v>
      </c>
      <c r="V830">
        <v>1</v>
      </c>
      <c r="W830" t="s">
        <v>29</v>
      </c>
      <c r="X830" t="s">
        <v>9</v>
      </c>
      <c r="Y830">
        <v>20</v>
      </c>
      <c r="Z830">
        <v>4</v>
      </c>
      <c r="AA830">
        <v>3</v>
      </c>
      <c r="AB830">
        <v>80</v>
      </c>
      <c r="AC830">
        <v>0</v>
      </c>
      <c r="AD830">
        <v>7</v>
      </c>
      <c r="AE830">
        <v>5</v>
      </c>
      <c r="AF830">
        <v>3</v>
      </c>
      <c r="AG830">
        <v>7</v>
      </c>
      <c r="AH830">
        <v>7</v>
      </c>
      <c r="AI830">
        <v>5</v>
      </c>
      <c r="AJ830">
        <v>7</v>
      </c>
    </row>
    <row r="831" spans="1:36" x14ac:dyDescent="0.25">
      <c r="A831">
        <v>852</v>
      </c>
      <c r="B831">
        <v>30</v>
      </c>
      <c r="C831" t="s">
        <v>9</v>
      </c>
      <c r="D831" t="s">
        <v>15</v>
      </c>
      <c r="E831">
        <v>125</v>
      </c>
      <c r="F831" t="s">
        <v>119</v>
      </c>
      <c r="G831">
        <v>9</v>
      </c>
      <c r="H831">
        <v>2</v>
      </c>
      <c r="I831" t="s">
        <v>17</v>
      </c>
      <c r="J831">
        <v>1</v>
      </c>
      <c r="K831">
        <v>41</v>
      </c>
      <c r="L831">
        <v>4</v>
      </c>
      <c r="M831" t="s">
        <v>23</v>
      </c>
      <c r="N831">
        <v>83</v>
      </c>
      <c r="O831">
        <v>2</v>
      </c>
      <c r="P831">
        <v>1</v>
      </c>
      <c r="Q831" t="s">
        <v>36</v>
      </c>
      <c r="R831">
        <v>3</v>
      </c>
      <c r="S831" t="s">
        <v>27</v>
      </c>
      <c r="T831">
        <v>2206</v>
      </c>
      <c r="U831">
        <v>16117</v>
      </c>
      <c r="V831">
        <v>1</v>
      </c>
      <c r="W831" t="s">
        <v>29</v>
      </c>
      <c r="X831" t="s">
        <v>9</v>
      </c>
      <c r="Y831">
        <v>13</v>
      </c>
      <c r="Z831">
        <v>3</v>
      </c>
      <c r="AA831">
        <v>1</v>
      </c>
      <c r="AB831">
        <v>80</v>
      </c>
      <c r="AC831">
        <v>0</v>
      </c>
      <c r="AD831">
        <v>10</v>
      </c>
      <c r="AE831">
        <v>5</v>
      </c>
      <c r="AF831">
        <v>3</v>
      </c>
      <c r="AG831">
        <v>10</v>
      </c>
      <c r="AH831">
        <v>0</v>
      </c>
      <c r="AI831">
        <v>1</v>
      </c>
      <c r="AJ831">
        <v>8</v>
      </c>
    </row>
    <row r="832" spans="1:36" x14ac:dyDescent="0.25">
      <c r="A832">
        <v>68</v>
      </c>
      <c r="B832">
        <v>23</v>
      </c>
      <c r="C832" t="s">
        <v>9</v>
      </c>
      <c r="D832" t="s">
        <v>15</v>
      </c>
      <c r="E832">
        <v>571</v>
      </c>
      <c r="F832" t="s">
        <v>119</v>
      </c>
      <c r="G832">
        <v>12</v>
      </c>
      <c r="H832">
        <v>2</v>
      </c>
      <c r="I832" t="s">
        <v>19</v>
      </c>
      <c r="J832">
        <v>1</v>
      </c>
      <c r="K832">
        <v>1982</v>
      </c>
      <c r="L832">
        <v>4</v>
      </c>
      <c r="M832" t="s">
        <v>23</v>
      </c>
      <c r="N832">
        <v>78</v>
      </c>
      <c r="O832">
        <v>3</v>
      </c>
      <c r="P832">
        <v>1</v>
      </c>
      <c r="Q832" t="s">
        <v>36</v>
      </c>
      <c r="R832">
        <v>4</v>
      </c>
      <c r="S832" t="s">
        <v>27</v>
      </c>
      <c r="T832">
        <v>2647</v>
      </c>
      <c r="U832">
        <v>13672</v>
      </c>
      <c r="V832">
        <v>1</v>
      </c>
      <c r="W832" t="s">
        <v>29</v>
      </c>
      <c r="X832" t="s">
        <v>9</v>
      </c>
      <c r="Y832">
        <v>13</v>
      </c>
      <c r="Z832">
        <v>3</v>
      </c>
      <c r="AA832">
        <v>3</v>
      </c>
      <c r="AB832">
        <v>80</v>
      </c>
      <c r="AC832">
        <v>0</v>
      </c>
      <c r="AD832">
        <v>5</v>
      </c>
      <c r="AE832">
        <v>6</v>
      </c>
      <c r="AF832">
        <v>4</v>
      </c>
      <c r="AG832">
        <v>5</v>
      </c>
      <c r="AH832">
        <v>2</v>
      </c>
      <c r="AI832">
        <v>1</v>
      </c>
      <c r="AJ832">
        <v>4</v>
      </c>
    </row>
    <row r="833" spans="1:36" x14ac:dyDescent="0.25">
      <c r="A833">
        <v>567</v>
      </c>
      <c r="B833">
        <v>32</v>
      </c>
      <c r="C833" t="s">
        <v>9</v>
      </c>
      <c r="D833" t="s">
        <v>15</v>
      </c>
      <c r="E833">
        <v>128</v>
      </c>
      <c r="F833" t="s">
        <v>119</v>
      </c>
      <c r="G833">
        <v>2</v>
      </c>
      <c r="H833">
        <v>1</v>
      </c>
      <c r="I833" t="s">
        <v>22</v>
      </c>
      <c r="J833">
        <v>1</v>
      </c>
      <c r="K833">
        <v>362</v>
      </c>
      <c r="L833">
        <v>4</v>
      </c>
      <c r="M833" t="s">
        <v>23</v>
      </c>
      <c r="N833">
        <v>84</v>
      </c>
      <c r="O833">
        <v>2</v>
      </c>
      <c r="P833">
        <v>2</v>
      </c>
      <c r="Q833" t="s">
        <v>36</v>
      </c>
      <c r="R833">
        <v>1</v>
      </c>
      <c r="S833" t="s">
        <v>27</v>
      </c>
      <c r="T833">
        <v>2176</v>
      </c>
      <c r="U833">
        <v>19737</v>
      </c>
      <c r="V833">
        <v>4</v>
      </c>
      <c r="W833" t="s">
        <v>29</v>
      </c>
      <c r="X833" t="s">
        <v>9</v>
      </c>
      <c r="Y833">
        <v>13</v>
      </c>
      <c r="Z833">
        <v>3</v>
      </c>
      <c r="AA833">
        <v>4</v>
      </c>
      <c r="AB833">
        <v>80</v>
      </c>
      <c r="AC833">
        <v>0</v>
      </c>
      <c r="AD833">
        <v>9</v>
      </c>
      <c r="AE833">
        <v>5</v>
      </c>
      <c r="AF833">
        <v>3</v>
      </c>
      <c r="AG833">
        <v>6</v>
      </c>
      <c r="AH833">
        <v>2</v>
      </c>
      <c r="AI833">
        <v>0</v>
      </c>
      <c r="AJ833">
        <v>4</v>
      </c>
    </row>
    <row r="834" spans="1:36" x14ac:dyDescent="0.25">
      <c r="A834">
        <v>713</v>
      </c>
      <c r="B834">
        <v>48</v>
      </c>
      <c r="C834" t="s">
        <v>9</v>
      </c>
      <c r="D834" t="s">
        <v>15</v>
      </c>
      <c r="E834">
        <v>969</v>
      </c>
      <c r="F834" t="s">
        <v>119</v>
      </c>
      <c r="G834">
        <v>2</v>
      </c>
      <c r="H834">
        <v>2</v>
      </c>
      <c r="I834" t="s">
        <v>22</v>
      </c>
      <c r="J834">
        <v>1</v>
      </c>
      <c r="K834">
        <v>1258</v>
      </c>
      <c r="L834">
        <v>4</v>
      </c>
      <c r="M834" t="s">
        <v>23</v>
      </c>
      <c r="N834">
        <v>76</v>
      </c>
      <c r="O834">
        <v>4</v>
      </c>
      <c r="P834">
        <v>1</v>
      </c>
      <c r="Q834" t="s">
        <v>36</v>
      </c>
      <c r="R834">
        <v>2</v>
      </c>
      <c r="S834" t="s">
        <v>27</v>
      </c>
      <c r="T834">
        <v>2559</v>
      </c>
      <c r="U834">
        <v>16620</v>
      </c>
      <c r="V834">
        <v>5</v>
      </c>
      <c r="W834" t="s">
        <v>29</v>
      </c>
      <c r="X834" t="s">
        <v>9</v>
      </c>
      <c r="Y834">
        <v>11</v>
      </c>
      <c r="Z834">
        <v>3</v>
      </c>
      <c r="AA834">
        <v>3</v>
      </c>
      <c r="AB834">
        <v>80</v>
      </c>
      <c r="AC834">
        <v>0</v>
      </c>
      <c r="AD834">
        <v>7</v>
      </c>
      <c r="AE834">
        <v>4</v>
      </c>
      <c r="AF834">
        <v>2</v>
      </c>
      <c r="AG834">
        <v>1</v>
      </c>
      <c r="AH834">
        <v>0</v>
      </c>
      <c r="AI834">
        <v>0</v>
      </c>
      <c r="AJ834">
        <v>0</v>
      </c>
    </row>
    <row r="835" spans="1:36" x14ac:dyDescent="0.25">
      <c r="A835" s="15">
        <v>832</v>
      </c>
      <c r="B835" s="15">
        <v>19</v>
      </c>
      <c r="C835" s="15" t="s">
        <v>10</v>
      </c>
      <c r="D835" s="15" t="s">
        <v>15</v>
      </c>
      <c r="E835" s="15">
        <v>528</v>
      </c>
      <c r="F835" s="15" t="s">
        <v>118</v>
      </c>
      <c r="G835" s="15">
        <v>22</v>
      </c>
      <c r="H835" s="15">
        <v>1</v>
      </c>
      <c r="I835" s="15" t="s">
        <v>18</v>
      </c>
      <c r="J835" s="15">
        <v>1</v>
      </c>
      <c r="K835" s="15">
        <v>167</v>
      </c>
      <c r="L835" s="15">
        <v>4</v>
      </c>
      <c r="M835" s="15" t="s">
        <v>23</v>
      </c>
      <c r="N835" s="15">
        <v>50</v>
      </c>
      <c r="O835" s="15">
        <v>3</v>
      </c>
      <c r="P835" s="15">
        <v>1</v>
      </c>
      <c r="Q835" s="15" t="s">
        <v>33</v>
      </c>
      <c r="R835" s="15">
        <v>3</v>
      </c>
      <c r="S835" s="15" t="s">
        <v>27</v>
      </c>
      <c r="T835" s="15">
        <v>1675</v>
      </c>
      <c r="U835" s="15">
        <v>26820</v>
      </c>
      <c r="V835" s="15">
        <v>1</v>
      </c>
      <c r="W835" s="15" t="s">
        <v>29</v>
      </c>
      <c r="X835" s="15" t="s">
        <v>10</v>
      </c>
      <c r="Y835" s="15">
        <v>19</v>
      </c>
      <c r="Z835" s="15">
        <v>3</v>
      </c>
      <c r="AA835" s="15">
        <v>4</v>
      </c>
      <c r="AB835" s="15">
        <v>80</v>
      </c>
      <c r="AC835" s="15">
        <v>0</v>
      </c>
      <c r="AD835" s="15">
        <v>0</v>
      </c>
      <c r="AE835" s="15">
        <v>2</v>
      </c>
      <c r="AF835" s="15">
        <v>2</v>
      </c>
      <c r="AG835" s="15">
        <v>0</v>
      </c>
      <c r="AH835" s="15">
        <v>0</v>
      </c>
      <c r="AI835" s="15">
        <v>0</v>
      </c>
      <c r="AJ835" s="15">
        <v>0</v>
      </c>
    </row>
    <row r="836" spans="1:36" x14ac:dyDescent="0.25">
      <c r="A836">
        <v>39</v>
      </c>
      <c r="B836">
        <v>56</v>
      </c>
      <c r="C836" t="s">
        <v>9</v>
      </c>
      <c r="D836" t="s">
        <v>15</v>
      </c>
      <c r="E836">
        <v>206</v>
      </c>
      <c r="F836" t="s">
        <v>20</v>
      </c>
      <c r="G836">
        <v>8</v>
      </c>
      <c r="H836">
        <v>4</v>
      </c>
      <c r="I836" t="s">
        <v>21</v>
      </c>
      <c r="J836">
        <v>1</v>
      </c>
      <c r="K836">
        <v>1338</v>
      </c>
      <c r="L836">
        <v>4</v>
      </c>
      <c r="M836" t="s">
        <v>23</v>
      </c>
      <c r="N836">
        <v>99</v>
      </c>
      <c r="O836">
        <v>3</v>
      </c>
      <c r="P836">
        <v>5</v>
      </c>
      <c r="Q836" t="s">
        <v>35</v>
      </c>
      <c r="R836">
        <v>2</v>
      </c>
      <c r="S836" t="s">
        <v>27</v>
      </c>
      <c r="T836">
        <v>19717</v>
      </c>
      <c r="U836">
        <v>4022</v>
      </c>
      <c r="V836">
        <v>6</v>
      </c>
      <c r="W836" t="s">
        <v>29</v>
      </c>
      <c r="X836" t="s">
        <v>9</v>
      </c>
      <c r="Y836">
        <v>14</v>
      </c>
      <c r="Z836">
        <v>3</v>
      </c>
      <c r="AA836">
        <v>1</v>
      </c>
      <c r="AB836">
        <v>80</v>
      </c>
      <c r="AC836">
        <v>0</v>
      </c>
      <c r="AD836">
        <v>36</v>
      </c>
      <c r="AE836">
        <v>4</v>
      </c>
      <c r="AF836">
        <v>3</v>
      </c>
      <c r="AG836">
        <v>7</v>
      </c>
      <c r="AH836">
        <v>3</v>
      </c>
      <c r="AI836">
        <v>7</v>
      </c>
      <c r="AJ836">
        <v>7</v>
      </c>
    </row>
    <row r="837" spans="1:36" x14ac:dyDescent="0.25">
      <c r="A837">
        <v>78</v>
      </c>
      <c r="B837">
        <v>46</v>
      </c>
      <c r="C837" t="s">
        <v>9</v>
      </c>
      <c r="D837" t="s">
        <v>15</v>
      </c>
      <c r="E837">
        <v>563</v>
      </c>
      <c r="F837" t="s">
        <v>118</v>
      </c>
      <c r="G837">
        <v>1</v>
      </c>
      <c r="H837">
        <v>4</v>
      </c>
      <c r="I837" t="s">
        <v>21</v>
      </c>
      <c r="J837">
        <v>1</v>
      </c>
      <c r="K837">
        <v>1602</v>
      </c>
      <c r="L837">
        <v>4</v>
      </c>
      <c r="M837" t="s">
        <v>23</v>
      </c>
      <c r="N837">
        <v>56</v>
      </c>
      <c r="O837">
        <v>4</v>
      </c>
      <c r="P837">
        <v>4</v>
      </c>
      <c r="Q837" t="s">
        <v>35</v>
      </c>
      <c r="R837">
        <v>1</v>
      </c>
      <c r="S837" t="s">
        <v>27</v>
      </c>
      <c r="T837">
        <v>17567</v>
      </c>
      <c r="U837">
        <v>3156</v>
      </c>
      <c r="V837">
        <v>1</v>
      </c>
      <c r="W837" t="s">
        <v>29</v>
      </c>
      <c r="X837" t="s">
        <v>9</v>
      </c>
      <c r="Y837">
        <v>15</v>
      </c>
      <c r="Z837">
        <v>3</v>
      </c>
      <c r="AA837">
        <v>2</v>
      </c>
      <c r="AB837">
        <v>80</v>
      </c>
      <c r="AC837">
        <v>0</v>
      </c>
      <c r="AD837">
        <v>27</v>
      </c>
      <c r="AE837">
        <v>5</v>
      </c>
      <c r="AF837">
        <v>1</v>
      </c>
      <c r="AG837">
        <v>26</v>
      </c>
      <c r="AH837">
        <v>0</v>
      </c>
      <c r="AI837">
        <v>0</v>
      </c>
      <c r="AJ837">
        <v>12</v>
      </c>
    </row>
    <row r="838" spans="1:36" x14ac:dyDescent="0.25">
      <c r="A838">
        <v>44</v>
      </c>
      <c r="B838">
        <v>42</v>
      </c>
      <c r="C838" t="s">
        <v>9</v>
      </c>
      <c r="D838" t="s">
        <v>15</v>
      </c>
      <c r="E838">
        <v>1059</v>
      </c>
      <c r="F838" t="s">
        <v>119</v>
      </c>
      <c r="G838">
        <v>9</v>
      </c>
      <c r="H838">
        <v>2</v>
      </c>
      <c r="I838" t="s">
        <v>19</v>
      </c>
      <c r="J838">
        <v>1</v>
      </c>
      <c r="K838">
        <v>1595</v>
      </c>
      <c r="L838">
        <v>4</v>
      </c>
      <c r="M838" t="s">
        <v>23</v>
      </c>
      <c r="N838">
        <v>93</v>
      </c>
      <c r="O838">
        <v>2</v>
      </c>
      <c r="P838">
        <v>5</v>
      </c>
      <c r="Q838" t="s">
        <v>35</v>
      </c>
      <c r="R838">
        <v>4</v>
      </c>
      <c r="S838" t="s">
        <v>27</v>
      </c>
      <c r="T838">
        <v>19613</v>
      </c>
      <c r="U838">
        <v>26362</v>
      </c>
      <c r="V838">
        <v>8</v>
      </c>
      <c r="W838" t="s">
        <v>29</v>
      </c>
      <c r="X838" t="s">
        <v>9</v>
      </c>
      <c r="Y838">
        <v>22</v>
      </c>
      <c r="Z838">
        <v>4</v>
      </c>
      <c r="AA838">
        <v>4</v>
      </c>
      <c r="AB838">
        <v>80</v>
      </c>
      <c r="AC838">
        <v>0</v>
      </c>
      <c r="AD838">
        <v>24</v>
      </c>
      <c r="AE838">
        <v>2</v>
      </c>
      <c r="AF838">
        <v>3</v>
      </c>
      <c r="AG838">
        <v>1</v>
      </c>
      <c r="AH838">
        <v>0</v>
      </c>
      <c r="AI838">
        <v>0</v>
      </c>
      <c r="AJ838">
        <v>1</v>
      </c>
    </row>
    <row r="839" spans="1:36" x14ac:dyDescent="0.25">
      <c r="A839">
        <v>35</v>
      </c>
      <c r="B839">
        <v>32</v>
      </c>
      <c r="C839" t="s">
        <v>9</v>
      </c>
      <c r="D839" t="s">
        <v>15</v>
      </c>
      <c r="E839">
        <v>1373</v>
      </c>
      <c r="F839" t="s">
        <v>119</v>
      </c>
      <c r="G839">
        <v>5</v>
      </c>
      <c r="H839">
        <v>4</v>
      </c>
      <c r="I839" t="s">
        <v>21</v>
      </c>
      <c r="J839">
        <v>1</v>
      </c>
      <c r="K839">
        <v>1966</v>
      </c>
      <c r="L839">
        <v>4</v>
      </c>
      <c r="M839" t="s">
        <v>23</v>
      </c>
      <c r="N839">
        <v>56</v>
      </c>
      <c r="O839">
        <v>2</v>
      </c>
      <c r="P839">
        <v>2</v>
      </c>
      <c r="Q839" t="s">
        <v>31</v>
      </c>
      <c r="R839">
        <v>4</v>
      </c>
      <c r="S839" t="s">
        <v>27</v>
      </c>
      <c r="T839">
        <v>9679</v>
      </c>
      <c r="U839">
        <v>10138</v>
      </c>
      <c r="V839">
        <v>8</v>
      </c>
      <c r="W839" t="s">
        <v>29</v>
      </c>
      <c r="X839" t="s">
        <v>9</v>
      </c>
      <c r="Y839">
        <v>24</v>
      </c>
      <c r="Z839">
        <v>4</v>
      </c>
      <c r="AA839">
        <v>2</v>
      </c>
      <c r="AB839">
        <v>80</v>
      </c>
      <c r="AC839">
        <v>0</v>
      </c>
      <c r="AD839">
        <v>8</v>
      </c>
      <c r="AE839">
        <v>1</v>
      </c>
      <c r="AF839">
        <v>3</v>
      </c>
      <c r="AG839">
        <v>1</v>
      </c>
      <c r="AH839">
        <v>0</v>
      </c>
      <c r="AI839">
        <v>0</v>
      </c>
      <c r="AJ839">
        <v>0</v>
      </c>
    </row>
    <row r="840" spans="1:36" x14ac:dyDescent="0.25">
      <c r="A840">
        <v>347</v>
      </c>
      <c r="B840">
        <v>34</v>
      </c>
      <c r="C840" t="s">
        <v>9</v>
      </c>
      <c r="D840" t="s">
        <v>11</v>
      </c>
      <c r="E840">
        <v>1003</v>
      </c>
      <c r="F840" t="s">
        <v>119</v>
      </c>
      <c r="G840">
        <v>2</v>
      </c>
      <c r="H840">
        <v>2</v>
      </c>
      <c r="I840" t="s">
        <v>21</v>
      </c>
      <c r="J840">
        <v>1</v>
      </c>
      <c r="K840">
        <v>1140</v>
      </c>
      <c r="L840">
        <v>4</v>
      </c>
      <c r="M840" t="s">
        <v>23</v>
      </c>
      <c r="N840">
        <v>95</v>
      </c>
      <c r="O840">
        <v>3</v>
      </c>
      <c r="P840">
        <v>2</v>
      </c>
      <c r="Q840" t="s">
        <v>31</v>
      </c>
      <c r="R840">
        <v>3</v>
      </c>
      <c r="S840" t="s">
        <v>27</v>
      </c>
      <c r="T840">
        <v>4033</v>
      </c>
      <c r="U840">
        <v>15834</v>
      </c>
      <c r="V840">
        <v>2</v>
      </c>
      <c r="W840" t="s">
        <v>29</v>
      </c>
      <c r="X840" t="s">
        <v>9</v>
      </c>
      <c r="Y840">
        <v>11</v>
      </c>
      <c r="Z840">
        <v>3</v>
      </c>
      <c r="AA840">
        <v>4</v>
      </c>
      <c r="AB840">
        <v>80</v>
      </c>
      <c r="AC840">
        <v>0</v>
      </c>
      <c r="AD840">
        <v>5</v>
      </c>
      <c r="AE840">
        <v>3</v>
      </c>
      <c r="AF840">
        <v>2</v>
      </c>
      <c r="AG840">
        <v>3</v>
      </c>
      <c r="AH840">
        <v>2</v>
      </c>
      <c r="AI840">
        <v>0</v>
      </c>
      <c r="AJ840">
        <v>2</v>
      </c>
    </row>
    <row r="841" spans="1:36" x14ac:dyDescent="0.25">
      <c r="A841">
        <v>866</v>
      </c>
      <c r="B841">
        <v>48</v>
      </c>
      <c r="C841" t="s">
        <v>9</v>
      </c>
      <c r="D841" t="s">
        <v>15</v>
      </c>
      <c r="E841">
        <v>855</v>
      </c>
      <c r="F841" t="s">
        <v>119</v>
      </c>
      <c r="G841">
        <v>4</v>
      </c>
      <c r="H841">
        <v>3</v>
      </c>
      <c r="I841" t="s">
        <v>21</v>
      </c>
      <c r="J841">
        <v>1</v>
      </c>
      <c r="K841">
        <v>1363</v>
      </c>
      <c r="L841">
        <v>4</v>
      </c>
      <c r="M841" t="s">
        <v>23</v>
      </c>
      <c r="N841">
        <v>54</v>
      </c>
      <c r="O841">
        <v>3</v>
      </c>
      <c r="P841">
        <v>3</v>
      </c>
      <c r="Q841" t="s">
        <v>31</v>
      </c>
      <c r="R841">
        <v>4</v>
      </c>
      <c r="S841" t="s">
        <v>27</v>
      </c>
      <c r="T841">
        <v>7898</v>
      </c>
      <c r="U841">
        <v>18706</v>
      </c>
      <c r="V841">
        <v>1</v>
      </c>
      <c r="W841" t="s">
        <v>29</v>
      </c>
      <c r="X841" t="s">
        <v>9</v>
      </c>
      <c r="Y841">
        <v>11</v>
      </c>
      <c r="Z841">
        <v>3</v>
      </c>
      <c r="AA841">
        <v>3</v>
      </c>
      <c r="AB841">
        <v>80</v>
      </c>
      <c r="AC841">
        <v>0</v>
      </c>
      <c r="AD841">
        <v>11</v>
      </c>
      <c r="AE841">
        <v>2</v>
      </c>
      <c r="AF841">
        <v>3</v>
      </c>
      <c r="AG841">
        <v>10</v>
      </c>
      <c r="AH841">
        <v>9</v>
      </c>
      <c r="AI841">
        <v>0</v>
      </c>
      <c r="AJ841">
        <v>8</v>
      </c>
    </row>
    <row r="842" spans="1:36" x14ac:dyDescent="0.25">
      <c r="A842">
        <v>659</v>
      </c>
      <c r="B842">
        <v>41</v>
      </c>
      <c r="C842" t="s">
        <v>9</v>
      </c>
      <c r="D842" t="s">
        <v>15</v>
      </c>
      <c r="E842">
        <v>483</v>
      </c>
      <c r="F842" t="s">
        <v>119</v>
      </c>
      <c r="G842">
        <v>6</v>
      </c>
      <c r="H842">
        <v>3</v>
      </c>
      <c r="I842" t="s">
        <v>17</v>
      </c>
      <c r="J842">
        <v>1</v>
      </c>
      <c r="K842">
        <v>466</v>
      </c>
      <c r="L842">
        <v>4</v>
      </c>
      <c r="M842" t="s">
        <v>23</v>
      </c>
      <c r="N842">
        <v>95</v>
      </c>
      <c r="O842">
        <v>2</v>
      </c>
      <c r="P842">
        <v>2</v>
      </c>
      <c r="Q842" t="s">
        <v>31</v>
      </c>
      <c r="R842">
        <v>2</v>
      </c>
      <c r="S842" t="s">
        <v>27</v>
      </c>
      <c r="T842">
        <v>6032</v>
      </c>
      <c r="U842">
        <v>10110</v>
      </c>
      <c r="V842">
        <v>6</v>
      </c>
      <c r="W842" t="s">
        <v>29</v>
      </c>
      <c r="X842" t="s">
        <v>10</v>
      </c>
      <c r="Y842">
        <v>15</v>
      </c>
      <c r="Z842">
        <v>3</v>
      </c>
      <c r="AA842">
        <v>4</v>
      </c>
      <c r="AB842">
        <v>80</v>
      </c>
      <c r="AC842">
        <v>0</v>
      </c>
      <c r="AD842">
        <v>8</v>
      </c>
      <c r="AE842">
        <v>3</v>
      </c>
      <c r="AF842">
        <v>3</v>
      </c>
      <c r="AG842">
        <v>5</v>
      </c>
      <c r="AH842">
        <v>4</v>
      </c>
      <c r="AI842">
        <v>1</v>
      </c>
      <c r="AJ842">
        <v>2</v>
      </c>
    </row>
    <row r="843" spans="1:36" x14ac:dyDescent="0.25">
      <c r="A843">
        <v>105</v>
      </c>
      <c r="B843">
        <v>53</v>
      </c>
      <c r="C843" t="s">
        <v>9</v>
      </c>
      <c r="D843" t="s">
        <v>15</v>
      </c>
      <c r="E843">
        <v>447</v>
      </c>
      <c r="F843" t="s">
        <v>119</v>
      </c>
      <c r="G843">
        <v>2</v>
      </c>
      <c r="H843">
        <v>3</v>
      </c>
      <c r="I843" t="s">
        <v>17</v>
      </c>
      <c r="J843">
        <v>1</v>
      </c>
      <c r="K843">
        <v>1472</v>
      </c>
      <c r="L843">
        <v>4</v>
      </c>
      <c r="M843" t="s">
        <v>23</v>
      </c>
      <c r="N843">
        <v>39</v>
      </c>
      <c r="O843">
        <v>4</v>
      </c>
      <c r="P843">
        <v>4</v>
      </c>
      <c r="Q843" t="s">
        <v>30</v>
      </c>
      <c r="R843">
        <v>2</v>
      </c>
      <c r="S843" t="s">
        <v>27</v>
      </c>
      <c r="T843">
        <v>16598</v>
      </c>
      <c r="U843">
        <v>19764</v>
      </c>
      <c r="V843">
        <v>4</v>
      </c>
      <c r="W843" t="s">
        <v>29</v>
      </c>
      <c r="X843" t="s">
        <v>9</v>
      </c>
      <c r="Y843">
        <v>12</v>
      </c>
      <c r="Z843">
        <v>3</v>
      </c>
      <c r="AA843">
        <v>2</v>
      </c>
      <c r="AB843">
        <v>80</v>
      </c>
      <c r="AC843">
        <v>0</v>
      </c>
      <c r="AD843">
        <v>35</v>
      </c>
      <c r="AE843">
        <v>2</v>
      </c>
      <c r="AF843">
        <v>2</v>
      </c>
      <c r="AG843">
        <v>9</v>
      </c>
      <c r="AH843">
        <v>8</v>
      </c>
      <c r="AI843">
        <v>8</v>
      </c>
      <c r="AJ843">
        <v>8</v>
      </c>
    </row>
    <row r="844" spans="1:36" x14ac:dyDescent="0.25">
      <c r="A844" s="15">
        <v>268</v>
      </c>
      <c r="B844" s="15">
        <v>32</v>
      </c>
      <c r="C844" s="15" t="s">
        <v>10</v>
      </c>
      <c r="D844" s="15" t="s">
        <v>15</v>
      </c>
      <c r="E844" s="15">
        <v>1259</v>
      </c>
      <c r="F844" s="15" t="s">
        <v>119</v>
      </c>
      <c r="G844" s="15">
        <v>2</v>
      </c>
      <c r="H844" s="15">
        <v>4</v>
      </c>
      <c r="I844" s="15" t="s">
        <v>21</v>
      </c>
      <c r="J844" s="15">
        <v>1</v>
      </c>
      <c r="K844" s="15">
        <v>1692</v>
      </c>
      <c r="L844" s="15">
        <v>4</v>
      </c>
      <c r="M844" s="15" t="s">
        <v>23</v>
      </c>
      <c r="N844" s="15">
        <v>95</v>
      </c>
      <c r="O844" s="15">
        <v>3</v>
      </c>
      <c r="P844" s="15">
        <v>1</v>
      </c>
      <c r="Q844" s="15" t="s">
        <v>36</v>
      </c>
      <c r="R844" s="15">
        <v>2</v>
      </c>
      <c r="S844" s="15" t="s">
        <v>27</v>
      </c>
      <c r="T844" s="15">
        <v>1393</v>
      </c>
      <c r="U844" s="15">
        <v>24852</v>
      </c>
      <c r="V844" s="15">
        <v>1</v>
      </c>
      <c r="W844" s="15" t="s">
        <v>29</v>
      </c>
      <c r="X844" s="15" t="s">
        <v>9</v>
      </c>
      <c r="Y844" s="15">
        <v>12</v>
      </c>
      <c r="Z844" s="15">
        <v>3</v>
      </c>
      <c r="AA844" s="15">
        <v>1</v>
      </c>
      <c r="AB844" s="15">
        <v>80</v>
      </c>
      <c r="AC844" s="15">
        <v>0</v>
      </c>
      <c r="AD844" s="15">
        <v>1</v>
      </c>
      <c r="AE844" s="15">
        <v>2</v>
      </c>
      <c r="AF844" s="15">
        <v>3</v>
      </c>
      <c r="AG844" s="15">
        <v>1</v>
      </c>
      <c r="AH844" s="15">
        <v>0</v>
      </c>
      <c r="AI844" s="15">
        <v>0</v>
      </c>
      <c r="AJ844" s="15">
        <v>0</v>
      </c>
    </row>
    <row r="845" spans="1:36" x14ac:dyDescent="0.25">
      <c r="A845">
        <v>213</v>
      </c>
      <c r="B845">
        <v>37</v>
      </c>
      <c r="C845" t="s">
        <v>9</v>
      </c>
      <c r="D845" t="s">
        <v>15</v>
      </c>
      <c r="E845">
        <v>1225</v>
      </c>
      <c r="F845" t="s">
        <v>119</v>
      </c>
      <c r="G845">
        <v>10</v>
      </c>
      <c r="H845">
        <v>2</v>
      </c>
      <c r="I845" t="s">
        <v>21</v>
      </c>
      <c r="J845">
        <v>1</v>
      </c>
      <c r="K845">
        <v>715</v>
      </c>
      <c r="L845">
        <v>4</v>
      </c>
      <c r="M845" t="s">
        <v>23</v>
      </c>
      <c r="N845">
        <v>80</v>
      </c>
      <c r="O845">
        <v>4</v>
      </c>
      <c r="P845">
        <v>1</v>
      </c>
      <c r="Q845" t="s">
        <v>32</v>
      </c>
      <c r="R845">
        <v>4</v>
      </c>
      <c r="S845" t="s">
        <v>27</v>
      </c>
      <c r="T845">
        <v>4680</v>
      </c>
      <c r="U845">
        <v>15232</v>
      </c>
      <c r="V845">
        <v>3</v>
      </c>
      <c r="W845" t="s">
        <v>29</v>
      </c>
      <c r="X845" t="s">
        <v>9</v>
      </c>
      <c r="Y845">
        <v>17</v>
      </c>
      <c r="Z845">
        <v>3</v>
      </c>
      <c r="AA845">
        <v>1</v>
      </c>
      <c r="AB845">
        <v>80</v>
      </c>
      <c r="AC845">
        <v>0</v>
      </c>
      <c r="AD845">
        <v>4</v>
      </c>
      <c r="AE845">
        <v>2</v>
      </c>
      <c r="AF845">
        <v>3</v>
      </c>
      <c r="AG845">
        <v>1</v>
      </c>
      <c r="AH845">
        <v>0</v>
      </c>
      <c r="AI845">
        <v>0</v>
      </c>
      <c r="AJ845">
        <v>0</v>
      </c>
    </row>
    <row r="846" spans="1:36" x14ac:dyDescent="0.25">
      <c r="A846">
        <v>349</v>
      </c>
      <c r="B846">
        <v>44</v>
      </c>
      <c r="C846" t="s">
        <v>9</v>
      </c>
      <c r="D846" t="s">
        <v>16</v>
      </c>
      <c r="E846">
        <v>111</v>
      </c>
      <c r="F846" t="s">
        <v>119</v>
      </c>
      <c r="G846">
        <v>17</v>
      </c>
      <c r="H846">
        <v>3</v>
      </c>
      <c r="I846" t="s">
        <v>21</v>
      </c>
      <c r="J846">
        <v>1</v>
      </c>
      <c r="K846">
        <v>1206</v>
      </c>
      <c r="L846">
        <v>4</v>
      </c>
      <c r="M846" t="s">
        <v>23</v>
      </c>
      <c r="N846">
        <v>74</v>
      </c>
      <c r="O846">
        <v>1</v>
      </c>
      <c r="P846">
        <v>1</v>
      </c>
      <c r="Q846" t="s">
        <v>32</v>
      </c>
      <c r="R846">
        <v>3</v>
      </c>
      <c r="S846" t="s">
        <v>27</v>
      </c>
      <c r="T846">
        <v>2290</v>
      </c>
      <c r="U846">
        <v>4279</v>
      </c>
      <c r="V846">
        <v>2</v>
      </c>
      <c r="W846" t="s">
        <v>29</v>
      </c>
      <c r="X846" t="s">
        <v>9</v>
      </c>
      <c r="Y846">
        <v>13</v>
      </c>
      <c r="Z846">
        <v>3</v>
      </c>
      <c r="AA846">
        <v>4</v>
      </c>
      <c r="AB846">
        <v>80</v>
      </c>
      <c r="AC846">
        <v>0</v>
      </c>
      <c r="AD846">
        <v>6</v>
      </c>
      <c r="AE846">
        <v>3</v>
      </c>
      <c r="AF846">
        <v>3</v>
      </c>
      <c r="AG846">
        <v>0</v>
      </c>
      <c r="AH846">
        <v>0</v>
      </c>
      <c r="AI846">
        <v>0</v>
      </c>
      <c r="AJ846">
        <v>0</v>
      </c>
    </row>
    <row r="847" spans="1:36" x14ac:dyDescent="0.25">
      <c r="A847">
        <v>452</v>
      </c>
      <c r="B847">
        <v>44</v>
      </c>
      <c r="C847" t="s">
        <v>9</v>
      </c>
      <c r="D847" t="s">
        <v>15</v>
      </c>
      <c r="E847">
        <v>1467</v>
      </c>
      <c r="F847" t="s">
        <v>119</v>
      </c>
      <c r="G847">
        <v>20</v>
      </c>
      <c r="H847">
        <v>3</v>
      </c>
      <c r="I847" t="s">
        <v>21</v>
      </c>
      <c r="J847">
        <v>1</v>
      </c>
      <c r="K847">
        <v>1475</v>
      </c>
      <c r="L847">
        <v>4</v>
      </c>
      <c r="M847" t="s">
        <v>23</v>
      </c>
      <c r="N847">
        <v>49</v>
      </c>
      <c r="O847">
        <v>3</v>
      </c>
      <c r="P847">
        <v>1</v>
      </c>
      <c r="Q847" t="s">
        <v>32</v>
      </c>
      <c r="R847">
        <v>2</v>
      </c>
      <c r="S847" t="s">
        <v>27</v>
      </c>
      <c r="T847">
        <v>3420</v>
      </c>
      <c r="U847">
        <v>21158</v>
      </c>
      <c r="V847">
        <v>1</v>
      </c>
      <c r="W847" t="s">
        <v>29</v>
      </c>
      <c r="X847" t="s">
        <v>9</v>
      </c>
      <c r="Y847">
        <v>13</v>
      </c>
      <c r="Z847">
        <v>3</v>
      </c>
      <c r="AA847">
        <v>3</v>
      </c>
      <c r="AB847">
        <v>80</v>
      </c>
      <c r="AC847">
        <v>0</v>
      </c>
      <c r="AD847">
        <v>6</v>
      </c>
      <c r="AE847">
        <v>3</v>
      </c>
      <c r="AF847">
        <v>2</v>
      </c>
      <c r="AG847">
        <v>5</v>
      </c>
      <c r="AH847">
        <v>2</v>
      </c>
      <c r="AI847">
        <v>1</v>
      </c>
      <c r="AJ847">
        <v>3</v>
      </c>
    </row>
    <row r="848" spans="1:36" x14ac:dyDescent="0.25">
      <c r="A848">
        <v>466</v>
      </c>
      <c r="B848">
        <v>38</v>
      </c>
      <c r="C848" t="s">
        <v>9</v>
      </c>
      <c r="D848" t="s">
        <v>15</v>
      </c>
      <c r="E848">
        <v>371</v>
      </c>
      <c r="F848" t="s">
        <v>119</v>
      </c>
      <c r="G848">
        <v>2</v>
      </c>
      <c r="H848">
        <v>3</v>
      </c>
      <c r="I848" t="s">
        <v>21</v>
      </c>
      <c r="J848">
        <v>1</v>
      </c>
      <c r="K848">
        <v>24</v>
      </c>
      <c r="L848">
        <v>4</v>
      </c>
      <c r="M848" t="s">
        <v>23</v>
      </c>
      <c r="N848">
        <v>45</v>
      </c>
      <c r="O848">
        <v>3</v>
      </c>
      <c r="P848">
        <v>1</v>
      </c>
      <c r="Q848" t="s">
        <v>32</v>
      </c>
      <c r="R848">
        <v>4</v>
      </c>
      <c r="S848" t="s">
        <v>27</v>
      </c>
      <c r="T848">
        <v>3944</v>
      </c>
      <c r="U848">
        <v>4306</v>
      </c>
      <c r="V848">
        <v>5</v>
      </c>
      <c r="W848" t="s">
        <v>29</v>
      </c>
      <c r="X848" t="s">
        <v>10</v>
      </c>
      <c r="Y848">
        <v>11</v>
      </c>
      <c r="Z848">
        <v>3</v>
      </c>
      <c r="AA848">
        <v>3</v>
      </c>
      <c r="AB848">
        <v>80</v>
      </c>
      <c r="AC848">
        <v>0</v>
      </c>
      <c r="AD848">
        <v>6</v>
      </c>
      <c r="AE848">
        <v>3</v>
      </c>
      <c r="AF848">
        <v>3</v>
      </c>
      <c r="AG848">
        <v>3</v>
      </c>
      <c r="AH848">
        <v>2</v>
      </c>
      <c r="AI848">
        <v>1</v>
      </c>
      <c r="AJ848">
        <v>2</v>
      </c>
    </row>
    <row r="849" spans="1:36" x14ac:dyDescent="0.25">
      <c r="A849" s="15">
        <v>93</v>
      </c>
      <c r="B849" s="15">
        <v>37</v>
      </c>
      <c r="C849" s="15" t="s">
        <v>10</v>
      </c>
      <c r="D849" s="15" t="s">
        <v>15</v>
      </c>
      <c r="E849" s="15">
        <v>1373</v>
      </c>
      <c r="F849" s="15" t="s">
        <v>119</v>
      </c>
      <c r="G849" s="15">
        <v>2</v>
      </c>
      <c r="H849" s="15">
        <v>2</v>
      </c>
      <c r="I849" s="15" t="s">
        <v>19</v>
      </c>
      <c r="J849" s="15">
        <v>1</v>
      </c>
      <c r="K849" s="15">
        <v>4</v>
      </c>
      <c r="L849" s="15">
        <v>4</v>
      </c>
      <c r="M849" s="15" t="s">
        <v>23</v>
      </c>
      <c r="N849" s="15">
        <v>92</v>
      </c>
      <c r="O849" s="15">
        <v>2</v>
      </c>
      <c r="P849" s="15">
        <v>1</v>
      </c>
      <c r="Q849" s="15" t="s">
        <v>36</v>
      </c>
      <c r="R849" s="15">
        <v>3</v>
      </c>
      <c r="S849" s="15" t="s">
        <v>27</v>
      </c>
      <c r="T849" s="15">
        <v>2090</v>
      </c>
      <c r="U849" s="15">
        <v>2396</v>
      </c>
      <c r="V849" s="15">
        <v>6</v>
      </c>
      <c r="W849" s="15" t="s">
        <v>29</v>
      </c>
      <c r="X849" s="15" t="s">
        <v>10</v>
      </c>
      <c r="Y849" s="15">
        <v>15</v>
      </c>
      <c r="Z849" s="15">
        <v>3</v>
      </c>
      <c r="AA849" s="15">
        <v>2</v>
      </c>
      <c r="AB849" s="15">
        <v>80</v>
      </c>
      <c r="AC849" s="15">
        <v>0</v>
      </c>
      <c r="AD849" s="15">
        <v>7</v>
      </c>
      <c r="AE849" s="15">
        <v>3</v>
      </c>
      <c r="AF849" s="15">
        <v>3</v>
      </c>
      <c r="AG849" s="15">
        <v>0</v>
      </c>
      <c r="AH849" s="15">
        <v>0</v>
      </c>
      <c r="AI849" s="15">
        <v>0</v>
      </c>
      <c r="AJ849" s="15">
        <v>0</v>
      </c>
    </row>
    <row r="850" spans="1:36" x14ac:dyDescent="0.25">
      <c r="A850">
        <v>428</v>
      </c>
      <c r="B850">
        <v>21</v>
      </c>
      <c r="C850" t="s">
        <v>9</v>
      </c>
      <c r="D850" t="s">
        <v>15</v>
      </c>
      <c r="E850">
        <v>996</v>
      </c>
      <c r="F850" t="s">
        <v>119</v>
      </c>
      <c r="G850">
        <v>3</v>
      </c>
      <c r="H850">
        <v>2</v>
      </c>
      <c r="I850" t="s">
        <v>17</v>
      </c>
      <c r="J850">
        <v>1</v>
      </c>
      <c r="K850">
        <v>379</v>
      </c>
      <c r="L850">
        <v>4</v>
      </c>
      <c r="M850" t="s">
        <v>23</v>
      </c>
      <c r="N850">
        <v>100</v>
      </c>
      <c r="O850">
        <v>2</v>
      </c>
      <c r="P850">
        <v>1</v>
      </c>
      <c r="Q850" t="s">
        <v>32</v>
      </c>
      <c r="R850">
        <v>3</v>
      </c>
      <c r="S850" t="s">
        <v>27</v>
      </c>
      <c r="T850">
        <v>3230</v>
      </c>
      <c r="U850">
        <v>10531</v>
      </c>
      <c r="V850">
        <v>1</v>
      </c>
      <c r="W850" t="s">
        <v>29</v>
      </c>
      <c r="X850" t="s">
        <v>9</v>
      </c>
      <c r="Y850">
        <v>17</v>
      </c>
      <c r="Z850">
        <v>3</v>
      </c>
      <c r="AA850">
        <v>1</v>
      </c>
      <c r="AB850">
        <v>80</v>
      </c>
      <c r="AC850">
        <v>0</v>
      </c>
      <c r="AD850">
        <v>3</v>
      </c>
      <c r="AE850">
        <v>4</v>
      </c>
      <c r="AF850">
        <v>4</v>
      </c>
      <c r="AG850">
        <v>3</v>
      </c>
      <c r="AH850">
        <v>2</v>
      </c>
      <c r="AI850">
        <v>1</v>
      </c>
      <c r="AJ850">
        <v>0</v>
      </c>
    </row>
    <row r="851" spans="1:36" x14ac:dyDescent="0.25">
      <c r="A851" s="15">
        <v>287</v>
      </c>
      <c r="B851" s="15">
        <v>22</v>
      </c>
      <c r="C851" s="15" t="s">
        <v>10</v>
      </c>
      <c r="D851" s="15" t="s">
        <v>15</v>
      </c>
      <c r="E851" s="15">
        <v>391</v>
      </c>
      <c r="F851" s="15" t="s">
        <v>119</v>
      </c>
      <c r="G851" s="15">
        <v>7</v>
      </c>
      <c r="H851" s="15">
        <v>1</v>
      </c>
      <c r="I851" s="15" t="s">
        <v>21</v>
      </c>
      <c r="J851" s="15">
        <v>1</v>
      </c>
      <c r="K851" s="15">
        <v>1878</v>
      </c>
      <c r="L851" s="15">
        <v>4</v>
      </c>
      <c r="M851" s="15" t="s">
        <v>23</v>
      </c>
      <c r="N851" s="15">
        <v>75</v>
      </c>
      <c r="O851" s="15">
        <v>3</v>
      </c>
      <c r="P851" s="15">
        <v>1</v>
      </c>
      <c r="Q851" s="15" t="s">
        <v>32</v>
      </c>
      <c r="R851" s="15">
        <v>2</v>
      </c>
      <c r="S851" s="15" t="s">
        <v>27</v>
      </c>
      <c r="T851" s="15">
        <v>2472</v>
      </c>
      <c r="U851" s="15">
        <v>26092</v>
      </c>
      <c r="V851" s="15">
        <v>1</v>
      </c>
      <c r="W851" s="15" t="s">
        <v>29</v>
      </c>
      <c r="X851" s="15" t="s">
        <v>10</v>
      </c>
      <c r="Y851" s="15">
        <v>23</v>
      </c>
      <c r="Z851" s="15">
        <v>4</v>
      </c>
      <c r="AA851" s="15">
        <v>1</v>
      </c>
      <c r="AB851" s="15">
        <v>80</v>
      </c>
      <c r="AC851" s="15">
        <v>0</v>
      </c>
      <c r="AD851" s="15">
        <v>1</v>
      </c>
      <c r="AE851" s="15">
        <v>2</v>
      </c>
      <c r="AF851" s="15">
        <v>3</v>
      </c>
      <c r="AG851" s="15">
        <v>1</v>
      </c>
      <c r="AH851" s="15">
        <v>0</v>
      </c>
      <c r="AI851" s="15">
        <v>0</v>
      </c>
      <c r="AJ851" s="15">
        <v>0</v>
      </c>
    </row>
    <row r="852" spans="1:36" x14ac:dyDescent="0.25">
      <c r="A852">
        <v>110</v>
      </c>
      <c r="B852">
        <v>32</v>
      </c>
      <c r="C852" t="s">
        <v>9</v>
      </c>
      <c r="D852" t="s">
        <v>15</v>
      </c>
      <c r="E852">
        <v>529</v>
      </c>
      <c r="F852" t="s">
        <v>119</v>
      </c>
      <c r="G852">
        <v>2</v>
      </c>
      <c r="H852">
        <v>3</v>
      </c>
      <c r="I852" t="s">
        <v>22</v>
      </c>
      <c r="J852">
        <v>1</v>
      </c>
      <c r="K852">
        <v>2038</v>
      </c>
      <c r="L852">
        <v>4</v>
      </c>
      <c r="M852" t="s">
        <v>23</v>
      </c>
      <c r="N852">
        <v>78</v>
      </c>
      <c r="O852">
        <v>3</v>
      </c>
      <c r="P852">
        <v>1</v>
      </c>
      <c r="Q852" t="s">
        <v>32</v>
      </c>
      <c r="R852">
        <v>1</v>
      </c>
      <c r="S852" t="s">
        <v>27</v>
      </c>
      <c r="T852">
        <v>2439</v>
      </c>
      <c r="U852">
        <v>11288</v>
      </c>
      <c r="V852">
        <v>1</v>
      </c>
      <c r="W852" t="s">
        <v>29</v>
      </c>
      <c r="X852" t="s">
        <v>9</v>
      </c>
      <c r="Y852">
        <v>14</v>
      </c>
      <c r="Z852">
        <v>3</v>
      </c>
      <c r="AA852">
        <v>4</v>
      </c>
      <c r="AB852">
        <v>80</v>
      </c>
      <c r="AC852">
        <v>0</v>
      </c>
      <c r="AD852">
        <v>4</v>
      </c>
      <c r="AE852">
        <v>4</v>
      </c>
      <c r="AF852">
        <v>3</v>
      </c>
      <c r="AG852">
        <v>4</v>
      </c>
      <c r="AH852">
        <v>2</v>
      </c>
      <c r="AI852">
        <v>1</v>
      </c>
      <c r="AJ852">
        <v>2</v>
      </c>
    </row>
    <row r="853" spans="1:36" x14ac:dyDescent="0.25">
      <c r="A853" s="15">
        <v>305</v>
      </c>
      <c r="B853" s="15">
        <v>58</v>
      </c>
      <c r="C853" s="15" t="s">
        <v>10</v>
      </c>
      <c r="D853" s="15" t="s">
        <v>15</v>
      </c>
      <c r="E853" s="15">
        <v>289</v>
      </c>
      <c r="F853" s="15" t="s">
        <v>119</v>
      </c>
      <c r="G853" s="15">
        <v>2</v>
      </c>
      <c r="H853" s="15">
        <v>3</v>
      </c>
      <c r="I853" s="15" t="s">
        <v>22</v>
      </c>
      <c r="J853" s="15">
        <v>1</v>
      </c>
      <c r="K853" s="15">
        <v>977</v>
      </c>
      <c r="L853" s="15">
        <v>4</v>
      </c>
      <c r="M853" s="15" t="s">
        <v>23</v>
      </c>
      <c r="N853" s="15">
        <v>51</v>
      </c>
      <c r="O853" s="15">
        <v>3</v>
      </c>
      <c r="P853" s="15">
        <v>1</v>
      </c>
      <c r="Q853" s="15" t="s">
        <v>32</v>
      </c>
      <c r="R853" s="15">
        <v>3</v>
      </c>
      <c r="S853" s="15" t="s">
        <v>27</v>
      </c>
      <c r="T853" s="15">
        <v>2479</v>
      </c>
      <c r="U853" s="15">
        <v>26227</v>
      </c>
      <c r="V853" s="15">
        <v>4</v>
      </c>
      <c r="W853" s="15" t="s">
        <v>29</v>
      </c>
      <c r="X853" s="15" t="s">
        <v>9</v>
      </c>
      <c r="Y853" s="15">
        <v>24</v>
      </c>
      <c r="Z853" s="15">
        <v>4</v>
      </c>
      <c r="AA853" s="15">
        <v>1</v>
      </c>
      <c r="AB853" s="15">
        <v>80</v>
      </c>
      <c r="AC853" s="15">
        <v>0</v>
      </c>
      <c r="AD853" s="15">
        <v>7</v>
      </c>
      <c r="AE853" s="15">
        <v>4</v>
      </c>
      <c r="AF853" s="15">
        <v>3</v>
      </c>
      <c r="AG853" s="15">
        <v>1</v>
      </c>
      <c r="AH853" s="15">
        <v>0</v>
      </c>
      <c r="AI853" s="15">
        <v>0</v>
      </c>
      <c r="AJ853" s="15">
        <v>0</v>
      </c>
    </row>
    <row r="854" spans="1:36" x14ac:dyDescent="0.25">
      <c r="A854">
        <v>89</v>
      </c>
      <c r="B854">
        <v>27</v>
      </c>
      <c r="C854" t="s">
        <v>9</v>
      </c>
      <c r="D854" t="s">
        <v>11</v>
      </c>
      <c r="E854">
        <v>994</v>
      </c>
      <c r="F854" t="s">
        <v>118</v>
      </c>
      <c r="G854">
        <v>8</v>
      </c>
      <c r="H854">
        <v>3</v>
      </c>
      <c r="I854" t="s">
        <v>21</v>
      </c>
      <c r="J854">
        <v>1</v>
      </c>
      <c r="K854">
        <v>56</v>
      </c>
      <c r="L854">
        <v>4</v>
      </c>
      <c r="M854" t="s">
        <v>23</v>
      </c>
      <c r="N854">
        <v>37</v>
      </c>
      <c r="O854">
        <v>3</v>
      </c>
      <c r="P854">
        <v>3</v>
      </c>
      <c r="Q854" t="s">
        <v>25</v>
      </c>
      <c r="R854">
        <v>3</v>
      </c>
      <c r="S854" t="s">
        <v>27</v>
      </c>
      <c r="T854">
        <v>8726</v>
      </c>
      <c r="U854">
        <v>2975</v>
      </c>
      <c r="V854">
        <v>1</v>
      </c>
      <c r="W854" t="s">
        <v>29</v>
      </c>
      <c r="X854" t="s">
        <v>9</v>
      </c>
      <c r="Y854">
        <v>15</v>
      </c>
      <c r="Z854">
        <v>3</v>
      </c>
      <c r="AA854">
        <v>4</v>
      </c>
      <c r="AB854">
        <v>80</v>
      </c>
      <c r="AC854">
        <v>0</v>
      </c>
      <c r="AD854">
        <v>9</v>
      </c>
      <c r="AE854">
        <v>0</v>
      </c>
      <c r="AF854">
        <v>3</v>
      </c>
      <c r="AG854">
        <v>9</v>
      </c>
      <c r="AH854">
        <v>8</v>
      </c>
      <c r="AI854">
        <v>1</v>
      </c>
      <c r="AJ854">
        <v>7</v>
      </c>
    </row>
    <row r="855" spans="1:36" x14ac:dyDescent="0.25">
      <c r="A855">
        <v>431</v>
      </c>
      <c r="B855">
        <v>27</v>
      </c>
      <c r="C855" t="s">
        <v>9</v>
      </c>
      <c r="D855" t="s">
        <v>15</v>
      </c>
      <c r="E855">
        <v>1377</v>
      </c>
      <c r="F855" t="s">
        <v>118</v>
      </c>
      <c r="G855">
        <v>2</v>
      </c>
      <c r="H855">
        <v>3</v>
      </c>
      <c r="I855" t="s">
        <v>21</v>
      </c>
      <c r="J855">
        <v>1</v>
      </c>
      <c r="K855">
        <v>437</v>
      </c>
      <c r="L855">
        <v>4</v>
      </c>
      <c r="M855" t="s">
        <v>23</v>
      </c>
      <c r="N855">
        <v>74</v>
      </c>
      <c r="O855">
        <v>3</v>
      </c>
      <c r="P855">
        <v>2</v>
      </c>
      <c r="Q855" t="s">
        <v>25</v>
      </c>
      <c r="R855">
        <v>3</v>
      </c>
      <c r="S855" t="s">
        <v>27</v>
      </c>
      <c r="T855">
        <v>4478</v>
      </c>
      <c r="U855">
        <v>5242</v>
      </c>
      <c r="V855">
        <v>1</v>
      </c>
      <c r="W855" t="s">
        <v>29</v>
      </c>
      <c r="X855" t="s">
        <v>10</v>
      </c>
      <c r="Y855">
        <v>11</v>
      </c>
      <c r="Z855">
        <v>3</v>
      </c>
      <c r="AA855">
        <v>1</v>
      </c>
      <c r="AB855">
        <v>80</v>
      </c>
      <c r="AC855">
        <v>0</v>
      </c>
      <c r="AD855">
        <v>5</v>
      </c>
      <c r="AE855">
        <v>3</v>
      </c>
      <c r="AF855">
        <v>3</v>
      </c>
      <c r="AG855">
        <v>5</v>
      </c>
      <c r="AH855">
        <v>4</v>
      </c>
      <c r="AI855">
        <v>0</v>
      </c>
      <c r="AJ855">
        <v>4</v>
      </c>
    </row>
    <row r="856" spans="1:36" x14ac:dyDescent="0.25">
      <c r="A856">
        <v>706</v>
      </c>
      <c r="B856">
        <v>41</v>
      </c>
      <c r="C856" t="s">
        <v>9</v>
      </c>
      <c r="D856" t="s">
        <v>16</v>
      </c>
      <c r="E856">
        <v>267</v>
      </c>
      <c r="F856" t="s">
        <v>118</v>
      </c>
      <c r="G856">
        <v>10</v>
      </c>
      <c r="H856">
        <v>2</v>
      </c>
      <c r="I856" t="s">
        <v>21</v>
      </c>
      <c r="J856">
        <v>1</v>
      </c>
      <c r="K856">
        <v>599</v>
      </c>
      <c r="L856">
        <v>4</v>
      </c>
      <c r="M856" t="s">
        <v>23</v>
      </c>
      <c r="N856">
        <v>56</v>
      </c>
      <c r="O856">
        <v>3</v>
      </c>
      <c r="P856">
        <v>2</v>
      </c>
      <c r="Q856" t="s">
        <v>25</v>
      </c>
      <c r="R856">
        <v>4</v>
      </c>
      <c r="S856" t="s">
        <v>27</v>
      </c>
      <c r="T856">
        <v>6230</v>
      </c>
      <c r="U856">
        <v>13430</v>
      </c>
      <c r="V856">
        <v>7</v>
      </c>
      <c r="W856" t="s">
        <v>29</v>
      </c>
      <c r="X856" t="s">
        <v>9</v>
      </c>
      <c r="Y856">
        <v>14</v>
      </c>
      <c r="Z856">
        <v>3</v>
      </c>
      <c r="AA856">
        <v>4</v>
      </c>
      <c r="AB856">
        <v>80</v>
      </c>
      <c r="AC856">
        <v>0</v>
      </c>
      <c r="AD856">
        <v>16</v>
      </c>
      <c r="AE856">
        <v>3</v>
      </c>
      <c r="AF856">
        <v>3</v>
      </c>
      <c r="AG856">
        <v>14</v>
      </c>
      <c r="AH856">
        <v>3</v>
      </c>
      <c r="AI856">
        <v>1</v>
      </c>
      <c r="AJ856">
        <v>10</v>
      </c>
    </row>
    <row r="857" spans="1:36" x14ac:dyDescent="0.25">
      <c r="A857">
        <v>838</v>
      </c>
      <c r="B857">
        <v>34</v>
      </c>
      <c r="C857" t="s">
        <v>9</v>
      </c>
      <c r="D857" t="s">
        <v>15</v>
      </c>
      <c r="E857">
        <v>258</v>
      </c>
      <c r="F857" t="s">
        <v>118</v>
      </c>
      <c r="G857">
        <v>21</v>
      </c>
      <c r="H857">
        <v>4</v>
      </c>
      <c r="I857" t="s">
        <v>21</v>
      </c>
      <c r="J857">
        <v>1</v>
      </c>
      <c r="K857">
        <v>621</v>
      </c>
      <c r="L857">
        <v>4</v>
      </c>
      <c r="M857" t="s">
        <v>23</v>
      </c>
      <c r="N857">
        <v>74</v>
      </c>
      <c r="O857">
        <v>4</v>
      </c>
      <c r="P857">
        <v>2</v>
      </c>
      <c r="Q857" t="s">
        <v>25</v>
      </c>
      <c r="R857">
        <v>4</v>
      </c>
      <c r="S857" t="s">
        <v>27</v>
      </c>
      <c r="T857">
        <v>5337</v>
      </c>
      <c r="U857">
        <v>19921</v>
      </c>
      <c r="V857">
        <v>1</v>
      </c>
      <c r="W857" t="s">
        <v>29</v>
      </c>
      <c r="X857" t="s">
        <v>9</v>
      </c>
      <c r="Y857">
        <v>12</v>
      </c>
      <c r="Z857">
        <v>3</v>
      </c>
      <c r="AA857">
        <v>4</v>
      </c>
      <c r="AB857">
        <v>80</v>
      </c>
      <c r="AC857">
        <v>0</v>
      </c>
      <c r="AD857">
        <v>10</v>
      </c>
      <c r="AE857">
        <v>3</v>
      </c>
      <c r="AF857">
        <v>3</v>
      </c>
      <c r="AG857">
        <v>10</v>
      </c>
      <c r="AH857">
        <v>7</v>
      </c>
      <c r="AI857">
        <v>5</v>
      </c>
      <c r="AJ857">
        <v>7</v>
      </c>
    </row>
    <row r="858" spans="1:36" x14ac:dyDescent="0.25">
      <c r="A858">
        <v>87</v>
      </c>
      <c r="B858">
        <v>47</v>
      </c>
      <c r="C858" t="s">
        <v>9</v>
      </c>
      <c r="D858" t="s">
        <v>15</v>
      </c>
      <c r="E858">
        <v>703</v>
      </c>
      <c r="F858" t="s">
        <v>118</v>
      </c>
      <c r="G858">
        <v>14</v>
      </c>
      <c r="H858">
        <v>4</v>
      </c>
      <c r="I858" t="s">
        <v>18</v>
      </c>
      <c r="J858">
        <v>1</v>
      </c>
      <c r="K858">
        <v>728</v>
      </c>
      <c r="L858">
        <v>4</v>
      </c>
      <c r="M858" t="s">
        <v>23</v>
      </c>
      <c r="N858">
        <v>42</v>
      </c>
      <c r="O858">
        <v>3</v>
      </c>
      <c r="P858">
        <v>2</v>
      </c>
      <c r="Q858" t="s">
        <v>25</v>
      </c>
      <c r="R858">
        <v>1</v>
      </c>
      <c r="S858" t="s">
        <v>27</v>
      </c>
      <c r="T858">
        <v>4960</v>
      </c>
      <c r="U858">
        <v>11825</v>
      </c>
      <c r="V858">
        <v>2</v>
      </c>
      <c r="W858" t="s">
        <v>29</v>
      </c>
      <c r="X858" t="s">
        <v>9</v>
      </c>
      <c r="Y858">
        <v>12</v>
      </c>
      <c r="Z858">
        <v>3</v>
      </c>
      <c r="AA858">
        <v>4</v>
      </c>
      <c r="AB858">
        <v>80</v>
      </c>
      <c r="AC858">
        <v>0</v>
      </c>
      <c r="AD858">
        <v>20</v>
      </c>
      <c r="AE858">
        <v>2</v>
      </c>
      <c r="AF858">
        <v>3</v>
      </c>
      <c r="AG858">
        <v>7</v>
      </c>
      <c r="AH858">
        <v>7</v>
      </c>
      <c r="AI858">
        <v>1</v>
      </c>
      <c r="AJ858">
        <v>7</v>
      </c>
    </row>
    <row r="859" spans="1:36" x14ac:dyDescent="0.25">
      <c r="A859">
        <v>152</v>
      </c>
      <c r="B859">
        <v>32</v>
      </c>
      <c r="C859" t="s">
        <v>9</v>
      </c>
      <c r="D859" t="s">
        <v>15</v>
      </c>
      <c r="E859">
        <v>929</v>
      </c>
      <c r="F859" t="s">
        <v>118</v>
      </c>
      <c r="G859">
        <v>10</v>
      </c>
      <c r="H859">
        <v>3</v>
      </c>
      <c r="I859" t="s">
        <v>18</v>
      </c>
      <c r="J859">
        <v>1</v>
      </c>
      <c r="K859">
        <v>722</v>
      </c>
      <c r="L859">
        <v>4</v>
      </c>
      <c r="M859" t="s">
        <v>23</v>
      </c>
      <c r="N859">
        <v>55</v>
      </c>
      <c r="O859">
        <v>3</v>
      </c>
      <c r="P859">
        <v>2</v>
      </c>
      <c r="Q859" t="s">
        <v>25</v>
      </c>
      <c r="R859">
        <v>4</v>
      </c>
      <c r="S859" t="s">
        <v>27</v>
      </c>
      <c r="T859">
        <v>5396</v>
      </c>
      <c r="U859">
        <v>21703</v>
      </c>
      <c r="V859">
        <v>1</v>
      </c>
      <c r="W859" t="s">
        <v>29</v>
      </c>
      <c r="X859" t="s">
        <v>9</v>
      </c>
      <c r="Y859">
        <v>12</v>
      </c>
      <c r="Z859">
        <v>3</v>
      </c>
      <c r="AA859">
        <v>4</v>
      </c>
      <c r="AB859">
        <v>80</v>
      </c>
      <c r="AC859">
        <v>0</v>
      </c>
      <c r="AD859">
        <v>10</v>
      </c>
      <c r="AE859">
        <v>2</v>
      </c>
      <c r="AF859">
        <v>2</v>
      </c>
      <c r="AG859">
        <v>10</v>
      </c>
      <c r="AH859">
        <v>7</v>
      </c>
      <c r="AI859">
        <v>0</v>
      </c>
      <c r="AJ859">
        <v>8</v>
      </c>
    </row>
    <row r="860" spans="1:36" x14ac:dyDescent="0.25">
      <c r="A860">
        <v>412</v>
      </c>
      <c r="B860">
        <v>41</v>
      </c>
      <c r="C860" t="s">
        <v>9</v>
      </c>
      <c r="D860" t="s">
        <v>15</v>
      </c>
      <c r="E860">
        <v>918</v>
      </c>
      <c r="F860" t="s">
        <v>118</v>
      </c>
      <c r="G860">
        <v>6</v>
      </c>
      <c r="H860">
        <v>3</v>
      </c>
      <c r="I860" t="s">
        <v>18</v>
      </c>
      <c r="J860">
        <v>1</v>
      </c>
      <c r="K860">
        <v>1708</v>
      </c>
      <c r="L860">
        <v>4</v>
      </c>
      <c r="M860" t="s">
        <v>23</v>
      </c>
      <c r="N860">
        <v>35</v>
      </c>
      <c r="O860">
        <v>3</v>
      </c>
      <c r="P860">
        <v>3</v>
      </c>
      <c r="Q860" t="s">
        <v>25</v>
      </c>
      <c r="R860">
        <v>3</v>
      </c>
      <c r="S860" t="s">
        <v>27</v>
      </c>
      <c r="T860">
        <v>9241</v>
      </c>
      <c r="U860">
        <v>15869</v>
      </c>
      <c r="V860">
        <v>1</v>
      </c>
      <c r="W860" t="s">
        <v>29</v>
      </c>
      <c r="X860" t="s">
        <v>9</v>
      </c>
      <c r="Y860">
        <v>12</v>
      </c>
      <c r="Z860">
        <v>3</v>
      </c>
      <c r="AA860">
        <v>2</v>
      </c>
      <c r="AB860">
        <v>80</v>
      </c>
      <c r="AC860">
        <v>0</v>
      </c>
      <c r="AD860">
        <v>10</v>
      </c>
      <c r="AE860">
        <v>3</v>
      </c>
      <c r="AF860">
        <v>3</v>
      </c>
      <c r="AG860">
        <v>10</v>
      </c>
      <c r="AH860">
        <v>8</v>
      </c>
      <c r="AI860">
        <v>8</v>
      </c>
      <c r="AJ860">
        <v>7</v>
      </c>
    </row>
    <row r="861" spans="1:36" x14ac:dyDescent="0.25">
      <c r="A861">
        <v>414</v>
      </c>
      <c r="B861">
        <v>32</v>
      </c>
      <c r="C861" t="s">
        <v>9</v>
      </c>
      <c r="D861" t="s">
        <v>11</v>
      </c>
      <c r="E861">
        <v>1318</v>
      </c>
      <c r="F861" t="s">
        <v>118</v>
      </c>
      <c r="G861">
        <v>10</v>
      </c>
      <c r="H861">
        <v>4</v>
      </c>
      <c r="I861" t="s">
        <v>18</v>
      </c>
      <c r="J861">
        <v>1</v>
      </c>
      <c r="K861">
        <v>1853</v>
      </c>
      <c r="L861">
        <v>4</v>
      </c>
      <c r="M861" t="s">
        <v>23</v>
      </c>
      <c r="N861">
        <v>79</v>
      </c>
      <c r="O861">
        <v>3</v>
      </c>
      <c r="P861">
        <v>2</v>
      </c>
      <c r="Q861" t="s">
        <v>25</v>
      </c>
      <c r="R861">
        <v>4</v>
      </c>
      <c r="S861" t="s">
        <v>27</v>
      </c>
      <c r="T861">
        <v>4648</v>
      </c>
      <c r="U861">
        <v>26075</v>
      </c>
      <c r="V861">
        <v>8</v>
      </c>
      <c r="W861" t="s">
        <v>29</v>
      </c>
      <c r="X861" t="s">
        <v>9</v>
      </c>
      <c r="Y861">
        <v>13</v>
      </c>
      <c r="Z861">
        <v>3</v>
      </c>
      <c r="AA861">
        <v>3</v>
      </c>
      <c r="AB861">
        <v>80</v>
      </c>
      <c r="AC861">
        <v>0</v>
      </c>
      <c r="AD861">
        <v>4</v>
      </c>
      <c r="AE861">
        <v>2</v>
      </c>
      <c r="AF861">
        <v>4</v>
      </c>
      <c r="AG861">
        <v>0</v>
      </c>
      <c r="AH861">
        <v>0</v>
      </c>
      <c r="AI861">
        <v>0</v>
      </c>
      <c r="AJ861">
        <v>0</v>
      </c>
    </row>
    <row r="862" spans="1:36" x14ac:dyDescent="0.25">
      <c r="A862">
        <v>537</v>
      </c>
      <c r="B862">
        <v>38</v>
      </c>
      <c r="C862" t="s">
        <v>9</v>
      </c>
      <c r="D862" t="s">
        <v>15</v>
      </c>
      <c r="E862">
        <v>130</v>
      </c>
      <c r="F862" t="s">
        <v>118</v>
      </c>
      <c r="G862">
        <v>2</v>
      </c>
      <c r="H862">
        <v>2</v>
      </c>
      <c r="I862" t="s">
        <v>18</v>
      </c>
      <c r="J862">
        <v>1</v>
      </c>
      <c r="K862">
        <v>1125</v>
      </c>
      <c r="L862">
        <v>4</v>
      </c>
      <c r="M862" t="s">
        <v>23</v>
      </c>
      <c r="N862">
        <v>32</v>
      </c>
      <c r="O862">
        <v>3</v>
      </c>
      <c r="P862">
        <v>3</v>
      </c>
      <c r="Q862" t="s">
        <v>25</v>
      </c>
      <c r="R862">
        <v>2</v>
      </c>
      <c r="S862" t="s">
        <v>27</v>
      </c>
      <c r="T862">
        <v>7351</v>
      </c>
      <c r="U862">
        <v>20619</v>
      </c>
      <c r="V862">
        <v>7</v>
      </c>
      <c r="W862" t="s">
        <v>29</v>
      </c>
      <c r="X862" t="s">
        <v>9</v>
      </c>
      <c r="Y862">
        <v>16</v>
      </c>
      <c r="Z862">
        <v>3</v>
      </c>
      <c r="AA862">
        <v>3</v>
      </c>
      <c r="AB862">
        <v>80</v>
      </c>
      <c r="AC862">
        <v>0</v>
      </c>
      <c r="AD862">
        <v>10</v>
      </c>
      <c r="AE862">
        <v>2</v>
      </c>
      <c r="AF862">
        <v>3</v>
      </c>
      <c r="AG862">
        <v>1</v>
      </c>
      <c r="AH862">
        <v>0</v>
      </c>
      <c r="AI862">
        <v>0</v>
      </c>
      <c r="AJ862">
        <v>0</v>
      </c>
    </row>
    <row r="863" spans="1:36" x14ac:dyDescent="0.25">
      <c r="A863" s="15">
        <v>339</v>
      </c>
      <c r="B863" s="15">
        <v>50</v>
      </c>
      <c r="C863" s="15" t="s">
        <v>10</v>
      </c>
      <c r="D863" s="15" t="s">
        <v>11</v>
      </c>
      <c r="E863" s="15">
        <v>959</v>
      </c>
      <c r="F863" s="15" t="s">
        <v>118</v>
      </c>
      <c r="G863" s="15">
        <v>1</v>
      </c>
      <c r="H863" s="15">
        <v>4</v>
      </c>
      <c r="I863" s="15" t="s">
        <v>19</v>
      </c>
      <c r="J863" s="15">
        <v>1</v>
      </c>
      <c r="K863" s="15">
        <v>1113</v>
      </c>
      <c r="L863" s="15">
        <v>4</v>
      </c>
      <c r="M863" s="15" t="s">
        <v>23</v>
      </c>
      <c r="N863" s="15">
        <v>81</v>
      </c>
      <c r="O863" s="15">
        <v>3</v>
      </c>
      <c r="P863" s="15">
        <v>2</v>
      </c>
      <c r="Q863" s="15" t="s">
        <v>25</v>
      </c>
      <c r="R863" s="15">
        <v>3</v>
      </c>
      <c r="S863" s="15" t="s">
        <v>27</v>
      </c>
      <c r="T863" s="15">
        <v>4728</v>
      </c>
      <c r="U863" s="15">
        <v>17251</v>
      </c>
      <c r="V863" s="15">
        <v>3</v>
      </c>
      <c r="W863" s="15" t="s">
        <v>29</v>
      </c>
      <c r="X863" s="15" t="s">
        <v>10</v>
      </c>
      <c r="Y863" s="15">
        <v>14</v>
      </c>
      <c r="Z863" s="15">
        <v>3</v>
      </c>
      <c r="AA863" s="15">
        <v>4</v>
      </c>
      <c r="AB863" s="15">
        <v>80</v>
      </c>
      <c r="AC863" s="15">
        <v>0</v>
      </c>
      <c r="AD863" s="15">
        <v>5</v>
      </c>
      <c r="AE863" s="15">
        <v>4</v>
      </c>
      <c r="AF863" s="15">
        <v>3</v>
      </c>
      <c r="AG863" s="15">
        <v>0</v>
      </c>
      <c r="AH863" s="15">
        <v>0</v>
      </c>
      <c r="AI863" s="15">
        <v>0</v>
      </c>
      <c r="AJ863" s="15">
        <v>0</v>
      </c>
    </row>
    <row r="864" spans="1:36" x14ac:dyDescent="0.25">
      <c r="A864">
        <v>72</v>
      </c>
      <c r="B864">
        <v>28</v>
      </c>
      <c r="C864" t="s">
        <v>9</v>
      </c>
      <c r="D864" t="s">
        <v>15</v>
      </c>
      <c r="E864">
        <v>866</v>
      </c>
      <c r="F864" t="s">
        <v>118</v>
      </c>
      <c r="G864">
        <v>5</v>
      </c>
      <c r="H864">
        <v>3</v>
      </c>
      <c r="I864" t="s">
        <v>17</v>
      </c>
      <c r="J864">
        <v>1</v>
      </c>
      <c r="K864">
        <v>1469</v>
      </c>
      <c r="L864">
        <v>4</v>
      </c>
      <c r="M864" t="s">
        <v>23</v>
      </c>
      <c r="N864">
        <v>84</v>
      </c>
      <c r="O864">
        <v>3</v>
      </c>
      <c r="P864">
        <v>2</v>
      </c>
      <c r="Q864" t="s">
        <v>25</v>
      </c>
      <c r="R864">
        <v>1</v>
      </c>
      <c r="S864" t="s">
        <v>27</v>
      </c>
      <c r="T864">
        <v>8463</v>
      </c>
      <c r="U864">
        <v>23490</v>
      </c>
      <c r="V864">
        <v>0</v>
      </c>
      <c r="W864" t="s">
        <v>29</v>
      </c>
      <c r="X864" t="s">
        <v>9</v>
      </c>
      <c r="Y864">
        <v>18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4</v>
      </c>
      <c r="AF864">
        <v>3</v>
      </c>
      <c r="AG864">
        <v>5</v>
      </c>
      <c r="AH864">
        <v>4</v>
      </c>
      <c r="AI864">
        <v>1</v>
      </c>
      <c r="AJ864">
        <v>3</v>
      </c>
    </row>
    <row r="865" spans="1:36" x14ac:dyDescent="0.25">
      <c r="A865" s="15">
        <v>804</v>
      </c>
      <c r="B865" s="15">
        <v>35</v>
      </c>
      <c r="C865" s="15" t="s">
        <v>10</v>
      </c>
      <c r="D865" s="15" t="s">
        <v>15</v>
      </c>
      <c r="E865" s="15">
        <v>1204</v>
      </c>
      <c r="F865" s="15" t="s">
        <v>118</v>
      </c>
      <c r="G865" s="15">
        <v>4</v>
      </c>
      <c r="H865" s="15">
        <v>3</v>
      </c>
      <c r="I865" s="15" t="s">
        <v>22</v>
      </c>
      <c r="J865" s="15">
        <v>1</v>
      </c>
      <c r="K865" s="15">
        <v>1100</v>
      </c>
      <c r="L865" s="15">
        <v>4</v>
      </c>
      <c r="M865" s="15" t="s">
        <v>23</v>
      </c>
      <c r="N865" s="15">
        <v>86</v>
      </c>
      <c r="O865" s="15">
        <v>3</v>
      </c>
      <c r="P865" s="15">
        <v>3</v>
      </c>
      <c r="Q865" s="15" t="s">
        <v>25</v>
      </c>
      <c r="R865" s="15">
        <v>1</v>
      </c>
      <c r="S865" s="15" t="s">
        <v>27</v>
      </c>
      <c r="T865" s="15">
        <v>9582</v>
      </c>
      <c r="U865" s="15">
        <v>10333</v>
      </c>
      <c r="V865" s="15">
        <v>0</v>
      </c>
      <c r="W865" s="15" t="s">
        <v>29</v>
      </c>
      <c r="X865" s="15" t="s">
        <v>10</v>
      </c>
      <c r="Y865" s="15">
        <v>22</v>
      </c>
      <c r="Z865" s="15">
        <v>4</v>
      </c>
      <c r="AA865" s="15">
        <v>1</v>
      </c>
      <c r="AB865" s="15">
        <v>80</v>
      </c>
      <c r="AC865" s="15">
        <v>0</v>
      </c>
      <c r="AD865" s="15">
        <v>9</v>
      </c>
      <c r="AE865" s="15">
        <v>2</v>
      </c>
      <c r="AF865" s="15">
        <v>3</v>
      </c>
      <c r="AG865" s="15">
        <v>8</v>
      </c>
      <c r="AH865" s="15">
        <v>7</v>
      </c>
      <c r="AI865" s="15">
        <v>4</v>
      </c>
      <c r="AJ865" s="15">
        <v>7</v>
      </c>
    </row>
    <row r="866" spans="1:36" x14ac:dyDescent="0.25">
      <c r="A866">
        <v>24</v>
      </c>
      <c r="B866">
        <v>31</v>
      </c>
      <c r="C866" t="s">
        <v>9</v>
      </c>
      <c r="D866" t="s">
        <v>11</v>
      </c>
      <c r="E866">
        <v>715</v>
      </c>
      <c r="F866" t="s">
        <v>118</v>
      </c>
      <c r="G866">
        <v>2</v>
      </c>
      <c r="H866">
        <v>4</v>
      </c>
      <c r="I866" t="s">
        <v>19</v>
      </c>
      <c r="J866">
        <v>1</v>
      </c>
      <c r="K866">
        <v>1613</v>
      </c>
      <c r="L866">
        <v>4</v>
      </c>
      <c r="M866" t="s">
        <v>23</v>
      </c>
      <c r="N866">
        <v>54</v>
      </c>
      <c r="O866">
        <v>3</v>
      </c>
      <c r="P866">
        <v>2</v>
      </c>
      <c r="Q866" t="s">
        <v>25</v>
      </c>
      <c r="R866">
        <v>1</v>
      </c>
      <c r="S866" t="s">
        <v>27</v>
      </c>
      <c r="T866">
        <v>5332</v>
      </c>
      <c r="U866">
        <v>21602</v>
      </c>
      <c r="V866">
        <v>7</v>
      </c>
      <c r="W866" t="s">
        <v>29</v>
      </c>
      <c r="X866" t="s">
        <v>9</v>
      </c>
      <c r="Y866">
        <v>13</v>
      </c>
      <c r="Z866">
        <v>3</v>
      </c>
      <c r="AA866">
        <v>4</v>
      </c>
      <c r="AB866">
        <v>80</v>
      </c>
      <c r="AC866">
        <v>0</v>
      </c>
      <c r="AD866">
        <v>10</v>
      </c>
      <c r="AE866">
        <v>3</v>
      </c>
      <c r="AF866">
        <v>3</v>
      </c>
      <c r="AG866">
        <v>5</v>
      </c>
      <c r="AH866">
        <v>2</v>
      </c>
      <c r="AI866">
        <v>0</v>
      </c>
      <c r="AJ866">
        <v>3</v>
      </c>
    </row>
    <row r="867" spans="1:36" x14ac:dyDescent="0.25">
      <c r="A867">
        <v>221</v>
      </c>
      <c r="B867">
        <v>34</v>
      </c>
      <c r="C867" t="s">
        <v>9</v>
      </c>
      <c r="D867" t="s">
        <v>15</v>
      </c>
      <c r="E867">
        <v>304</v>
      </c>
      <c r="F867" t="s">
        <v>118</v>
      </c>
      <c r="G867">
        <v>2</v>
      </c>
      <c r="H867">
        <v>3</v>
      </c>
      <c r="I867" t="s">
        <v>19</v>
      </c>
      <c r="J867">
        <v>1</v>
      </c>
      <c r="K867">
        <v>786</v>
      </c>
      <c r="L867">
        <v>4</v>
      </c>
      <c r="M867" t="s">
        <v>23</v>
      </c>
      <c r="N867">
        <v>60</v>
      </c>
      <c r="O867">
        <v>3</v>
      </c>
      <c r="P867">
        <v>2</v>
      </c>
      <c r="Q867" t="s">
        <v>25</v>
      </c>
      <c r="R867">
        <v>4</v>
      </c>
      <c r="S867" t="s">
        <v>27</v>
      </c>
      <c r="T867">
        <v>6274</v>
      </c>
      <c r="U867">
        <v>18686</v>
      </c>
      <c r="V867">
        <v>1</v>
      </c>
      <c r="W867" t="s">
        <v>29</v>
      </c>
      <c r="X867" t="s">
        <v>9</v>
      </c>
      <c r="Y867">
        <v>22</v>
      </c>
      <c r="Z867">
        <v>4</v>
      </c>
      <c r="AA867">
        <v>3</v>
      </c>
      <c r="AB867">
        <v>80</v>
      </c>
      <c r="AC867">
        <v>0</v>
      </c>
      <c r="AD867">
        <v>6</v>
      </c>
      <c r="AE867">
        <v>5</v>
      </c>
      <c r="AF867">
        <v>3</v>
      </c>
      <c r="AG867">
        <v>6</v>
      </c>
      <c r="AH867">
        <v>5</v>
      </c>
      <c r="AI867">
        <v>1</v>
      </c>
      <c r="AJ867">
        <v>4</v>
      </c>
    </row>
    <row r="868" spans="1:36" x14ac:dyDescent="0.25">
      <c r="A868">
        <v>356</v>
      </c>
      <c r="B868">
        <v>34</v>
      </c>
      <c r="C868" t="s">
        <v>9</v>
      </c>
      <c r="D868" t="s">
        <v>15</v>
      </c>
      <c r="E868">
        <v>1326</v>
      </c>
      <c r="F868" t="s">
        <v>118</v>
      </c>
      <c r="G868">
        <v>3</v>
      </c>
      <c r="H868">
        <v>3</v>
      </c>
      <c r="I868" t="s">
        <v>19</v>
      </c>
      <c r="J868">
        <v>1</v>
      </c>
      <c r="K868">
        <v>1478</v>
      </c>
      <c r="L868">
        <v>4</v>
      </c>
      <c r="M868" t="s">
        <v>23</v>
      </c>
      <c r="N868">
        <v>81</v>
      </c>
      <c r="O868">
        <v>1</v>
      </c>
      <c r="P868">
        <v>2</v>
      </c>
      <c r="Q868" t="s">
        <v>25</v>
      </c>
      <c r="R868">
        <v>1</v>
      </c>
      <c r="S868" t="s">
        <v>27</v>
      </c>
      <c r="T868">
        <v>4759</v>
      </c>
      <c r="U868">
        <v>15891</v>
      </c>
      <c r="V868">
        <v>3</v>
      </c>
      <c r="W868" t="s">
        <v>29</v>
      </c>
      <c r="X868" t="s">
        <v>9</v>
      </c>
      <c r="Y868">
        <v>18</v>
      </c>
      <c r="Z868">
        <v>3</v>
      </c>
      <c r="AA868">
        <v>4</v>
      </c>
      <c r="AB868">
        <v>80</v>
      </c>
      <c r="AC868">
        <v>0</v>
      </c>
      <c r="AD868">
        <v>15</v>
      </c>
      <c r="AE868">
        <v>2</v>
      </c>
      <c r="AF868">
        <v>3</v>
      </c>
      <c r="AG868">
        <v>13</v>
      </c>
      <c r="AH868">
        <v>9</v>
      </c>
      <c r="AI868">
        <v>3</v>
      </c>
      <c r="AJ868">
        <v>12</v>
      </c>
    </row>
    <row r="869" spans="1:36" x14ac:dyDescent="0.25">
      <c r="A869">
        <v>375</v>
      </c>
      <c r="B869">
        <v>20</v>
      </c>
      <c r="C869" t="s">
        <v>9</v>
      </c>
      <c r="D869" t="s">
        <v>15</v>
      </c>
      <c r="E869">
        <v>727</v>
      </c>
      <c r="F869" t="s">
        <v>118</v>
      </c>
      <c r="G869">
        <v>9</v>
      </c>
      <c r="H869">
        <v>1</v>
      </c>
      <c r="I869" t="s">
        <v>21</v>
      </c>
      <c r="J869">
        <v>1</v>
      </c>
      <c r="K869">
        <v>1680</v>
      </c>
      <c r="L869">
        <v>4</v>
      </c>
      <c r="M869" t="s">
        <v>23</v>
      </c>
      <c r="N869">
        <v>54</v>
      </c>
      <c r="O869">
        <v>3</v>
      </c>
      <c r="P869">
        <v>1</v>
      </c>
      <c r="Q869" t="s">
        <v>33</v>
      </c>
      <c r="R869">
        <v>1</v>
      </c>
      <c r="S869" t="s">
        <v>27</v>
      </c>
      <c r="T869">
        <v>2728</v>
      </c>
      <c r="U869">
        <v>21082</v>
      </c>
      <c r="V869">
        <v>1</v>
      </c>
      <c r="W869" t="s">
        <v>29</v>
      </c>
      <c r="X869" t="s">
        <v>9</v>
      </c>
      <c r="Y869">
        <v>11</v>
      </c>
      <c r="Z869">
        <v>3</v>
      </c>
      <c r="AA869">
        <v>1</v>
      </c>
      <c r="AB869">
        <v>80</v>
      </c>
      <c r="AC869">
        <v>0</v>
      </c>
      <c r="AD869">
        <v>2</v>
      </c>
      <c r="AE869">
        <v>3</v>
      </c>
      <c r="AF869">
        <v>3</v>
      </c>
      <c r="AG869">
        <v>2</v>
      </c>
      <c r="AH869">
        <v>2</v>
      </c>
      <c r="AI869">
        <v>0</v>
      </c>
      <c r="AJ869">
        <v>2</v>
      </c>
    </row>
    <row r="870" spans="1:36" x14ac:dyDescent="0.25">
      <c r="A870" s="15">
        <v>719</v>
      </c>
      <c r="B870" s="15">
        <v>35</v>
      </c>
      <c r="C870" s="15" t="s">
        <v>10</v>
      </c>
      <c r="D870" s="15" t="s">
        <v>11</v>
      </c>
      <c r="E870" s="15">
        <v>880</v>
      </c>
      <c r="F870" s="15" t="s">
        <v>118</v>
      </c>
      <c r="G870" s="15">
        <v>12</v>
      </c>
      <c r="H870" s="15">
        <v>4</v>
      </c>
      <c r="I870" s="15" t="s">
        <v>19</v>
      </c>
      <c r="J870" s="15">
        <v>1</v>
      </c>
      <c r="K870" s="15">
        <v>1667</v>
      </c>
      <c r="L870" s="15">
        <v>4</v>
      </c>
      <c r="M870" s="15" t="s">
        <v>23</v>
      </c>
      <c r="N870" s="15">
        <v>36</v>
      </c>
      <c r="O870" s="15">
        <v>3</v>
      </c>
      <c r="P870" s="15">
        <v>2</v>
      </c>
      <c r="Q870" s="15" t="s">
        <v>25</v>
      </c>
      <c r="R870" s="15">
        <v>4</v>
      </c>
      <c r="S870" s="15" t="s">
        <v>27</v>
      </c>
      <c r="T870" s="15">
        <v>4581</v>
      </c>
      <c r="U870" s="15">
        <v>10414</v>
      </c>
      <c r="V870" s="15">
        <v>3</v>
      </c>
      <c r="W870" s="15" t="s">
        <v>29</v>
      </c>
      <c r="X870" s="15" t="s">
        <v>10</v>
      </c>
      <c r="Y870" s="15">
        <v>24</v>
      </c>
      <c r="Z870" s="15">
        <v>4</v>
      </c>
      <c r="AA870" s="15">
        <v>1</v>
      </c>
      <c r="AB870" s="15">
        <v>80</v>
      </c>
      <c r="AC870" s="15">
        <v>0</v>
      </c>
      <c r="AD870" s="15">
        <v>13</v>
      </c>
      <c r="AE870" s="15">
        <v>2</v>
      </c>
      <c r="AF870" s="15">
        <v>4</v>
      </c>
      <c r="AG870" s="15">
        <v>11</v>
      </c>
      <c r="AH870" s="15">
        <v>9</v>
      </c>
      <c r="AI870" s="15">
        <v>6</v>
      </c>
      <c r="AJ870" s="15">
        <v>7</v>
      </c>
    </row>
    <row r="871" spans="1:36" x14ac:dyDescent="0.25">
      <c r="A871" s="15">
        <v>614</v>
      </c>
      <c r="B871" s="15">
        <v>19</v>
      </c>
      <c r="C871" s="15" t="s">
        <v>10</v>
      </c>
      <c r="D871" s="15" t="s">
        <v>15</v>
      </c>
      <c r="E871" s="15">
        <v>419</v>
      </c>
      <c r="F871" s="15" t="s">
        <v>118</v>
      </c>
      <c r="G871" s="15">
        <v>21</v>
      </c>
      <c r="H871" s="15">
        <v>3</v>
      </c>
      <c r="I871" s="15" t="s">
        <v>19</v>
      </c>
      <c r="J871" s="15">
        <v>1</v>
      </c>
      <c r="K871" s="15">
        <v>959</v>
      </c>
      <c r="L871" s="15">
        <v>4</v>
      </c>
      <c r="M871" s="15" t="s">
        <v>23</v>
      </c>
      <c r="N871" s="15">
        <v>37</v>
      </c>
      <c r="O871" s="15">
        <v>2</v>
      </c>
      <c r="P871" s="15">
        <v>1</v>
      </c>
      <c r="Q871" s="15" t="s">
        <v>33</v>
      </c>
      <c r="R871" s="15">
        <v>2</v>
      </c>
      <c r="S871" s="15" t="s">
        <v>27</v>
      </c>
      <c r="T871" s="15">
        <v>2121</v>
      </c>
      <c r="U871" s="15">
        <v>9947</v>
      </c>
      <c r="V871" s="15">
        <v>1</v>
      </c>
      <c r="W871" s="15" t="s">
        <v>29</v>
      </c>
      <c r="X871" s="15" t="s">
        <v>10</v>
      </c>
      <c r="Y871" s="15">
        <v>13</v>
      </c>
      <c r="Z871" s="15">
        <v>3</v>
      </c>
      <c r="AA871" s="15">
        <v>2</v>
      </c>
      <c r="AB871" s="15">
        <v>80</v>
      </c>
      <c r="AC871" s="15">
        <v>0</v>
      </c>
      <c r="AD871" s="15">
        <v>1</v>
      </c>
      <c r="AE871" s="15">
        <v>3</v>
      </c>
      <c r="AF871" s="15">
        <v>4</v>
      </c>
      <c r="AG871" s="15">
        <v>1</v>
      </c>
      <c r="AH871" s="15">
        <v>0</v>
      </c>
      <c r="AI871" s="15">
        <v>0</v>
      </c>
      <c r="AJ871" s="15">
        <v>0</v>
      </c>
    </row>
  </sheetData>
  <autoFilter ref="A1:AJ871" xr:uid="{5B8CD850-A753-4F52-8C61-BE2136EE4254}">
    <sortState xmlns:xlrd2="http://schemas.microsoft.com/office/spreadsheetml/2017/richdata2" ref="A2:AJ871">
      <sortCondition ref="M1:M871"/>
    </sortState>
  </autoFilter>
  <conditionalFormatting sqref="C1:C1048576">
    <cfRule type="containsText" dxfId="0" priority="1" operator="containsText" text="Yes">
      <formula>NOT(ISERROR(SEARCH("Yes",C1)))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C435-6CF4-4D1E-A7F3-13D48B19E64D}">
  <dimension ref="A1:R871"/>
  <sheetViews>
    <sheetView tabSelected="1" workbookViewId="0">
      <selection activeCell="T11" sqref="T11"/>
    </sheetView>
  </sheetViews>
  <sheetFormatPr defaultRowHeight="15" x14ac:dyDescent="0.25"/>
  <cols>
    <col min="6" max="6" width="19.140625" customWidth="1"/>
  </cols>
  <sheetData>
    <row r="1" spans="1:18" x14ac:dyDescent="0.25">
      <c r="A1" t="s">
        <v>59</v>
      </c>
      <c r="B1" t="s">
        <v>142</v>
      </c>
      <c r="F1" s="17"/>
      <c r="G1" s="17"/>
    </row>
    <row r="2" spans="1:18" x14ac:dyDescent="0.25">
      <c r="A2" s="15">
        <v>1081</v>
      </c>
      <c r="B2">
        <f>12*A2</f>
        <v>12972</v>
      </c>
      <c r="E2" t="s">
        <v>137</v>
      </c>
      <c r="F2" t="s">
        <v>138</v>
      </c>
      <c r="G2" t="s">
        <v>136</v>
      </c>
      <c r="J2" t="s">
        <v>132</v>
      </c>
      <c r="K2">
        <v>1000</v>
      </c>
      <c r="L2" s="16">
        <v>12000</v>
      </c>
      <c r="M2" t="s">
        <v>134</v>
      </c>
      <c r="N2" s="16">
        <v>6000</v>
      </c>
      <c r="O2" t="s">
        <v>135</v>
      </c>
      <c r="P2" s="16">
        <v>48000</v>
      </c>
      <c r="R2" t="s">
        <v>139</v>
      </c>
    </row>
    <row r="3" spans="1:18" x14ac:dyDescent="0.25">
      <c r="A3" s="15">
        <v>1091</v>
      </c>
      <c r="B3">
        <f>12*A3</f>
        <v>13092</v>
      </c>
      <c r="E3">
        <v>200</v>
      </c>
      <c r="F3">
        <f>0.5*76680</f>
        <v>38340</v>
      </c>
      <c r="G3">
        <v>306720</v>
      </c>
      <c r="J3" t="s">
        <v>133</v>
      </c>
      <c r="K3" s="16">
        <v>20000</v>
      </c>
      <c r="L3" s="16">
        <v>240000</v>
      </c>
      <c r="M3" t="s">
        <v>134</v>
      </c>
      <c r="N3" s="16">
        <v>120000</v>
      </c>
      <c r="P3">
        <f>240000*4</f>
        <v>960000</v>
      </c>
      <c r="R3" t="s">
        <v>143</v>
      </c>
    </row>
    <row r="4" spans="1:18" x14ac:dyDescent="0.25">
      <c r="A4" s="15">
        <v>1102</v>
      </c>
      <c r="B4">
        <f>12*A4</f>
        <v>13224</v>
      </c>
      <c r="F4">
        <f>140*F3</f>
        <v>5367600</v>
      </c>
      <c r="G4">
        <f>140*G3</f>
        <v>42940800</v>
      </c>
      <c r="K4">
        <v>6390</v>
      </c>
      <c r="L4">
        <f>12*K4</f>
        <v>76680</v>
      </c>
      <c r="P4">
        <f>4*L4</f>
        <v>306720</v>
      </c>
    </row>
    <row r="5" spans="1:18" x14ac:dyDescent="0.25">
      <c r="A5" s="15">
        <v>1118</v>
      </c>
      <c r="B5">
        <f>12*A5</f>
        <v>13416</v>
      </c>
    </row>
    <row r="6" spans="1:18" x14ac:dyDescent="0.25">
      <c r="A6">
        <v>1129</v>
      </c>
      <c r="B6">
        <f>12*A6</f>
        <v>13548</v>
      </c>
    </row>
    <row r="7" spans="1:18" x14ac:dyDescent="0.25">
      <c r="A7">
        <v>1223</v>
      </c>
      <c r="B7">
        <f>12*A7</f>
        <v>14676</v>
      </c>
    </row>
    <row r="8" spans="1:18" x14ac:dyDescent="0.25">
      <c r="A8">
        <v>1274</v>
      </c>
      <c r="B8">
        <f>12*A8</f>
        <v>15288</v>
      </c>
    </row>
    <row r="9" spans="1:18" x14ac:dyDescent="0.25">
      <c r="A9">
        <v>1281</v>
      </c>
      <c r="B9">
        <f>12*A9</f>
        <v>15372</v>
      </c>
    </row>
    <row r="10" spans="1:18" x14ac:dyDescent="0.25">
      <c r="A10" s="15">
        <v>1393</v>
      </c>
      <c r="B10">
        <f>12*A10</f>
        <v>16716</v>
      </c>
      <c r="C10" s="15"/>
      <c r="D10" s="15"/>
    </row>
    <row r="11" spans="1:18" x14ac:dyDescent="0.25">
      <c r="A11" s="15">
        <v>1420</v>
      </c>
      <c r="B11">
        <f>12*A11</f>
        <v>17040</v>
      </c>
    </row>
    <row r="12" spans="1:18" x14ac:dyDescent="0.25">
      <c r="A12">
        <v>1483</v>
      </c>
      <c r="B12">
        <f>12*A12</f>
        <v>17796</v>
      </c>
    </row>
    <row r="13" spans="1:18" x14ac:dyDescent="0.25">
      <c r="A13">
        <v>1514</v>
      </c>
      <c r="B13">
        <f>12*A13</f>
        <v>18168</v>
      </c>
    </row>
    <row r="14" spans="1:18" x14ac:dyDescent="0.25">
      <c r="A14" s="15">
        <v>1555</v>
      </c>
      <c r="B14">
        <f>12*A14</f>
        <v>18660</v>
      </c>
    </row>
    <row r="15" spans="1:18" x14ac:dyDescent="0.25">
      <c r="A15">
        <v>1563</v>
      </c>
      <c r="B15">
        <f>12*A15</f>
        <v>18756</v>
      </c>
    </row>
    <row r="16" spans="1:18" x14ac:dyDescent="0.25">
      <c r="A16" s="15">
        <v>1569</v>
      </c>
      <c r="B16">
        <f>12*A16</f>
        <v>18828</v>
      </c>
    </row>
    <row r="17" spans="1:4" x14ac:dyDescent="0.25">
      <c r="A17">
        <v>1611</v>
      </c>
      <c r="B17">
        <f>12*A17</f>
        <v>19332</v>
      </c>
    </row>
    <row r="18" spans="1:4" x14ac:dyDescent="0.25">
      <c r="A18" s="15">
        <v>1675</v>
      </c>
      <c r="B18">
        <f>12*A18</f>
        <v>20100</v>
      </c>
    </row>
    <row r="19" spans="1:4" x14ac:dyDescent="0.25">
      <c r="A19">
        <v>1702</v>
      </c>
      <c r="B19">
        <f>12*A19</f>
        <v>20424</v>
      </c>
    </row>
    <row r="20" spans="1:4" x14ac:dyDescent="0.25">
      <c r="A20" s="15">
        <v>1859</v>
      </c>
      <c r="B20">
        <f>12*A20</f>
        <v>22308</v>
      </c>
    </row>
    <row r="21" spans="1:4" x14ac:dyDescent="0.25">
      <c r="A21" s="15">
        <v>1878</v>
      </c>
      <c r="B21">
        <f>12*A21</f>
        <v>22536</v>
      </c>
    </row>
    <row r="22" spans="1:4" x14ac:dyDescent="0.25">
      <c r="A22" s="15">
        <v>1904</v>
      </c>
      <c r="B22">
        <f>12*A22</f>
        <v>22848</v>
      </c>
    </row>
    <row r="23" spans="1:4" x14ac:dyDescent="0.25">
      <c r="A23">
        <v>1951</v>
      </c>
      <c r="B23">
        <f>12*A23</f>
        <v>23412</v>
      </c>
    </row>
    <row r="24" spans="1:4" x14ac:dyDescent="0.25">
      <c r="A24">
        <v>2008</v>
      </c>
      <c r="B24">
        <f>12*A24</f>
        <v>24096</v>
      </c>
      <c r="C24" s="15"/>
      <c r="D24" s="15"/>
    </row>
    <row r="25" spans="1:4" x14ac:dyDescent="0.25">
      <c r="A25">
        <v>2008</v>
      </c>
      <c r="B25">
        <f>12*A25</f>
        <v>24096</v>
      </c>
    </row>
    <row r="26" spans="1:4" x14ac:dyDescent="0.25">
      <c r="A26">
        <v>2011</v>
      </c>
      <c r="B26">
        <f>12*A26</f>
        <v>24132</v>
      </c>
    </row>
    <row r="27" spans="1:4" x14ac:dyDescent="0.25">
      <c r="A27">
        <v>2013</v>
      </c>
      <c r="B27">
        <f>12*A27</f>
        <v>24156</v>
      </c>
    </row>
    <row r="28" spans="1:4" x14ac:dyDescent="0.25">
      <c r="A28">
        <v>2014</v>
      </c>
      <c r="B28">
        <f>12*A28</f>
        <v>24168</v>
      </c>
    </row>
    <row r="29" spans="1:4" x14ac:dyDescent="0.25">
      <c r="A29" s="15">
        <v>2022</v>
      </c>
      <c r="B29">
        <f>12*A29</f>
        <v>24264</v>
      </c>
    </row>
    <row r="30" spans="1:4" x14ac:dyDescent="0.25">
      <c r="A30">
        <v>2024</v>
      </c>
      <c r="B30">
        <f>12*A30</f>
        <v>24288</v>
      </c>
    </row>
    <row r="31" spans="1:4" x14ac:dyDescent="0.25">
      <c r="A31">
        <v>2028</v>
      </c>
      <c r="B31">
        <f>12*A31</f>
        <v>24336</v>
      </c>
      <c r="C31" s="15"/>
      <c r="D31" s="15"/>
    </row>
    <row r="32" spans="1:4" x14ac:dyDescent="0.25">
      <c r="A32" s="15">
        <v>2028</v>
      </c>
      <c r="B32">
        <f>12*A32</f>
        <v>24336</v>
      </c>
      <c r="C32" s="15"/>
      <c r="D32" s="15"/>
    </row>
    <row r="33" spans="1:4" x14ac:dyDescent="0.25">
      <c r="A33">
        <v>2033</v>
      </c>
      <c r="B33">
        <f>12*A33</f>
        <v>24396</v>
      </c>
    </row>
    <row r="34" spans="1:4" x14ac:dyDescent="0.25">
      <c r="A34" s="15">
        <v>2042</v>
      </c>
      <c r="B34">
        <f>12*A34</f>
        <v>24504</v>
      </c>
    </row>
    <row r="35" spans="1:4" x14ac:dyDescent="0.25">
      <c r="A35">
        <v>2042</v>
      </c>
      <c r="B35">
        <f>12*A35</f>
        <v>24504</v>
      </c>
    </row>
    <row r="36" spans="1:4" x14ac:dyDescent="0.25">
      <c r="A36" s="15">
        <v>2044</v>
      </c>
      <c r="B36">
        <f>12*A36</f>
        <v>24528</v>
      </c>
      <c r="C36" s="15"/>
      <c r="D36" s="15"/>
    </row>
    <row r="37" spans="1:4" x14ac:dyDescent="0.25">
      <c r="A37">
        <v>2045</v>
      </c>
      <c r="B37">
        <f>12*A37</f>
        <v>24540</v>
      </c>
    </row>
    <row r="38" spans="1:4" x14ac:dyDescent="0.25">
      <c r="A38">
        <v>2064</v>
      </c>
      <c r="B38">
        <f>12*A38</f>
        <v>24768</v>
      </c>
    </row>
    <row r="39" spans="1:4" x14ac:dyDescent="0.25">
      <c r="A39">
        <v>2066</v>
      </c>
      <c r="B39">
        <f>12*A39</f>
        <v>24792</v>
      </c>
      <c r="C39" s="15"/>
      <c r="D39" s="15"/>
    </row>
    <row r="40" spans="1:4" x14ac:dyDescent="0.25">
      <c r="A40">
        <v>2070</v>
      </c>
      <c r="B40">
        <f>12*A40</f>
        <v>24840</v>
      </c>
      <c r="C40" s="15"/>
      <c r="D40" s="15"/>
    </row>
    <row r="41" spans="1:4" x14ac:dyDescent="0.25">
      <c r="A41">
        <v>2070</v>
      </c>
      <c r="B41">
        <f>12*A41</f>
        <v>24840</v>
      </c>
    </row>
    <row r="42" spans="1:4" x14ac:dyDescent="0.25">
      <c r="A42">
        <v>2073</v>
      </c>
      <c r="B42">
        <f>12*A42</f>
        <v>24876</v>
      </c>
    </row>
    <row r="43" spans="1:4" x14ac:dyDescent="0.25">
      <c r="A43">
        <v>2075</v>
      </c>
      <c r="B43">
        <f>12*A43</f>
        <v>24900</v>
      </c>
    </row>
    <row r="44" spans="1:4" x14ac:dyDescent="0.25">
      <c r="A44">
        <v>2083</v>
      </c>
      <c r="B44">
        <f>12*A44</f>
        <v>24996</v>
      </c>
    </row>
    <row r="45" spans="1:4" x14ac:dyDescent="0.25">
      <c r="A45">
        <v>2088</v>
      </c>
      <c r="B45">
        <f>12*A45</f>
        <v>25056</v>
      </c>
    </row>
    <row r="46" spans="1:4" x14ac:dyDescent="0.25">
      <c r="A46">
        <v>2089</v>
      </c>
      <c r="B46">
        <f>12*A46</f>
        <v>25068</v>
      </c>
    </row>
    <row r="47" spans="1:4" x14ac:dyDescent="0.25">
      <c r="A47" s="15">
        <v>2090</v>
      </c>
      <c r="B47">
        <f>12*A47</f>
        <v>25080</v>
      </c>
    </row>
    <row r="48" spans="1:4" x14ac:dyDescent="0.25">
      <c r="A48">
        <v>2093</v>
      </c>
      <c r="B48">
        <f>12*A48</f>
        <v>25116</v>
      </c>
      <c r="C48" s="15"/>
      <c r="D48" s="15"/>
    </row>
    <row r="49" spans="1:4" x14ac:dyDescent="0.25">
      <c r="A49">
        <v>2096</v>
      </c>
      <c r="B49">
        <f>12*A49</f>
        <v>25152</v>
      </c>
    </row>
    <row r="50" spans="1:4" x14ac:dyDescent="0.25">
      <c r="A50">
        <v>2099</v>
      </c>
      <c r="B50">
        <f>12*A50</f>
        <v>25188</v>
      </c>
    </row>
    <row r="51" spans="1:4" x14ac:dyDescent="0.25">
      <c r="A51">
        <v>2105</v>
      </c>
      <c r="B51">
        <f>12*A51</f>
        <v>25260</v>
      </c>
      <c r="C51" s="15"/>
      <c r="D51" s="15"/>
    </row>
    <row r="52" spans="1:4" x14ac:dyDescent="0.25">
      <c r="A52" s="15">
        <v>2107</v>
      </c>
      <c r="B52">
        <f>12*A52</f>
        <v>25284</v>
      </c>
    </row>
    <row r="53" spans="1:4" x14ac:dyDescent="0.25">
      <c r="A53">
        <v>2109</v>
      </c>
      <c r="B53">
        <f>12*A53</f>
        <v>25308</v>
      </c>
    </row>
    <row r="54" spans="1:4" x14ac:dyDescent="0.25">
      <c r="A54">
        <v>2109</v>
      </c>
      <c r="B54">
        <f>12*A54</f>
        <v>25308</v>
      </c>
    </row>
    <row r="55" spans="1:4" x14ac:dyDescent="0.25">
      <c r="A55">
        <v>2115</v>
      </c>
      <c r="B55">
        <f>12*A55</f>
        <v>25380</v>
      </c>
    </row>
    <row r="56" spans="1:4" x14ac:dyDescent="0.25">
      <c r="A56" s="15">
        <v>2119</v>
      </c>
      <c r="B56">
        <f>12*A56</f>
        <v>25428</v>
      </c>
    </row>
    <row r="57" spans="1:4" x14ac:dyDescent="0.25">
      <c r="A57" s="15">
        <v>2121</v>
      </c>
      <c r="B57">
        <f>12*A57</f>
        <v>25452</v>
      </c>
    </row>
    <row r="58" spans="1:4" x14ac:dyDescent="0.25">
      <c r="A58">
        <v>2127</v>
      </c>
      <c r="B58">
        <f>12*A58</f>
        <v>25524</v>
      </c>
    </row>
    <row r="59" spans="1:4" x14ac:dyDescent="0.25">
      <c r="A59">
        <v>2127</v>
      </c>
      <c r="B59">
        <f>12*A59</f>
        <v>25524</v>
      </c>
    </row>
    <row r="60" spans="1:4" x14ac:dyDescent="0.25">
      <c r="A60" s="15">
        <v>2132</v>
      </c>
      <c r="B60">
        <f>12*A60</f>
        <v>25584</v>
      </c>
    </row>
    <row r="61" spans="1:4" x14ac:dyDescent="0.25">
      <c r="A61">
        <v>2133</v>
      </c>
      <c r="B61">
        <f>12*A61</f>
        <v>25596</v>
      </c>
      <c r="C61" s="15"/>
      <c r="D61" s="15"/>
    </row>
    <row r="62" spans="1:4" x14ac:dyDescent="0.25">
      <c r="A62" s="15">
        <v>2148</v>
      </c>
      <c r="B62">
        <f>12*A62</f>
        <v>25776</v>
      </c>
      <c r="C62" s="15"/>
      <c r="D62" s="15"/>
    </row>
    <row r="63" spans="1:4" x14ac:dyDescent="0.25">
      <c r="A63">
        <v>2157</v>
      </c>
      <c r="B63">
        <f>12*A63</f>
        <v>25884</v>
      </c>
    </row>
    <row r="64" spans="1:4" x14ac:dyDescent="0.25">
      <c r="A64" s="15">
        <v>2166</v>
      </c>
      <c r="B64">
        <f>12*A64</f>
        <v>25992</v>
      </c>
      <c r="C64" s="15"/>
      <c r="D64" s="15"/>
    </row>
    <row r="65" spans="1:4" x14ac:dyDescent="0.25">
      <c r="A65">
        <v>2168</v>
      </c>
      <c r="B65">
        <f>12*A65</f>
        <v>26016</v>
      </c>
    </row>
    <row r="66" spans="1:4" x14ac:dyDescent="0.25">
      <c r="A66" s="15">
        <v>2174</v>
      </c>
      <c r="B66">
        <f>12*A66</f>
        <v>26088</v>
      </c>
    </row>
    <row r="67" spans="1:4" x14ac:dyDescent="0.25">
      <c r="A67">
        <v>2176</v>
      </c>
      <c r="B67">
        <f>12*A67</f>
        <v>26112</v>
      </c>
      <c r="C67" s="15"/>
      <c r="D67" s="15"/>
    </row>
    <row r="68" spans="1:4" x14ac:dyDescent="0.25">
      <c r="A68">
        <v>2177</v>
      </c>
      <c r="B68">
        <f>12*A68</f>
        <v>26124</v>
      </c>
    </row>
    <row r="69" spans="1:4" x14ac:dyDescent="0.25">
      <c r="A69">
        <v>2177</v>
      </c>
      <c r="B69">
        <f>12*A69</f>
        <v>26124</v>
      </c>
      <c r="C69" s="15"/>
      <c r="D69" s="15"/>
    </row>
    <row r="70" spans="1:4" x14ac:dyDescent="0.25">
      <c r="A70">
        <v>2187</v>
      </c>
      <c r="B70">
        <f>12*A70</f>
        <v>26244</v>
      </c>
      <c r="C70" s="15"/>
      <c r="D70" s="15"/>
    </row>
    <row r="71" spans="1:4" x14ac:dyDescent="0.25">
      <c r="A71">
        <v>2194</v>
      </c>
      <c r="B71">
        <f>12*A71</f>
        <v>26328</v>
      </c>
      <c r="C71" s="15"/>
      <c r="D71" s="15"/>
    </row>
    <row r="72" spans="1:4" x14ac:dyDescent="0.25">
      <c r="A72">
        <v>2206</v>
      </c>
      <c r="B72">
        <f>12*A72</f>
        <v>26472</v>
      </c>
      <c r="C72" s="15"/>
      <c r="D72" s="15"/>
    </row>
    <row r="73" spans="1:4" x14ac:dyDescent="0.25">
      <c r="A73">
        <v>2207</v>
      </c>
      <c r="B73">
        <f>12*A73</f>
        <v>26484</v>
      </c>
    </row>
    <row r="74" spans="1:4" x14ac:dyDescent="0.25">
      <c r="A74" s="15">
        <v>2210</v>
      </c>
      <c r="B74">
        <f>12*A74</f>
        <v>26520</v>
      </c>
    </row>
    <row r="75" spans="1:4" x14ac:dyDescent="0.25">
      <c r="A75" s="15">
        <v>2216</v>
      </c>
      <c r="B75">
        <f>12*A75</f>
        <v>26592</v>
      </c>
    </row>
    <row r="76" spans="1:4" x14ac:dyDescent="0.25">
      <c r="A76">
        <v>2220</v>
      </c>
      <c r="B76">
        <f>12*A76</f>
        <v>26640</v>
      </c>
    </row>
    <row r="77" spans="1:4" x14ac:dyDescent="0.25">
      <c r="A77">
        <v>2226</v>
      </c>
      <c r="B77">
        <f>12*A77</f>
        <v>26712</v>
      </c>
    </row>
    <row r="78" spans="1:4" x14ac:dyDescent="0.25">
      <c r="A78">
        <v>2231</v>
      </c>
      <c r="B78">
        <f>12*A78</f>
        <v>26772</v>
      </c>
    </row>
    <row r="79" spans="1:4" x14ac:dyDescent="0.25">
      <c r="A79">
        <v>2238</v>
      </c>
      <c r="B79">
        <f>12*A79</f>
        <v>26856</v>
      </c>
    </row>
    <row r="80" spans="1:4" x14ac:dyDescent="0.25">
      <c r="A80">
        <v>2244</v>
      </c>
      <c r="B80">
        <f>12*A80</f>
        <v>26928</v>
      </c>
    </row>
    <row r="81" spans="1:4" x14ac:dyDescent="0.25">
      <c r="A81">
        <v>2258</v>
      </c>
      <c r="B81">
        <f>12*A81</f>
        <v>27096</v>
      </c>
    </row>
    <row r="82" spans="1:4" x14ac:dyDescent="0.25">
      <c r="A82">
        <v>2258</v>
      </c>
      <c r="B82">
        <f>12*A82</f>
        <v>27096</v>
      </c>
    </row>
    <row r="83" spans="1:4" x14ac:dyDescent="0.25">
      <c r="A83">
        <v>2259</v>
      </c>
      <c r="B83">
        <f>12*A83</f>
        <v>27108</v>
      </c>
    </row>
    <row r="84" spans="1:4" x14ac:dyDescent="0.25">
      <c r="A84">
        <v>2267</v>
      </c>
      <c r="B84">
        <f>12*A84</f>
        <v>27204</v>
      </c>
    </row>
    <row r="85" spans="1:4" x14ac:dyDescent="0.25">
      <c r="A85">
        <v>2269</v>
      </c>
      <c r="B85">
        <f>12*A85</f>
        <v>27228</v>
      </c>
    </row>
    <row r="86" spans="1:4" x14ac:dyDescent="0.25">
      <c r="A86">
        <v>2270</v>
      </c>
      <c r="B86">
        <f>12*A86</f>
        <v>27240</v>
      </c>
    </row>
    <row r="87" spans="1:4" x14ac:dyDescent="0.25">
      <c r="A87">
        <v>2274</v>
      </c>
      <c r="B87">
        <f>12*A87</f>
        <v>27288</v>
      </c>
    </row>
    <row r="88" spans="1:4" x14ac:dyDescent="0.25">
      <c r="A88">
        <v>2277</v>
      </c>
      <c r="B88">
        <f>12*A88</f>
        <v>27324</v>
      </c>
    </row>
    <row r="89" spans="1:4" x14ac:dyDescent="0.25">
      <c r="A89">
        <v>2279</v>
      </c>
      <c r="B89">
        <f>12*A89</f>
        <v>27348</v>
      </c>
    </row>
    <row r="90" spans="1:4" x14ac:dyDescent="0.25">
      <c r="A90" s="15">
        <v>2285</v>
      </c>
      <c r="B90">
        <f>12*A90</f>
        <v>27420</v>
      </c>
    </row>
    <row r="91" spans="1:4" x14ac:dyDescent="0.25">
      <c r="A91">
        <v>2289</v>
      </c>
      <c r="B91">
        <f>12*A91</f>
        <v>27468</v>
      </c>
    </row>
    <row r="92" spans="1:4" x14ac:dyDescent="0.25">
      <c r="A92">
        <v>2290</v>
      </c>
      <c r="B92">
        <f>12*A92</f>
        <v>27480</v>
      </c>
    </row>
    <row r="93" spans="1:4" x14ac:dyDescent="0.25">
      <c r="A93" s="15">
        <v>2293</v>
      </c>
      <c r="B93">
        <f>12*A93</f>
        <v>27516</v>
      </c>
    </row>
    <row r="94" spans="1:4" x14ac:dyDescent="0.25">
      <c r="A94">
        <v>2296</v>
      </c>
      <c r="B94">
        <f>12*A94</f>
        <v>27552</v>
      </c>
      <c r="C94" s="15"/>
      <c r="D94" s="15"/>
    </row>
    <row r="95" spans="1:4" x14ac:dyDescent="0.25">
      <c r="A95" s="15">
        <v>2302</v>
      </c>
      <c r="B95">
        <f>12*A95</f>
        <v>27624</v>
      </c>
    </row>
    <row r="96" spans="1:4" x14ac:dyDescent="0.25">
      <c r="A96">
        <v>2305</v>
      </c>
      <c r="B96">
        <f>12*A96</f>
        <v>27660</v>
      </c>
    </row>
    <row r="97" spans="1:4" x14ac:dyDescent="0.25">
      <c r="A97" s="15">
        <v>2307</v>
      </c>
      <c r="B97">
        <f>12*A97</f>
        <v>27684</v>
      </c>
    </row>
    <row r="98" spans="1:4" x14ac:dyDescent="0.25">
      <c r="A98">
        <v>2311</v>
      </c>
      <c r="B98">
        <f>12*A98</f>
        <v>27732</v>
      </c>
    </row>
    <row r="99" spans="1:4" x14ac:dyDescent="0.25">
      <c r="A99">
        <v>2318</v>
      </c>
      <c r="B99">
        <f>12*A99</f>
        <v>27816</v>
      </c>
    </row>
    <row r="100" spans="1:4" x14ac:dyDescent="0.25">
      <c r="A100" s="15">
        <v>2319</v>
      </c>
      <c r="B100">
        <f>12*A100</f>
        <v>27828</v>
      </c>
    </row>
    <row r="101" spans="1:4" x14ac:dyDescent="0.25">
      <c r="A101" s="15">
        <v>2321</v>
      </c>
      <c r="B101">
        <f>12*A101</f>
        <v>27852</v>
      </c>
    </row>
    <row r="102" spans="1:4" x14ac:dyDescent="0.25">
      <c r="A102">
        <v>2322</v>
      </c>
      <c r="B102">
        <f>12*A102</f>
        <v>27864</v>
      </c>
    </row>
    <row r="103" spans="1:4" x14ac:dyDescent="0.25">
      <c r="A103" s="15">
        <v>2323</v>
      </c>
      <c r="B103">
        <f>12*A103</f>
        <v>27876</v>
      </c>
      <c r="C103" s="15"/>
      <c r="D103" s="15"/>
    </row>
    <row r="104" spans="1:4" x14ac:dyDescent="0.25">
      <c r="A104">
        <v>2323</v>
      </c>
      <c r="B104">
        <f>12*A104</f>
        <v>27876</v>
      </c>
    </row>
    <row r="105" spans="1:4" x14ac:dyDescent="0.25">
      <c r="A105">
        <v>2326</v>
      </c>
      <c r="B105">
        <f>12*A105</f>
        <v>27912</v>
      </c>
      <c r="C105" s="15"/>
      <c r="D105" s="15"/>
    </row>
    <row r="106" spans="1:4" x14ac:dyDescent="0.25">
      <c r="A106">
        <v>2328</v>
      </c>
      <c r="B106">
        <f>12*A106</f>
        <v>27936</v>
      </c>
    </row>
    <row r="107" spans="1:4" x14ac:dyDescent="0.25">
      <c r="A107">
        <v>2329</v>
      </c>
      <c r="B107">
        <f>12*A107</f>
        <v>27948</v>
      </c>
    </row>
    <row r="108" spans="1:4" x14ac:dyDescent="0.25">
      <c r="A108">
        <v>2332</v>
      </c>
      <c r="B108">
        <f>12*A108</f>
        <v>27984</v>
      </c>
      <c r="C108" s="15"/>
      <c r="D108" s="15"/>
    </row>
    <row r="109" spans="1:4" x14ac:dyDescent="0.25">
      <c r="A109" s="15">
        <v>2335</v>
      </c>
      <c r="B109">
        <f>12*A109</f>
        <v>28020</v>
      </c>
    </row>
    <row r="110" spans="1:4" x14ac:dyDescent="0.25">
      <c r="A110" s="15">
        <v>2340</v>
      </c>
      <c r="B110">
        <f>12*A110</f>
        <v>28080</v>
      </c>
    </row>
    <row r="111" spans="1:4" x14ac:dyDescent="0.25">
      <c r="A111">
        <v>2341</v>
      </c>
      <c r="B111">
        <f>12*A111</f>
        <v>28092</v>
      </c>
    </row>
    <row r="112" spans="1:4" x14ac:dyDescent="0.25">
      <c r="A112">
        <v>2342</v>
      </c>
      <c r="B112">
        <f>12*A112</f>
        <v>28104</v>
      </c>
    </row>
    <row r="113" spans="1:4" x14ac:dyDescent="0.25">
      <c r="A113">
        <v>2342</v>
      </c>
      <c r="B113">
        <f>12*A113</f>
        <v>28104</v>
      </c>
    </row>
    <row r="114" spans="1:4" x14ac:dyDescent="0.25">
      <c r="A114" s="15">
        <v>2342</v>
      </c>
      <c r="B114">
        <f>12*A114</f>
        <v>28104</v>
      </c>
    </row>
    <row r="115" spans="1:4" x14ac:dyDescent="0.25">
      <c r="A115">
        <v>2345</v>
      </c>
      <c r="B115">
        <f>12*A115</f>
        <v>28140</v>
      </c>
    </row>
    <row r="116" spans="1:4" x14ac:dyDescent="0.25">
      <c r="A116" s="15">
        <v>2351</v>
      </c>
      <c r="B116">
        <f>12*A116</f>
        <v>28212</v>
      </c>
    </row>
    <row r="117" spans="1:4" x14ac:dyDescent="0.25">
      <c r="A117">
        <v>2356</v>
      </c>
      <c r="B117">
        <f>12*A117</f>
        <v>28272</v>
      </c>
    </row>
    <row r="118" spans="1:4" x14ac:dyDescent="0.25">
      <c r="A118" s="15">
        <v>2362</v>
      </c>
      <c r="B118">
        <f>12*A118</f>
        <v>28344</v>
      </c>
    </row>
    <row r="119" spans="1:4" x14ac:dyDescent="0.25">
      <c r="A119">
        <v>2368</v>
      </c>
      <c r="B119">
        <f>12*A119</f>
        <v>28416</v>
      </c>
    </row>
    <row r="120" spans="1:4" x14ac:dyDescent="0.25">
      <c r="A120">
        <v>2372</v>
      </c>
      <c r="B120">
        <f>12*A120</f>
        <v>28464</v>
      </c>
    </row>
    <row r="121" spans="1:4" x14ac:dyDescent="0.25">
      <c r="A121">
        <v>2376</v>
      </c>
      <c r="B121">
        <f>12*A121</f>
        <v>28512</v>
      </c>
    </row>
    <row r="122" spans="1:4" x14ac:dyDescent="0.25">
      <c r="A122">
        <v>2380</v>
      </c>
      <c r="B122">
        <f>12*A122</f>
        <v>28560</v>
      </c>
      <c r="C122" s="15"/>
      <c r="D122" s="15"/>
    </row>
    <row r="123" spans="1:4" x14ac:dyDescent="0.25">
      <c r="A123">
        <v>2380</v>
      </c>
      <c r="B123">
        <f>12*A123</f>
        <v>28560</v>
      </c>
    </row>
    <row r="124" spans="1:4" x14ac:dyDescent="0.25">
      <c r="A124" s="15">
        <v>2398</v>
      </c>
      <c r="B124">
        <f>12*A124</f>
        <v>28776</v>
      </c>
      <c r="C124" s="15"/>
      <c r="D124" s="15"/>
    </row>
    <row r="125" spans="1:4" x14ac:dyDescent="0.25">
      <c r="A125" s="15">
        <v>2404</v>
      </c>
      <c r="B125">
        <f>12*A125</f>
        <v>28848</v>
      </c>
    </row>
    <row r="126" spans="1:4" x14ac:dyDescent="0.25">
      <c r="A126" s="15">
        <v>2404</v>
      </c>
      <c r="B126">
        <f>12*A126</f>
        <v>28848</v>
      </c>
    </row>
    <row r="127" spans="1:4" x14ac:dyDescent="0.25">
      <c r="A127">
        <v>2404</v>
      </c>
      <c r="B127">
        <f>12*A127</f>
        <v>28848</v>
      </c>
    </row>
    <row r="128" spans="1:4" x14ac:dyDescent="0.25">
      <c r="A128">
        <v>2406</v>
      </c>
      <c r="B128">
        <f>12*A128</f>
        <v>28872</v>
      </c>
      <c r="C128" s="15"/>
      <c r="D128" s="15"/>
    </row>
    <row r="129" spans="1:4" x14ac:dyDescent="0.25">
      <c r="A129" s="15">
        <v>2408</v>
      </c>
      <c r="B129">
        <f>12*A129</f>
        <v>28896</v>
      </c>
    </row>
    <row r="130" spans="1:4" x14ac:dyDescent="0.25">
      <c r="A130" s="15">
        <v>2413</v>
      </c>
      <c r="B130">
        <f>12*A130</f>
        <v>28956</v>
      </c>
    </row>
    <row r="131" spans="1:4" x14ac:dyDescent="0.25">
      <c r="A131">
        <v>2426</v>
      </c>
      <c r="B131">
        <f>12*A131</f>
        <v>29112</v>
      </c>
    </row>
    <row r="132" spans="1:4" x14ac:dyDescent="0.25">
      <c r="A132">
        <v>2436</v>
      </c>
      <c r="B132">
        <f>12*A132</f>
        <v>29232</v>
      </c>
    </row>
    <row r="133" spans="1:4" x14ac:dyDescent="0.25">
      <c r="A133" s="15">
        <v>2436</v>
      </c>
      <c r="B133">
        <f>12*A133</f>
        <v>29232</v>
      </c>
    </row>
    <row r="134" spans="1:4" x14ac:dyDescent="0.25">
      <c r="A134" s="15">
        <v>2437</v>
      </c>
      <c r="B134">
        <f>12*A134</f>
        <v>29244</v>
      </c>
    </row>
    <row r="135" spans="1:4" x14ac:dyDescent="0.25">
      <c r="A135">
        <v>2438</v>
      </c>
      <c r="B135">
        <f>12*A135</f>
        <v>29256</v>
      </c>
    </row>
    <row r="136" spans="1:4" x14ac:dyDescent="0.25">
      <c r="A136" s="15">
        <v>2439</v>
      </c>
      <c r="B136">
        <f>12*A136</f>
        <v>29268</v>
      </c>
    </row>
    <row r="137" spans="1:4" x14ac:dyDescent="0.25">
      <c r="A137">
        <v>2439</v>
      </c>
      <c r="B137">
        <f>12*A137</f>
        <v>29268</v>
      </c>
    </row>
    <row r="138" spans="1:4" x14ac:dyDescent="0.25">
      <c r="A138">
        <v>2450</v>
      </c>
      <c r="B138">
        <f>12*A138</f>
        <v>29400</v>
      </c>
    </row>
    <row r="139" spans="1:4" x14ac:dyDescent="0.25">
      <c r="A139">
        <v>2451</v>
      </c>
      <c r="B139">
        <f>12*A139</f>
        <v>29412</v>
      </c>
    </row>
    <row r="140" spans="1:4" x14ac:dyDescent="0.25">
      <c r="A140">
        <v>2455</v>
      </c>
      <c r="B140">
        <f>12*A140</f>
        <v>29460</v>
      </c>
      <c r="C140" s="15"/>
      <c r="D140" s="15"/>
    </row>
    <row r="141" spans="1:4" x14ac:dyDescent="0.25">
      <c r="A141" s="15">
        <v>2461</v>
      </c>
      <c r="B141">
        <f>12*A141</f>
        <v>29532</v>
      </c>
    </row>
    <row r="142" spans="1:4" x14ac:dyDescent="0.25">
      <c r="A142">
        <v>2468</v>
      </c>
      <c r="B142">
        <f>12*A142</f>
        <v>29616</v>
      </c>
    </row>
    <row r="143" spans="1:4" x14ac:dyDescent="0.25">
      <c r="A143" s="15">
        <v>2472</v>
      </c>
      <c r="B143">
        <f>12*A143</f>
        <v>29664</v>
      </c>
      <c r="C143" s="15"/>
      <c r="D143" s="15"/>
    </row>
    <row r="144" spans="1:4" x14ac:dyDescent="0.25">
      <c r="A144">
        <v>2476</v>
      </c>
      <c r="B144">
        <f>12*A144</f>
        <v>29712</v>
      </c>
    </row>
    <row r="145" spans="1:4" x14ac:dyDescent="0.25">
      <c r="A145" s="15">
        <v>2479</v>
      </c>
      <c r="B145">
        <f>12*A145</f>
        <v>29748</v>
      </c>
      <c r="C145" s="15"/>
      <c r="D145" s="15"/>
    </row>
    <row r="146" spans="1:4" x14ac:dyDescent="0.25">
      <c r="A146">
        <v>2500</v>
      </c>
      <c r="B146">
        <f>12*A146</f>
        <v>30000</v>
      </c>
    </row>
    <row r="147" spans="1:4" x14ac:dyDescent="0.25">
      <c r="A147">
        <v>2514</v>
      </c>
      <c r="B147">
        <f>12*A147</f>
        <v>30168</v>
      </c>
    </row>
    <row r="148" spans="1:4" x14ac:dyDescent="0.25">
      <c r="A148">
        <v>2515</v>
      </c>
      <c r="B148">
        <f>12*A148</f>
        <v>30180</v>
      </c>
    </row>
    <row r="149" spans="1:4" x14ac:dyDescent="0.25">
      <c r="A149">
        <v>2517</v>
      </c>
      <c r="B149">
        <f>12*A149</f>
        <v>30204</v>
      </c>
    </row>
    <row r="150" spans="1:4" x14ac:dyDescent="0.25">
      <c r="A150">
        <v>2523</v>
      </c>
      <c r="B150">
        <f>12*A150</f>
        <v>30276</v>
      </c>
    </row>
    <row r="151" spans="1:4" x14ac:dyDescent="0.25">
      <c r="A151">
        <v>2532</v>
      </c>
      <c r="B151">
        <f>12*A151</f>
        <v>30384</v>
      </c>
    </row>
    <row r="152" spans="1:4" x14ac:dyDescent="0.25">
      <c r="A152">
        <v>2544</v>
      </c>
      <c r="B152">
        <f>12*A152</f>
        <v>30528</v>
      </c>
    </row>
    <row r="153" spans="1:4" x14ac:dyDescent="0.25">
      <c r="A153" s="15">
        <v>2546</v>
      </c>
      <c r="B153">
        <f>12*A153</f>
        <v>30552</v>
      </c>
    </row>
    <row r="154" spans="1:4" x14ac:dyDescent="0.25">
      <c r="A154">
        <v>2552</v>
      </c>
      <c r="B154">
        <f>12*A154</f>
        <v>30624</v>
      </c>
    </row>
    <row r="155" spans="1:4" x14ac:dyDescent="0.25">
      <c r="A155">
        <v>2553</v>
      </c>
      <c r="B155">
        <f>12*A155</f>
        <v>30636</v>
      </c>
    </row>
    <row r="156" spans="1:4" x14ac:dyDescent="0.25">
      <c r="A156">
        <v>2559</v>
      </c>
      <c r="B156">
        <f>12*A156</f>
        <v>30708</v>
      </c>
    </row>
    <row r="157" spans="1:4" x14ac:dyDescent="0.25">
      <c r="A157">
        <v>2559</v>
      </c>
      <c r="B157">
        <f>12*A157</f>
        <v>30708</v>
      </c>
    </row>
    <row r="158" spans="1:4" x14ac:dyDescent="0.25">
      <c r="A158">
        <v>2559</v>
      </c>
      <c r="B158">
        <f>12*A158</f>
        <v>30708</v>
      </c>
    </row>
    <row r="159" spans="1:4" x14ac:dyDescent="0.25">
      <c r="A159" s="15">
        <v>2561</v>
      </c>
      <c r="B159">
        <f>12*A159</f>
        <v>30732</v>
      </c>
    </row>
    <row r="160" spans="1:4" x14ac:dyDescent="0.25">
      <c r="A160">
        <v>2564</v>
      </c>
      <c r="B160">
        <f>12*A160</f>
        <v>30768</v>
      </c>
    </row>
    <row r="161" spans="1:4" x14ac:dyDescent="0.25">
      <c r="A161">
        <v>2566</v>
      </c>
      <c r="B161">
        <f>12*A161</f>
        <v>30792</v>
      </c>
    </row>
    <row r="162" spans="1:4" x14ac:dyDescent="0.25">
      <c r="A162">
        <v>2570</v>
      </c>
      <c r="B162">
        <f>12*A162</f>
        <v>30840</v>
      </c>
    </row>
    <row r="163" spans="1:4" x14ac:dyDescent="0.25">
      <c r="A163">
        <v>2572</v>
      </c>
      <c r="B163">
        <f>12*A163</f>
        <v>30864</v>
      </c>
    </row>
    <row r="164" spans="1:4" x14ac:dyDescent="0.25">
      <c r="A164">
        <v>2587</v>
      </c>
      <c r="B164">
        <f>12*A164</f>
        <v>31044</v>
      </c>
    </row>
    <row r="165" spans="1:4" x14ac:dyDescent="0.25">
      <c r="A165" s="15">
        <v>2587</v>
      </c>
      <c r="B165">
        <f>12*A165</f>
        <v>31044</v>
      </c>
    </row>
    <row r="166" spans="1:4" x14ac:dyDescent="0.25">
      <c r="A166">
        <v>2592</v>
      </c>
      <c r="B166">
        <f>12*A166</f>
        <v>31104</v>
      </c>
    </row>
    <row r="167" spans="1:4" x14ac:dyDescent="0.25">
      <c r="A167">
        <v>2610</v>
      </c>
      <c r="B167">
        <f>12*A167</f>
        <v>31320</v>
      </c>
    </row>
    <row r="168" spans="1:4" x14ac:dyDescent="0.25">
      <c r="A168" s="15">
        <v>2610</v>
      </c>
      <c r="B168">
        <f>12*A168</f>
        <v>31320</v>
      </c>
    </row>
    <row r="169" spans="1:4" x14ac:dyDescent="0.25">
      <c r="A169">
        <v>2619</v>
      </c>
      <c r="B169">
        <f>12*A169</f>
        <v>31428</v>
      </c>
    </row>
    <row r="170" spans="1:4" x14ac:dyDescent="0.25">
      <c r="A170">
        <v>2622</v>
      </c>
      <c r="B170">
        <f>12*A170</f>
        <v>31464</v>
      </c>
      <c r="C170" s="15"/>
      <c r="D170" s="15"/>
    </row>
    <row r="171" spans="1:4" x14ac:dyDescent="0.25">
      <c r="A171">
        <v>2632</v>
      </c>
      <c r="B171">
        <f>12*A171</f>
        <v>31584</v>
      </c>
    </row>
    <row r="172" spans="1:4" x14ac:dyDescent="0.25">
      <c r="A172">
        <v>2644</v>
      </c>
      <c r="B172">
        <f>12*A172</f>
        <v>31728</v>
      </c>
    </row>
    <row r="173" spans="1:4" x14ac:dyDescent="0.25">
      <c r="A173">
        <v>2647</v>
      </c>
      <c r="B173">
        <f>12*A173</f>
        <v>31764</v>
      </c>
    </row>
    <row r="174" spans="1:4" x14ac:dyDescent="0.25">
      <c r="A174">
        <v>2654</v>
      </c>
      <c r="B174">
        <f>12*A174</f>
        <v>31848</v>
      </c>
    </row>
    <row r="175" spans="1:4" x14ac:dyDescent="0.25">
      <c r="A175" s="15">
        <v>2655</v>
      </c>
      <c r="B175">
        <f>12*A175</f>
        <v>31860</v>
      </c>
    </row>
    <row r="176" spans="1:4" x14ac:dyDescent="0.25">
      <c r="A176" s="15">
        <v>2657</v>
      </c>
      <c r="B176">
        <f>12*A176</f>
        <v>31884</v>
      </c>
    </row>
    <row r="177" spans="1:2" x14ac:dyDescent="0.25">
      <c r="A177">
        <v>2660</v>
      </c>
      <c r="B177">
        <f>12*A177</f>
        <v>31920</v>
      </c>
    </row>
    <row r="178" spans="1:2" x14ac:dyDescent="0.25">
      <c r="A178">
        <v>2661</v>
      </c>
      <c r="B178">
        <f>12*A178</f>
        <v>31932</v>
      </c>
    </row>
    <row r="179" spans="1:2" x14ac:dyDescent="0.25">
      <c r="A179">
        <v>2662</v>
      </c>
      <c r="B179">
        <f>12*A179</f>
        <v>31944</v>
      </c>
    </row>
    <row r="180" spans="1:2" x14ac:dyDescent="0.25">
      <c r="A180" s="15">
        <v>2683</v>
      </c>
      <c r="B180">
        <f>12*A180</f>
        <v>32196</v>
      </c>
    </row>
    <row r="181" spans="1:2" x14ac:dyDescent="0.25">
      <c r="A181">
        <v>2691</v>
      </c>
      <c r="B181">
        <f>12*A181</f>
        <v>32292</v>
      </c>
    </row>
    <row r="182" spans="1:2" x14ac:dyDescent="0.25">
      <c r="A182" s="15">
        <v>2693</v>
      </c>
      <c r="B182">
        <f>12*A182</f>
        <v>32316</v>
      </c>
    </row>
    <row r="183" spans="1:2" x14ac:dyDescent="0.25">
      <c r="A183">
        <v>2693</v>
      </c>
      <c r="B183">
        <f>12*A183</f>
        <v>32316</v>
      </c>
    </row>
    <row r="184" spans="1:2" x14ac:dyDescent="0.25">
      <c r="A184">
        <v>2695</v>
      </c>
      <c r="B184">
        <f>12*A184</f>
        <v>32340</v>
      </c>
    </row>
    <row r="185" spans="1:2" x14ac:dyDescent="0.25">
      <c r="A185">
        <v>2696</v>
      </c>
      <c r="B185">
        <f>12*A185</f>
        <v>32352</v>
      </c>
    </row>
    <row r="186" spans="1:2" x14ac:dyDescent="0.25">
      <c r="A186">
        <v>2700</v>
      </c>
      <c r="B186">
        <f>12*A186</f>
        <v>32400</v>
      </c>
    </row>
    <row r="187" spans="1:2" x14ac:dyDescent="0.25">
      <c r="A187">
        <v>2703</v>
      </c>
      <c r="B187">
        <f>12*A187</f>
        <v>32436</v>
      </c>
    </row>
    <row r="188" spans="1:2" x14ac:dyDescent="0.25">
      <c r="A188">
        <v>2703</v>
      </c>
      <c r="B188">
        <f>12*A188</f>
        <v>32436</v>
      </c>
    </row>
    <row r="189" spans="1:2" x14ac:dyDescent="0.25">
      <c r="A189">
        <v>2706</v>
      </c>
      <c r="B189">
        <f>12*A189</f>
        <v>32472</v>
      </c>
    </row>
    <row r="190" spans="1:2" x14ac:dyDescent="0.25">
      <c r="A190" s="15">
        <v>2707</v>
      </c>
      <c r="B190">
        <f>12*A190</f>
        <v>32484</v>
      </c>
    </row>
    <row r="191" spans="1:2" x14ac:dyDescent="0.25">
      <c r="A191">
        <v>2713</v>
      </c>
      <c r="B191">
        <f>12*A191</f>
        <v>32556</v>
      </c>
    </row>
    <row r="192" spans="1:2" x14ac:dyDescent="0.25">
      <c r="A192">
        <v>2720</v>
      </c>
      <c r="B192">
        <f>12*A192</f>
        <v>32640</v>
      </c>
    </row>
    <row r="193" spans="1:4" x14ac:dyDescent="0.25">
      <c r="A193">
        <v>2723</v>
      </c>
      <c r="B193">
        <f>12*A193</f>
        <v>32676</v>
      </c>
    </row>
    <row r="194" spans="1:4" x14ac:dyDescent="0.25">
      <c r="A194">
        <v>2725</v>
      </c>
      <c r="B194">
        <f>12*A194</f>
        <v>32700</v>
      </c>
    </row>
    <row r="195" spans="1:4" x14ac:dyDescent="0.25">
      <c r="A195">
        <v>2728</v>
      </c>
      <c r="B195">
        <f>12*A195</f>
        <v>32736</v>
      </c>
    </row>
    <row r="196" spans="1:4" x14ac:dyDescent="0.25">
      <c r="A196">
        <v>2741</v>
      </c>
      <c r="B196">
        <f>12*A196</f>
        <v>32892</v>
      </c>
    </row>
    <row r="197" spans="1:4" x14ac:dyDescent="0.25">
      <c r="A197">
        <v>2741</v>
      </c>
      <c r="B197">
        <f>12*A197</f>
        <v>32892</v>
      </c>
    </row>
    <row r="198" spans="1:4" x14ac:dyDescent="0.25">
      <c r="A198" s="15">
        <v>2742</v>
      </c>
      <c r="B198">
        <f>12*A198</f>
        <v>32904</v>
      </c>
      <c r="C198" s="15"/>
      <c r="D198" s="15"/>
    </row>
    <row r="199" spans="1:4" x14ac:dyDescent="0.25">
      <c r="A199" s="15">
        <v>2743</v>
      </c>
      <c r="B199">
        <f>12*A199</f>
        <v>32916</v>
      </c>
    </row>
    <row r="200" spans="1:4" x14ac:dyDescent="0.25">
      <c r="A200">
        <v>2756</v>
      </c>
      <c r="B200">
        <f>12*A200</f>
        <v>33072</v>
      </c>
    </row>
    <row r="201" spans="1:4" x14ac:dyDescent="0.25">
      <c r="A201" s="15">
        <v>2759</v>
      </c>
      <c r="B201">
        <f>12*A201</f>
        <v>33108</v>
      </c>
    </row>
    <row r="202" spans="1:4" x14ac:dyDescent="0.25">
      <c r="A202" s="15">
        <v>2760</v>
      </c>
      <c r="B202">
        <f>12*A202</f>
        <v>33120</v>
      </c>
    </row>
    <row r="203" spans="1:4" x14ac:dyDescent="0.25">
      <c r="A203">
        <v>2766</v>
      </c>
      <c r="B203">
        <f>12*A203</f>
        <v>33192</v>
      </c>
    </row>
    <row r="204" spans="1:4" x14ac:dyDescent="0.25">
      <c r="A204">
        <v>2768</v>
      </c>
      <c r="B204">
        <f>12*A204</f>
        <v>33216</v>
      </c>
    </row>
    <row r="205" spans="1:4" x14ac:dyDescent="0.25">
      <c r="A205">
        <v>2774</v>
      </c>
      <c r="B205">
        <f>12*A205</f>
        <v>33288</v>
      </c>
    </row>
    <row r="206" spans="1:4" x14ac:dyDescent="0.25">
      <c r="A206">
        <v>2781</v>
      </c>
      <c r="B206">
        <f>12*A206</f>
        <v>33372</v>
      </c>
    </row>
    <row r="207" spans="1:4" x14ac:dyDescent="0.25">
      <c r="A207">
        <v>2782</v>
      </c>
      <c r="B207">
        <f>12*A207</f>
        <v>33384</v>
      </c>
      <c r="C207" s="15"/>
      <c r="D207" s="15"/>
    </row>
    <row r="208" spans="1:4" x14ac:dyDescent="0.25">
      <c r="A208" s="15">
        <v>2785</v>
      </c>
      <c r="B208">
        <f>12*A208</f>
        <v>33420</v>
      </c>
    </row>
    <row r="209" spans="1:4" x14ac:dyDescent="0.25">
      <c r="A209">
        <v>2789</v>
      </c>
      <c r="B209">
        <f>12*A209</f>
        <v>33468</v>
      </c>
    </row>
    <row r="210" spans="1:4" x14ac:dyDescent="0.25">
      <c r="A210">
        <v>2791</v>
      </c>
      <c r="B210">
        <f>12*A210</f>
        <v>33492</v>
      </c>
    </row>
    <row r="211" spans="1:4" x14ac:dyDescent="0.25">
      <c r="A211">
        <v>2793</v>
      </c>
      <c r="B211">
        <f>12*A211</f>
        <v>33516</v>
      </c>
    </row>
    <row r="212" spans="1:4" x14ac:dyDescent="0.25">
      <c r="A212">
        <v>2794</v>
      </c>
      <c r="B212">
        <f>12*A212</f>
        <v>33528</v>
      </c>
    </row>
    <row r="213" spans="1:4" x14ac:dyDescent="0.25">
      <c r="A213">
        <v>2804</v>
      </c>
      <c r="B213">
        <f>12*A213</f>
        <v>33648</v>
      </c>
    </row>
    <row r="214" spans="1:4" x14ac:dyDescent="0.25">
      <c r="A214">
        <v>2811</v>
      </c>
      <c r="B214">
        <f>12*A214</f>
        <v>33732</v>
      </c>
    </row>
    <row r="215" spans="1:4" x14ac:dyDescent="0.25">
      <c r="A215">
        <v>2814</v>
      </c>
      <c r="B215">
        <f>12*A215</f>
        <v>33768</v>
      </c>
    </row>
    <row r="216" spans="1:4" x14ac:dyDescent="0.25">
      <c r="A216">
        <v>2819</v>
      </c>
      <c r="B216">
        <f>12*A216</f>
        <v>33828</v>
      </c>
    </row>
    <row r="217" spans="1:4" x14ac:dyDescent="0.25">
      <c r="A217">
        <v>2827</v>
      </c>
      <c r="B217">
        <f>12*A217</f>
        <v>33924</v>
      </c>
    </row>
    <row r="218" spans="1:4" x14ac:dyDescent="0.25">
      <c r="A218">
        <v>2835</v>
      </c>
      <c r="B218">
        <f>12*A218</f>
        <v>34020</v>
      </c>
    </row>
    <row r="219" spans="1:4" x14ac:dyDescent="0.25">
      <c r="A219">
        <v>2838</v>
      </c>
      <c r="B219">
        <f>12*A219</f>
        <v>34056</v>
      </c>
    </row>
    <row r="220" spans="1:4" x14ac:dyDescent="0.25">
      <c r="A220">
        <v>2844</v>
      </c>
      <c r="B220">
        <f>12*A220</f>
        <v>34128</v>
      </c>
    </row>
    <row r="221" spans="1:4" x14ac:dyDescent="0.25">
      <c r="A221" s="15">
        <v>2851</v>
      </c>
      <c r="B221">
        <f>12*A221</f>
        <v>34212</v>
      </c>
    </row>
    <row r="222" spans="1:4" x14ac:dyDescent="0.25">
      <c r="A222">
        <v>2858</v>
      </c>
      <c r="B222">
        <f>12*A222</f>
        <v>34296</v>
      </c>
      <c r="C222" s="15"/>
      <c r="D222" s="15"/>
    </row>
    <row r="223" spans="1:4" x14ac:dyDescent="0.25">
      <c r="A223">
        <v>2859</v>
      </c>
      <c r="B223">
        <f>12*A223</f>
        <v>34308</v>
      </c>
    </row>
    <row r="224" spans="1:4" x14ac:dyDescent="0.25">
      <c r="A224">
        <v>2862</v>
      </c>
      <c r="B224">
        <f>12*A224</f>
        <v>34344</v>
      </c>
    </row>
    <row r="225" spans="1:4" x14ac:dyDescent="0.25">
      <c r="A225" s="15">
        <v>2863</v>
      </c>
      <c r="B225">
        <f>12*A225</f>
        <v>34356</v>
      </c>
    </row>
    <row r="226" spans="1:4" x14ac:dyDescent="0.25">
      <c r="A226">
        <v>2867</v>
      </c>
      <c r="B226">
        <f>12*A226</f>
        <v>34404</v>
      </c>
    </row>
    <row r="227" spans="1:4" x14ac:dyDescent="0.25">
      <c r="A227">
        <v>2875</v>
      </c>
      <c r="B227">
        <f>12*A227</f>
        <v>34500</v>
      </c>
    </row>
    <row r="228" spans="1:4" x14ac:dyDescent="0.25">
      <c r="A228">
        <v>2899</v>
      </c>
      <c r="B228">
        <f>12*A228</f>
        <v>34788</v>
      </c>
    </row>
    <row r="229" spans="1:4" x14ac:dyDescent="0.25">
      <c r="A229" s="15">
        <v>2909</v>
      </c>
      <c r="B229">
        <f>12*A229</f>
        <v>34908</v>
      </c>
    </row>
    <row r="230" spans="1:4" x14ac:dyDescent="0.25">
      <c r="A230">
        <v>2911</v>
      </c>
      <c r="B230">
        <f>12*A230</f>
        <v>34932</v>
      </c>
    </row>
    <row r="231" spans="1:4" x14ac:dyDescent="0.25">
      <c r="A231" s="15">
        <v>2926</v>
      </c>
      <c r="B231">
        <f>12*A231</f>
        <v>35112</v>
      </c>
    </row>
    <row r="232" spans="1:4" x14ac:dyDescent="0.25">
      <c r="A232">
        <v>2929</v>
      </c>
      <c r="B232">
        <f>12*A232</f>
        <v>35148</v>
      </c>
    </row>
    <row r="233" spans="1:4" x14ac:dyDescent="0.25">
      <c r="A233">
        <v>2932</v>
      </c>
      <c r="B233">
        <f>12*A233</f>
        <v>35184</v>
      </c>
    </row>
    <row r="234" spans="1:4" x14ac:dyDescent="0.25">
      <c r="A234">
        <v>2942</v>
      </c>
      <c r="B234">
        <f>12*A234</f>
        <v>35304</v>
      </c>
    </row>
    <row r="235" spans="1:4" x14ac:dyDescent="0.25">
      <c r="A235">
        <v>2950</v>
      </c>
      <c r="B235">
        <f>12*A235</f>
        <v>35400</v>
      </c>
      <c r="C235" s="15"/>
      <c r="D235" s="15"/>
    </row>
    <row r="236" spans="1:4" x14ac:dyDescent="0.25">
      <c r="A236" s="15">
        <v>2956</v>
      </c>
      <c r="B236">
        <f>12*A236</f>
        <v>35472</v>
      </c>
    </row>
    <row r="237" spans="1:4" x14ac:dyDescent="0.25">
      <c r="A237">
        <v>2972</v>
      </c>
      <c r="B237">
        <f>12*A237</f>
        <v>35664</v>
      </c>
    </row>
    <row r="238" spans="1:4" x14ac:dyDescent="0.25">
      <c r="A238">
        <v>2973</v>
      </c>
      <c r="B238">
        <f>12*A238</f>
        <v>35676</v>
      </c>
    </row>
    <row r="239" spans="1:4" x14ac:dyDescent="0.25">
      <c r="A239">
        <v>2974</v>
      </c>
      <c r="B239">
        <f>12*A239</f>
        <v>35688</v>
      </c>
    </row>
    <row r="240" spans="1:4" x14ac:dyDescent="0.25">
      <c r="A240">
        <v>2979</v>
      </c>
      <c r="B240">
        <f>12*A240</f>
        <v>35748</v>
      </c>
    </row>
    <row r="241" spans="1:4" x14ac:dyDescent="0.25">
      <c r="A241">
        <v>2994</v>
      </c>
      <c r="B241">
        <f>12*A241</f>
        <v>35928</v>
      </c>
    </row>
    <row r="242" spans="1:4" x14ac:dyDescent="0.25">
      <c r="A242">
        <v>2996</v>
      </c>
      <c r="B242">
        <f>12*A242</f>
        <v>35952</v>
      </c>
    </row>
    <row r="243" spans="1:4" x14ac:dyDescent="0.25">
      <c r="A243">
        <v>2996</v>
      </c>
      <c r="B243">
        <f>12*A243</f>
        <v>35952</v>
      </c>
      <c r="C243" s="15"/>
      <c r="D243" s="15"/>
    </row>
    <row r="244" spans="1:4" x14ac:dyDescent="0.25">
      <c r="A244">
        <v>3022</v>
      </c>
      <c r="B244">
        <f>12*A244</f>
        <v>36264</v>
      </c>
      <c r="C244" s="15"/>
      <c r="D244" s="15"/>
    </row>
    <row r="245" spans="1:4" x14ac:dyDescent="0.25">
      <c r="A245">
        <v>3038</v>
      </c>
      <c r="B245">
        <f>12*A245</f>
        <v>36456</v>
      </c>
    </row>
    <row r="246" spans="1:4" x14ac:dyDescent="0.25">
      <c r="A246" s="15">
        <v>3041</v>
      </c>
      <c r="B246">
        <f>12*A246</f>
        <v>36492</v>
      </c>
    </row>
    <row r="247" spans="1:4" x14ac:dyDescent="0.25">
      <c r="A247">
        <v>3058</v>
      </c>
      <c r="B247">
        <f>12*A247</f>
        <v>36696</v>
      </c>
    </row>
    <row r="248" spans="1:4" x14ac:dyDescent="0.25">
      <c r="A248">
        <v>3065</v>
      </c>
      <c r="B248">
        <f>12*A248</f>
        <v>36780</v>
      </c>
    </row>
    <row r="249" spans="1:4" x14ac:dyDescent="0.25">
      <c r="A249">
        <v>3067</v>
      </c>
      <c r="B249">
        <f>12*A249</f>
        <v>36804</v>
      </c>
    </row>
    <row r="250" spans="1:4" x14ac:dyDescent="0.25">
      <c r="A250">
        <v>3072</v>
      </c>
      <c r="B250">
        <f>12*A250</f>
        <v>36864</v>
      </c>
    </row>
    <row r="251" spans="1:4" x14ac:dyDescent="0.25">
      <c r="A251">
        <v>3131</v>
      </c>
      <c r="B251">
        <f>12*A251</f>
        <v>37572</v>
      </c>
    </row>
    <row r="252" spans="1:4" x14ac:dyDescent="0.25">
      <c r="A252" s="15">
        <v>3140</v>
      </c>
      <c r="B252">
        <f>12*A252</f>
        <v>37680</v>
      </c>
    </row>
    <row r="253" spans="1:4" x14ac:dyDescent="0.25">
      <c r="A253">
        <v>3143</v>
      </c>
      <c r="B253">
        <f>12*A253</f>
        <v>37716</v>
      </c>
    </row>
    <row r="254" spans="1:4" x14ac:dyDescent="0.25">
      <c r="A254">
        <v>3162</v>
      </c>
      <c r="B254">
        <f>12*A254</f>
        <v>37944</v>
      </c>
    </row>
    <row r="255" spans="1:4" x14ac:dyDescent="0.25">
      <c r="A255">
        <v>3162</v>
      </c>
      <c r="B255">
        <f>12*A255</f>
        <v>37944</v>
      </c>
    </row>
    <row r="256" spans="1:4" x14ac:dyDescent="0.25">
      <c r="A256">
        <v>3180</v>
      </c>
      <c r="B256">
        <f>12*A256</f>
        <v>38160</v>
      </c>
      <c r="C256" s="15"/>
      <c r="D256" s="15"/>
    </row>
    <row r="257" spans="1:4" x14ac:dyDescent="0.25">
      <c r="A257">
        <v>3195</v>
      </c>
      <c r="B257">
        <f>12*A257</f>
        <v>38340</v>
      </c>
    </row>
    <row r="258" spans="1:4" x14ac:dyDescent="0.25">
      <c r="A258">
        <v>3196</v>
      </c>
      <c r="B258">
        <f>12*A258</f>
        <v>38352</v>
      </c>
      <c r="C258" s="15"/>
      <c r="D258" s="15"/>
    </row>
    <row r="259" spans="1:4" x14ac:dyDescent="0.25">
      <c r="A259" s="15">
        <v>3202</v>
      </c>
      <c r="B259">
        <f>12*A259</f>
        <v>38424</v>
      </c>
    </row>
    <row r="260" spans="1:4" x14ac:dyDescent="0.25">
      <c r="A260">
        <v>3204</v>
      </c>
      <c r="B260">
        <f>12*A260</f>
        <v>38448</v>
      </c>
    </row>
    <row r="261" spans="1:4" x14ac:dyDescent="0.25">
      <c r="A261">
        <v>3210</v>
      </c>
      <c r="B261">
        <f>12*A261</f>
        <v>38520</v>
      </c>
    </row>
    <row r="262" spans="1:4" x14ac:dyDescent="0.25">
      <c r="A262">
        <v>3211</v>
      </c>
      <c r="B262">
        <f>12*A262</f>
        <v>38532</v>
      </c>
    </row>
    <row r="263" spans="1:4" x14ac:dyDescent="0.25">
      <c r="A263">
        <v>3229</v>
      </c>
      <c r="B263">
        <f>12*A263</f>
        <v>38748</v>
      </c>
      <c r="C263" s="15"/>
      <c r="D263" s="15"/>
    </row>
    <row r="264" spans="1:4" x14ac:dyDescent="0.25">
      <c r="A264">
        <v>3230</v>
      </c>
      <c r="B264">
        <f>12*A264</f>
        <v>38760</v>
      </c>
    </row>
    <row r="265" spans="1:4" x14ac:dyDescent="0.25">
      <c r="A265">
        <v>3280</v>
      </c>
      <c r="B265">
        <f>12*A265</f>
        <v>39360</v>
      </c>
    </row>
    <row r="266" spans="1:4" x14ac:dyDescent="0.25">
      <c r="A266">
        <v>3294</v>
      </c>
      <c r="B266">
        <f>12*A266</f>
        <v>39528</v>
      </c>
    </row>
    <row r="267" spans="1:4" x14ac:dyDescent="0.25">
      <c r="A267">
        <v>3294</v>
      </c>
      <c r="B267">
        <f>12*A267</f>
        <v>39528</v>
      </c>
    </row>
    <row r="268" spans="1:4" x14ac:dyDescent="0.25">
      <c r="A268">
        <v>3295</v>
      </c>
      <c r="B268">
        <f>12*A268</f>
        <v>39540</v>
      </c>
    </row>
    <row r="269" spans="1:4" x14ac:dyDescent="0.25">
      <c r="A269">
        <v>3298</v>
      </c>
      <c r="B269">
        <f>12*A269</f>
        <v>39576</v>
      </c>
    </row>
    <row r="270" spans="1:4" x14ac:dyDescent="0.25">
      <c r="A270">
        <v>3306</v>
      </c>
      <c r="B270">
        <f>12*A270</f>
        <v>39672</v>
      </c>
    </row>
    <row r="271" spans="1:4" x14ac:dyDescent="0.25">
      <c r="A271">
        <v>3312</v>
      </c>
      <c r="B271">
        <f>12*A271</f>
        <v>39744</v>
      </c>
    </row>
    <row r="272" spans="1:4" x14ac:dyDescent="0.25">
      <c r="A272" s="15">
        <v>3348</v>
      </c>
      <c r="B272">
        <f>12*A272</f>
        <v>40176</v>
      </c>
    </row>
    <row r="273" spans="1:4" x14ac:dyDescent="0.25">
      <c r="A273">
        <v>3376</v>
      </c>
      <c r="B273">
        <f>12*A273</f>
        <v>40512</v>
      </c>
    </row>
    <row r="274" spans="1:4" x14ac:dyDescent="0.25">
      <c r="A274" s="15">
        <v>3388</v>
      </c>
      <c r="B274">
        <f>12*A274</f>
        <v>40656</v>
      </c>
    </row>
    <row r="275" spans="1:4" x14ac:dyDescent="0.25">
      <c r="A275" s="15">
        <v>3407</v>
      </c>
      <c r="B275">
        <f>12*A275</f>
        <v>40884</v>
      </c>
    </row>
    <row r="276" spans="1:4" x14ac:dyDescent="0.25">
      <c r="A276" s="15">
        <v>3408</v>
      </c>
      <c r="B276">
        <f>12*A276</f>
        <v>40896</v>
      </c>
    </row>
    <row r="277" spans="1:4" x14ac:dyDescent="0.25">
      <c r="A277">
        <v>3419</v>
      </c>
      <c r="B277">
        <f>12*A277</f>
        <v>41028</v>
      </c>
    </row>
    <row r="278" spans="1:4" x14ac:dyDescent="0.25">
      <c r="A278">
        <v>3420</v>
      </c>
      <c r="B278">
        <f>12*A278</f>
        <v>41040</v>
      </c>
    </row>
    <row r="279" spans="1:4" x14ac:dyDescent="0.25">
      <c r="A279">
        <v>3420</v>
      </c>
      <c r="B279">
        <f>12*A279</f>
        <v>41040</v>
      </c>
    </row>
    <row r="280" spans="1:4" x14ac:dyDescent="0.25">
      <c r="A280">
        <v>3423</v>
      </c>
      <c r="B280">
        <f>12*A280</f>
        <v>41076</v>
      </c>
    </row>
    <row r="281" spans="1:4" x14ac:dyDescent="0.25">
      <c r="A281">
        <v>3433</v>
      </c>
      <c r="B281">
        <f>12*A281</f>
        <v>41196</v>
      </c>
    </row>
    <row r="282" spans="1:4" x14ac:dyDescent="0.25">
      <c r="A282">
        <v>3448</v>
      </c>
      <c r="B282">
        <f>12*A282</f>
        <v>41376</v>
      </c>
    </row>
    <row r="283" spans="1:4" x14ac:dyDescent="0.25">
      <c r="A283">
        <v>3452</v>
      </c>
      <c r="B283">
        <f>12*A283</f>
        <v>41424</v>
      </c>
      <c r="C283" s="15"/>
      <c r="D283" s="15"/>
    </row>
    <row r="284" spans="1:4" x14ac:dyDescent="0.25">
      <c r="A284" s="15">
        <v>3464</v>
      </c>
      <c r="B284">
        <f>12*A284</f>
        <v>41568</v>
      </c>
    </row>
    <row r="285" spans="1:4" x14ac:dyDescent="0.25">
      <c r="A285" s="15">
        <v>3485</v>
      </c>
      <c r="B285">
        <f>12*A285</f>
        <v>41820</v>
      </c>
    </row>
    <row r="286" spans="1:4" x14ac:dyDescent="0.25">
      <c r="A286">
        <v>3491</v>
      </c>
      <c r="B286">
        <f>12*A286</f>
        <v>41892</v>
      </c>
      <c r="C286" s="15"/>
      <c r="D286" s="15"/>
    </row>
    <row r="287" spans="1:4" x14ac:dyDescent="0.25">
      <c r="A287">
        <v>3505</v>
      </c>
      <c r="B287">
        <f>12*A287</f>
        <v>42060</v>
      </c>
      <c r="C287" s="15"/>
      <c r="D287" s="15"/>
    </row>
    <row r="288" spans="1:4" x14ac:dyDescent="0.25">
      <c r="A288">
        <v>3517</v>
      </c>
      <c r="B288">
        <f>12*A288</f>
        <v>42204</v>
      </c>
    </row>
    <row r="289" spans="1:4" x14ac:dyDescent="0.25">
      <c r="A289">
        <v>3537</v>
      </c>
      <c r="B289">
        <f>12*A289</f>
        <v>42444</v>
      </c>
    </row>
    <row r="290" spans="1:4" x14ac:dyDescent="0.25">
      <c r="A290">
        <v>3540</v>
      </c>
      <c r="B290">
        <f>12*A290</f>
        <v>42480</v>
      </c>
    </row>
    <row r="291" spans="1:4" x14ac:dyDescent="0.25">
      <c r="A291">
        <v>3544</v>
      </c>
      <c r="B291">
        <f>12*A291</f>
        <v>42528</v>
      </c>
    </row>
    <row r="292" spans="1:4" x14ac:dyDescent="0.25">
      <c r="A292">
        <v>3578</v>
      </c>
      <c r="B292">
        <f>12*A292</f>
        <v>42936</v>
      </c>
    </row>
    <row r="293" spans="1:4" x14ac:dyDescent="0.25">
      <c r="A293">
        <v>3597</v>
      </c>
      <c r="B293">
        <f>12*A293</f>
        <v>43164</v>
      </c>
      <c r="C293" s="15"/>
      <c r="D293" s="15"/>
    </row>
    <row r="294" spans="1:4" x14ac:dyDescent="0.25">
      <c r="A294">
        <v>3622</v>
      </c>
      <c r="B294">
        <f>12*A294</f>
        <v>43464</v>
      </c>
    </row>
    <row r="295" spans="1:4" x14ac:dyDescent="0.25">
      <c r="A295">
        <v>3629</v>
      </c>
      <c r="B295">
        <f>12*A295</f>
        <v>43548</v>
      </c>
    </row>
    <row r="296" spans="1:4" x14ac:dyDescent="0.25">
      <c r="A296">
        <v>3633</v>
      </c>
      <c r="B296">
        <f>12*A296</f>
        <v>43596</v>
      </c>
    </row>
    <row r="297" spans="1:4" x14ac:dyDescent="0.25">
      <c r="A297">
        <v>3660</v>
      </c>
      <c r="B297">
        <f>12*A297</f>
        <v>43920</v>
      </c>
    </row>
    <row r="298" spans="1:4" x14ac:dyDescent="0.25">
      <c r="A298">
        <v>3669</v>
      </c>
      <c r="B298">
        <f>12*A298</f>
        <v>44028</v>
      </c>
    </row>
    <row r="299" spans="1:4" x14ac:dyDescent="0.25">
      <c r="A299">
        <v>3673</v>
      </c>
      <c r="B299">
        <f>12*A299</f>
        <v>44076</v>
      </c>
    </row>
    <row r="300" spans="1:4" x14ac:dyDescent="0.25">
      <c r="A300">
        <v>3681</v>
      </c>
      <c r="B300">
        <f>12*A300</f>
        <v>44172</v>
      </c>
    </row>
    <row r="301" spans="1:4" x14ac:dyDescent="0.25">
      <c r="A301">
        <v>3688</v>
      </c>
      <c r="B301">
        <f>12*A301</f>
        <v>44256</v>
      </c>
    </row>
    <row r="302" spans="1:4" x14ac:dyDescent="0.25">
      <c r="A302">
        <v>3702</v>
      </c>
      <c r="B302">
        <f>12*A302</f>
        <v>44424</v>
      </c>
    </row>
    <row r="303" spans="1:4" x14ac:dyDescent="0.25">
      <c r="A303">
        <v>3708</v>
      </c>
      <c r="B303">
        <f>12*A303</f>
        <v>44496</v>
      </c>
    </row>
    <row r="304" spans="1:4" x14ac:dyDescent="0.25">
      <c r="A304" s="15">
        <v>3730</v>
      </c>
      <c r="B304">
        <f>12*A304</f>
        <v>44760</v>
      </c>
    </row>
    <row r="305" spans="1:4" x14ac:dyDescent="0.25">
      <c r="A305">
        <v>3737</v>
      </c>
      <c r="B305">
        <f>12*A305</f>
        <v>44844</v>
      </c>
    </row>
    <row r="306" spans="1:4" x14ac:dyDescent="0.25">
      <c r="A306" s="15">
        <v>3743</v>
      </c>
      <c r="B306">
        <f>12*A306</f>
        <v>44916</v>
      </c>
    </row>
    <row r="307" spans="1:4" x14ac:dyDescent="0.25">
      <c r="A307">
        <v>3748</v>
      </c>
      <c r="B307">
        <f>12*A307</f>
        <v>44976</v>
      </c>
    </row>
    <row r="308" spans="1:4" x14ac:dyDescent="0.25">
      <c r="A308">
        <v>3755</v>
      </c>
      <c r="B308">
        <f>12*A308</f>
        <v>45060</v>
      </c>
      <c r="C308" s="15"/>
      <c r="D308" s="15"/>
    </row>
    <row r="309" spans="1:4" x14ac:dyDescent="0.25">
      <c r="A309">
        <v>3760</v>
      </c>
      <c r="B309">
        <f>12*A309</f>
        <v>45120</v>
      </c>
    </row>
    <row r="310" spans="1:4" x14ac:dyDescent="0.25">
      <c r="A310">
        <v>3761</v>
      </c>
      <c r="B310">
        <f>12*A310</f>
        <v>45132</v>
      </c>
    </row>
    <row r="311" spans="1:4" x14ac:dyDescent="0.25">
      <c r="A311">
        <v>3780</v>
      </c>
      <c r="B311">
        <f>12*A311</f>
        <v>45360</v>
      </c>
    </row>
    <row r="312" spans="1:4" x14ac:dyDescent="0.25">
      <c r="A312">
        <v>3815</v>
      </c>
      <c r="B312">
        <f>12*A312</f>
        <v>45780</v>
      </c>
    </row>
    <row r="313" spans="1:4" x14ac:dyDescent="0.25">
      <c r="A313">
        <v>3833</v>
      </c>
      <c r="B313">
        <f>12*A313</f>
        <v>45996</v>
      </c>
    </row>
    <row r="314" spans="1:4" x14ac:dyDescent="0.25">
      <c r="A314">
        <v>3838</v>
      </c>
      <c r="B314">
        <f>12*A314</f>
        <v>46056</v>
      </c>
    </row>
    <row r="315" spans="1:4" x14ac:dyDescent="0.25">
      <c r="A315">
        <v>3867</v>
      </c>
      <c r="B315">
        <f>12*A315</f>
        <v>46404</v>
      </c>
    </row>
    <row r="316" spans="1:4" x14ac:dyDescent="0.25">
      <c r="A316">
        <v>3886</v>
      </c>
      <c r="B316">
        <f>12*A316</f>
        <v>46632</v>
      </c>
    </row>
    <row r="317" spans="1:4" x14ac:dyDescent="0.25">
      <c r="A317" s="15">
        <v>3894</v>
      </c>
      <c r="B317">
        <f>12*A317</f>
        <v>46728</v>
      </c>
    </row>
    <row r="318" spans="1:4" x14ac:dyDescent="0.25">
      <c r="A318">
        <v>3904</v>
      </c>
      <c r="B318">
        <f>12*A318</f>
        <v>46848</v>
      </c>
    </row>
    <row r="319" spans="1:4" x14ac:dyDescent="0.25">
      <c r="A319">
        <v>3907</v>
      </c>
      <c r="B319">
        <f>12*A319</f>
        <v>46884</v>
      </c>
    </row>
    <row r="320" spans="1:4" x14ac:dyDescent="0.25">
      <c r="A320">
        <v>3917</v>
      </c>
      <c r="B320">
        <f>12*A320</f>
        <v>47004</v>
      </c>
      <c r="C320" s="15"/>
      <c r="D320" s="15"/>
    </row>
    <row r="321" spans="1:4" x14ac:dyDescent="0.25">
      <c r="A321" s="15">
        <v>3919</v>
      </c>
      <c r="B321">
        <f>12*A321</f>
        <v>47028</v>
      </c>
      <c r="C321" s="15"/>
      <c r="D321" s="15"/>
    </row>
    <row r="322" spans="1:4" x14ac:dyDescent="0.25">
      <c r="A322">
        <v>3931</v>
      </c>
      <c r="B322">
        <f>12*A322</f>
        <v>47172</v>
      </c>
    </row>
    <row r="323" spans="1:4" x14ac:dyDescent="0.25">
      <c r="A323">
        <v>3936</v>
      </c>
      <c r="B323">
        <f>12*A323</f>
        <v>47232</v>
      </c>
    </row>
    <row r="324" spans="1:4" x14ac:dyDescent="0.25">
      <c r="A324">
        <v>3944</v>
      </c>
      <c r="B324">
        <f>12*A324</f>
        <v>47328</v>
      </c>
    </row>
    <row r="325" spans="1:4" x14ac:dyDescent="0.25">
      <c r="A325">
        <v>3968</v>
      </c>
      <c r="B325">
        <f>12*A325</f>
        <v>47616</v>
      </c>
    </row>
    <row r="326" spans="1:4" x14ac:dyDescent="0.25">
      <c r="A326">
        <v>3977</v>
      </c>
      <c r="B326">
        <f>12*A326</f>
        <v>47724</v>
      </c>
      <c r="C326" s="15"/>
      <c r="D326" s="15"/>
    </row>
    <row r="327" spans="1:4" x14ac:dyDescent="0.25">
      <c r="A327">
        <v>3986</v>
      </c>
      <c r="B327">
        <f>12*A327</f>
        <v>47832</v>
      </c>
    </row>
    <row r="328" spans="1:4" x14ac:dyDescent="0.25">
      <c r="A328">
        <v>4011</v>
      </c>
      <c r="B328">
        <f>12*A328</f>
        <v>48132</v>
      </c>
    </row>
    <row r="329" spans="1:4" x14ac:dyDescent="0.25">
      <c r="A329">
        <v>4014</v>
      </c>
      <c r="B329">
        <f>12*A329</f>
        <v>48168</v>
      </c>
    </row>
    <row r="330" spans="1:4" x14ac:dyDescent="0.25">
      <c r="A330">
        <v>4014</v>
      </c>
      <c r="B330">
        <f>12*A330</f>
        <v>48168</v>
      </c>
    </row>
    <row r="331" spans="1:4" x14ac:dyDescent="0.25">
      <c r="A331">
        <v>4025</v>
      </c>
      <c r="B331">
        <f>12*A331</f>
        <v>48300</v>
      </c>
    </row>
    <row r="332" spans="1:4" x14ac:dyDescent="0.25">
      <c r="A332">
        <v>4028</v>
      </c>
      <c r="B332">
        <f>12*A332</f>
        <v>48336</v>
      </c>
      <c r="C332" s="15"/>
      <c r="D332" s="15"/>
    </row>
    <row r="333" spans="1:4" x14ac:dyDescent="0.25">
      <c r="A333">
        <v>4033</v>
      </c>
      <c r="B333">
        <f>12*A333</f>
        <v>48396</v>
      </c>
    </row>
    <row r="334" spans="1:4" x14ac:dyDescent="0.25">
      <c r="A334">
        <v>4035</v>
      </c>
      <c r="B334">
        <f>12*A334</f>
        <v>48420</v>
      </c>
    </row>
    <row r="335" spans="1:4" x14ac:dyDescent="0.25">
      <c r="A335">
        <v>4037</v>
      </c>
      <c r="B335">
        <f>12*A335</f>
        <v>48444</v>
      </c>
    </row>
    <row r="336" spans="1:4" x14ac:dyDescent="0.25">
      <c r="A336">
        <v>4051</v>
      </c>
      <c r="B336">
        <f>12*A336</f>
        <v>48612</v>
      </c>
    </row>
    <row r="337" spans="1:4" x14ac:dyDescent="0.25">
      <c r="A337">
        <v>4069</v>
      </c>
      <c r="B337">
        <f>12*A337</f>
        <v>48828</v>
      </c>
    </row>
    <row r="338" spans="1:4" x14ac:dyDescent="0.25">
      <c r="A338">
        <v>4081</v>
      </c>
      <c r="B338">
        <f>12*A338</f>
        <v>48972</v>
      </c>
      <c r="C338" s="15"/>
      <c r="D338" s="15"/>
    </row>
    <row r="339" spans="1:4" x14ac:dyDescent="0.25">
      <c r="A339" s="15">
        <v>4084</v>
      </c>
      <c r="B339">
        <f>12*A339</f>
        <v>49008</v>
      </c>
    </row>
    <row r="340" spans="1:4" x14ac:dyDescent="0.25">
      <c r="A340">
        <v>4087</v>
      </c>
      <c r="B340">
        <f>12*A340</f>
        <v>49044</v>
      </c>
    </row>
    <row r="341" spans="1:4" x14ac:dyDescent="0.25">
      <c r="A341">
        <v>4115</v>
      </c>
      <c r="B341">
        <f>12*A341</f>
        <v>49380</v>
      </c>
    </row>
    <row r="342" spans="1:4" x14ac:dyDescent="0.25">
      <c r="A342">
        <v>4148</v>
      </c>
      <c r="B342">
        <f>12*A342</f>
        <v>49776</v>
      </c>
    </row>
    <row r="343" spans="1:4" x14ac:dyDescent="0.25">
      <c r="A343">
        <v>4157</v>
      </c>
      <c r="B343">
        <f>12*A343</f>
        <v>49884</v>
      </c>
      <c r="C343" s="15"/>
      <c r="D343" s="15"/>
    </row>
    <row r="344" spans="1:4" x14ac:dyDescent="0.25">
      <c r="A344">
        <v>4162</v>
      </c>
      <c r="B344">
        <f>12*A344</f>
        <v>49944</v>
      </c>
      <c r="C344" s="15"/>
      <c r="D344" s="15"/>
    </row>
    <row r="345" spans="1:4" x14ac:dyDescent="0.25">
      <c r="A345">
        <v>4163</v>
      </c>
      <c r="B345">
        <f>12*A345</f>
        <v>49956</v>
      </c>
    </row>
    <row r="346" spans="1:4" x14ac:dyDescent="0.25">
      <c r="A346">
        <v>4187</v>
      </c>
      <c r="B346">
        <f>12*A346</f>
        <v>50244</v>
      </c>
    </row>
    <row r="347" spans="1:4" x14ac:dyDescent="0.25">
      <c r="A347">
        <v>4193</v>
      </c>
      <c r="B347">
        <f>12*A347</f>
        <v>50316</v>
      </c>
      <c r="C347" s="15"/>
      <c r="D347" s="15"/>
    </row>
    <row r="348" spans="1:4" x14ac:dyDescent="0.25">
      <c r="A348">
        <v>4221</v>
      </c>
      <c r="B348">
        <f>12*A348</f>
        <v>50652</v>
      </c>
    </row>
    <row r="349" spans="1:4" x14ac:dyDescent="0.25">
      <c r="A349" s="15">
        <v>4233</v>
      </c>
      <c r="B349">
        <f>12*A349</f>
        <v>50796</v>
      </c>
    </row>
    <row r="350" spans="1:4" x14ac:dyDescent="0.25">
      <c r="A350">
        <v>4244</v>
      </c>
      <c r="B350">
        <f>12*A350</f>
        <v>50928</v>
      </c>
    </row>
    <row r="351" spans="1:4" x14ac:dyDescent="0.25">
      <c r="A351">
        <v>4256</v>
      </c>
      <c r="B351">
        <f>12*A351</f>
        <v>51072</v>
      </c>
    </row>
    <row r="352" spans="1:4" x14ac:dyDescent="0.25">
      <c r="A352">
        <v>4257</v>
      </c>
      <c r="B352">
        <f>12*A352</f>
        <v>51084</v>
      </c>
      <c r="C352" s="15"/>
      <c r="D352" s="15"/>
    </row>
    <row r="353" spans="1:4" x14ac:dyDescent="0.25">
      <c r="A353">
        <v>4258</v>
      </c>
      <c r="B353">
        <f>12*A353</f>
        <v>51096</v>
      </c>
    </row>
    <row r="354" spans="1:4" x14ac:dyDescent="0.25">
      <c r="A354">
        <v>4260</v>
      </c>
      <c r="B354">
        <f>12*A354</f>
        <v>51120</v>
      </c>
      <c r="C354" s="15"/>
      <c r="D354" s="15"/>
    </row>
    <row r="355" spans="1:4" x14ac:dyDescent="0.25">
      <c r="A355">
        <v>4262</v>
      </c>
      <c r="B355">
        <f>12*A355</f>
        <v>51144</v>
      </c>
      <c r="C355" s="15"/>
      <c r="D355" s="15"/>
    </row>
    <row r="356" spans="1:4" x14ac:dyDescent="0.25">
      <c r="A356" s="15">
        <v>4284</v>
      </c>
      <c r="B356">
        <f>12*A356</f>
        <v>51408</v>
      </c>
      <c r="C356" s="15"/>
      <c r="D356" s="15"/>
    </row>
    <row r="357" spans="1:4" x14ac:dyDescent="0.25">
      <c r="A357">
        <v>4285</v>
      </c>
      <c r="B357">
        <f>12*A357</f>
        <v>51420</v>
      </c>
    </row>
    <row r="358" spans="1:4" x14ac:dyDescent="0.25">
      <c r="A358" s="15">
        <v>4286</v>
      </c>
      <c r="B358">
        <f>12*A358</f>
        <v>51432</v>
      </c>
    </row>
    <row r="359" spans="1:4" x14ac:dyDescent="0.25">
      <c r="A359">
        <v>4306</v>
      </c>
      <c r="B359">
        <f>12*A359</f>
        <v>51672</v>
      </c>
    </row>
    <row r="360" spans="1:4" x14ac:dyDescent="0.25">
      <c r="A360">
        <v>4312</v>
      </c>
      <c r="B360">
        <f>12*A360</f>
        <v>51744</v>
      </c>
    </row>
    <row r="361" spans="1:4" x14ac:dyDescent="0.25">
      <c r="A361">
        <v>4319</v>
      </c>
      <c r="B361">
        <f>12*A361</f>
        <v>51828</v>
      </c>
    </row>
    <row r="362" spans="1:4" x14ac:dyDescent="0.25">
      <c r="A362">
        <v>4325</v>
      </c>
      <c r="B362">
        <f>12*A362</f>
        <v>51900</v>
      </c>
      <c r="C362" s="15"/>
      <c r="D362" s="15"/>
    </row>
    <row r="363" spans="1:4" x14ac:dyDescent="0.25">
      <c r="A363">
        <v>4381</v>
      </c>
      <c r="B363">
        <f>12*A363</f>
        <v>52572</v>
      </c>
    </row>
    <row r="364" spans="1:4" x14ac:dyDescent="0.25">
      <c r="A364" s="15">
        <v>4382</v>
      </c>
      <c r="B364">
        <f>12*A364</f>
        <v>52584</v>
      </c>
    </row>
    <row r="365" spans="1:4" x14ac:dyDescent="0.25">
      <c r="A365">
        <v>4385</v>
      </c>
      <c r="B365">
        <f>12*A365</f>
        <v>52620</v>
      </c>
    </row>
    <row r="366" spans="1:4" x14ac:dyDescent="0.25">
      <c r="A366">
        <v>4393</v>
      </c>
      <c r="B366">
        <f>12*A366</f>
        <v>52716</v>
      </c>
      <c r="C366" s="15"/>
      <c r="D366" s="15"/>
    </row>
    <row r="367" spans="1:4" x14ac:dyDescent="0.25">
      <c r="A367" s="15">
        <v>4400</v>
      </c>
      <c r="B367">
        <f>12*A367</f>
        <v>52800</v>
      </c>
    </row>
    <row r="368" spans="1:4" x14ac:dyDescent="0.25">
      <c r="A368">
        <v>4403</v>
      </c>
      <c r="B368">
        <f>12*A368</f>
        <v>52836</v>
      </c>
    </row>
    <row r="369" spans="1:4" x14ac:dyDescent="0.25">
      <c r="A369">
        <v>4420</v>
      </c>
      <c r="B369">
        <f>12*A369</f>
        <v>53040</v>
      </c>
    </row>
    <row r="370" spans="1:4" x14ac:dyDescent="0.25">
      <c r="A370">
        <v>4422</v>
      </c>
      <c r="B370">
        <f>12*A370</f>
        <v>53064</v>
      </c>
    </row>
    <row r="371" spans="1:4" x14ac:dyDescent="0.25">
      <c r="A371">
        <v>4424</v>
      </c>
      <c r="B371">
        <f>12*A371</f>
        <v>53088</v>
      </c>
    </row>
    <row r="372" spans="1:4" x14ac:dyDescent="0.25">
      <c r="A372">
        <v>4425</v>
      </c>
      <c r="B372">
        <f>12*A372</f>
        <v>53100</v>
      </c>
    </row>
    <row r="373" spans="1:4" x14ac:dyDescent="0.25">
      <c r="A373">
        <v>4434</v>
      </c>
      <c r="B373">
        <f>12*A373</f>
        <v>53208</v>
      </c>
      <c r="C373" s="15"/>
      <c r="D373" s="15"/>
    </row>
    <row r="374" spans="1:4" x14ac:dyDescent="0.25">
      <c r="A374">
        <v>4444</v>
      </c>
      <c r="B374">
        <f>12*A374</f>
        <v>53328</v>
      </c>
    </row>
    <row r="375" spans="1:4" x14ac:dyDescent="0.25">
      <c r="A375">
        <v>4447</v>
      </c>
      <c r="B375">
        <f>12*A375</f>
        <v>53364</v>
      </c>
    </row>
    <row r="376" spans="1:4" x14ac:dyDescent="0.25">
      <c r="A376">
        <v>4448</v>
      </c>
      <c r="B376">
        <f>12*A376</f>
        <v>53376</v>
      </c>
    </row>
    <row r="377" spans="1:4" x14ac:dyDescent="0.25">
      <c r="A377">
        <v>4449</v>
      </c>
      <c r="B377">
        <f>12*A377</f>
        <v>53388</v>
      </c>
    </row>
    <row r="378" spans="1:4" x14ac:dyDescent="0.25">
      <c r="A378">
        <v>4450</v>
      </c>
      <c r="B378">
        <f>12*A378</f>
        <v>53400</v>
      </c>
    </row>
    <row r="379" spans="1:4" x14ac:dyDescent="0.25">
      <c r="A379">
        <v>4465</v>
      </c>
      <c r="B379">
        <f>12*A379</f>
        <v>53580</v>
      </c>
    </row>
    <row r="380" spans="1:4" x14ac:dyDescent="0.25">
      <c r="A380">
        <v>4477</v>
      </c>
      <c r="B380">
        <f>12*A380</f>
        <v>53724</v>
      </c>
    </row>
    <row r="381" spans="1:4" x14ac:dyDescent="0.25">
      <c r="A381">
        <v>4478</v>
      </c>
      <c r="B381">
        <f>12*A381</f>
        <v>53736</v>
      </c>
    </row>
    <row r="382" spans="1:4" x14ac:dyDescent="0.25">
      <c r="A382">
        <v>4502</v>
      </c>
      <c r="B382">
        <f>12*A382</f>
        <v>54024</v>
      </c>
    </row>
    <row r="383" spans="1:4" x14ac:dyDescent="0.25">
      <c r="A383">
        <v>4507</v>
      </c>
      <c r="B383">
        <f>12*A383</f>
        <v>54084</v>
      </c>
    </row>
    <row r="384" spans="1:4" x14ac:dyDescent="0.25">
      <c r="A384" s="15">
        <v>4508</v>
      </c>
      <c r="B384">
        <f>12*A384</f>
        <v>54096</v>
      </c>
    </row>
    <row r="385" spans="1:4" x14ac:dyDescent="0.25">
      <c r="A385">
        <v>4523</v>
      </c>
      <c r="B385">
        <f>12*A385</f>
        <v>54276</v>
      </c>
    </row>
    <row r="386" spans="1:4" x14ac:dyDescent="0.25">
      <c r="A386">
        <v>4538</v>
      </c>
      <c r="B386">
        <f>12*A386</f>
        <v>54456</v>
      </c>
    </row>
    <row r="387" spans="1:4" x14ac:dyDescent="0.25">
      <c r="A387">
        <v>4539</v>
      </c>
      <c r="B387">
        <f>12*A387</f>
        <v>54468</v>
      </c>
    </row>
    <row r="388" spans="1:4" x14ac:dyDescent="0.25">
      <c r="A388">
        <v>4553</v>
      </c>
      <c r="B388">
        <f>12*A388</f>
        <v>54636</v>
      </c>
      <c r="C388" s="15"/>
      <c r="D388" s="15"/>
    </row>
    <row r="389" spans="1:4" x14ac:dyDescent="0.25">
      <c r="A389">
        <v>4554</v>
      </c>
      <c r="B389">
        <f>12*A389</f>
        <v>54648</v>
      </c>
      <c r="C389" s="15"/>
      <c r="D389" s="15"/>
    </row>
    <row r="390" spans="1:4" x14ac:dyDescent="0.25">
      <c r="A390">
        <v>4558</v>
      </c>
      <c r="B390">
        <f>12*A390</f>
        <v>54696</v>
      </c>
      <c r="C390" s="15"/>
      <c r="D390" s="15"/>
    </row>
    <row r="391" spans="1:4" x14ac:dyDescent="0.25">
      <c r="A391" s="15">
        <v>4559</v>
      </c>
      <c r="B391">
        <f>12*A391</f>
        <v>54708</v>
      </c>
    </row>
    <row r="392" spans="1:4" x14ac:dyDescent="0.25">
      <c r="A392">
        <v>4568</v>
      </c>
      <c r="B392">
        <f>12*A392</f>
        <v>54816</v>
      </c>
    </row>
    <row r="393" spans="1:4" x14ac:dyDescent="0.25">
      <c r="A393" s="15">
        <v>4581</v>
      </c>
      <c r="B393">
        <f>12*A393</f>
        <v>54972</v>
      </c>
    </row>
    <row r="394" spans="1:4" x14ac:dyDescent="0.25">
      <c r="A394">
        <v>4591</v>
      </c>
      <c r="B394">
        <f>12*A394</f>
        <v>55092</v>
      </c>
    </row>
    <row r="395" spans="1:4" x14ac:dyDescent="0.25">
      <c r="A395" s="15">
        <v>4599</v>
      </c>
      <c r="B395">
        <f>12*A395</f>
        <v>55188</v>
      </c>
    </row>
    <row r="396" spans="1:4" x14ac:dyDescent="0.25">
      <c r="A396">
        <v>4601</v>
      </c>
      <c r="B396">
        <f>12*A396</f>
        <v>55212</v>
      </c>
    </row>
    <row r="397" spans="1:4" x14ac:dyDescent="0.25">
      <c r="A397">
        <v>4615</v>
      </c>
      <c r="B397">
        <f>12*A397</f>
        <v>55380</v>
      </c>
    </row>
    <row r="398" spans="1:4" x14ac:dyDescent="0.25">
      <c r="A398">
        <v>4617</v>
      </c>
      <c r="B398">
        <f>12*A398</f>
        <v>55404</v>
      </c>
    </row>
    <row r="399" spans="1:4" x14ac:dyDescent="0.25">
      <c r="A399">
        <v>4627</v>
      </c>
      <c r="B399">
        <f>12*A399</f>
        <v>55524</v>
      </c>
    </row>
    <row r="400" spans="1:4" x14ac:dyDescent="0.25">
      <c r="A400">
        <v>4648</v>
      </c>
      <c r="B400">
        <f>12*A400</f>
        <v>55776</v>
      </c>
    </row>
    <row r="401" spans="1:4" x14ac:dyDescent="0.25">
      <c r="A401">
        <v>4649</v>
      </c>
      <c r="B401">
        <f>12*A401</f>
        <v>55788</v>
      </c>
    </row>
    <row r="402" spans="1:4" x14ac:dyDescent="0.25">
      <c r="A402">
        <v>4663</v>
      </c>
      <c r="B402">
        <f>12*A402</f>
        <v>55956</v>
      </c>
    </row>
    <row r="403" spans="1:4" x14ac:dyDescent="0.25">
      <c r="A403">
        <v>4668</v>
      </c>
      <c r="B403">
        <f>12*A403</f>
        <v>56016</v>
      </c>
    </row>
    <row r="404" spans="1:4" x14ac:dyDescent="0.25">
      <c r="A404">
        <v>4680</v>
      </c>
      <c r="B404">
        <f>12*A404</f>
        <v>56160</v>
      </c>
    </row>
    <row r="405" spans="1:4" x14ac:dyDescent="0.25">
      <c r="A405">
        <v>4682</v>
      </c>
      <c r="B405">
        <f>12*A405</f>
        <v>56184</v>
      </c>
    </row>
    <row r="406" spans="1:4" x14ac:dyDescent="0.25">
      <c r="A406" s="15">
        <v>4707</v>
      </c>
      <c r="B406">
        <f>12*A406</f>
        <v>56484</v>
      </c>
    </row>
    <row r="407" spans="1:4" x14ac:dyDescent="0.25">
      <c r="A407">
        <v>4721</v>
      </c>
      <c r="B407">
        <f>12*A407</f>
        <v>56652</v>
      </c>
    </row>
    <row r="408" spans="1:4" x14ac:dyDescent="0.25">
      <c r="A408">
        <v>4723</v>
      </c>
      <c r="B408">
        <f>12*A408</f>
        <v>56676</v>
      </c>
    </row>
    <row r="409" spans="1:4" x14ac:dyDescent="0.25">
      <c r="A409">
        <v>4724</v>
      </c>
      <c r="B409">
        <f>12*A409</f>
        <v>56688</v>
      </c>
      <c r="C409" s="15"/>
      <c r="D409" s="15"/>
    </row>
    <row r="410" spans="1:4" x14ac:dyDescent="0.25">
      <c r="A410" s="15">
        <v>4728</v>
      </c>
      <c r="B410">
        <f>12*A410</f>
        <v>56736</v>
      </c>
    </row>
    <row r="411" spans="1:4" x14ac:dyDescent="0.25">
      <c r="A411">
        <v>4735</v>
      </c>
      <c r="B411">
        <f>12*A411</f>
        <v>56820</v>
      </c>
    </row>
    <row r="412" spans="1:4" x14ac:dyDescent="0.25">
      <c r="A412">
        <v>4736</v>
      </c>
      <c r="B412">
        <f>12*A412</f>
        <v>56832</v>
      </c>
    </row>
    <row r="413" spans="1:4" x14ac:dyDescent="0.25">
      <c r="A413">
        <v>4739</v>
      </c>
      <c r="B413">
        <f>12*A413</f>
        <v>56868</v>
      </c>
    </row>
    <row r="414" spans="1:4" x14ac:dyDescent="0.25">
      <c r="A414">
        <v>4741</v>
      </c>
      <c r="B414">
        <f>12*A414</f>
        <v>56892</v>
      </c>
    </row>
    <row r="415" spans="1:4" x14ac:dyDescent="0.25">
      <c r="A415">
        <v>4759</v>
      </c>
      <c r="B415">
        <f>12*A415</f>
        <v>57108</v>
      </c>
    </row>
    <row r="416" spans="1:4" x14ac:dyDescent="0.25">
      <c r="A416">
        <v>4765</v>
      </c>
      <c r="B416">
        <f>12*A416</f>
        <v>57180</v>
      </c>
    </row>
    <row r="417" spans="1:4" x14ac:dyDescent="0.25">
      <c r="A417">
        <v>4766</v>
      </c>
      <c r="B417">
        <f>12*A417</f>
        <v>57192</v>
      </c>
      <c r="C417" s="15"/>
      <c r="D417" s="15"/>
    </row>
    <row r="418" spans="1:4" x14ac:dyDescent="0.25">
      <c r="A418">
        <v>4771</v>
      </c>
      <c r="B418">
        <f>12*A418</f>
        <v>57252</v>
      </c>
    </row>
    <row r="419" spans="1:4" x14ac:dyDescent="0.25">
      <c r="A419" s="15">
        <v>4777</v>
      </c>
      <c r="B419">
        <f>12*A419</f>
        <v>57324</v>
      </c>
    </row>
    <row r="420" spans="1:4" x14ac:dyDescent="0.25">
      <c r="A420">
        <v>4779</v>
      </c>
      <c r="B420">
        <f>12*A420</f>
        <v>57348</v>
      </c>
      <c r="C420" s="15"/>
      <c r="D420" s="15"/>
    </row>
    <row r="421" spans="1:4" x14ac:dyDescent="0.25">
      <c r="A421">
        <v>4779</v>
      </c>
      <c r="B421">
        <f>12*A421</f>
        <v>57348</v>
      </c>
      <c r="C421" s="15"/>
      <c r="D421" s="15"/>
    </row>
    <row r="422" spans="1:4" x14ac:dyDescent="0.25">
      <c r="A422" s="15">
        <v>4787</v>
      </c>
      <c r="B422">
        <f>12*A422</f>
        <v>57444</v>
      </c>
    </row>
    <row r="423" spans="1:4" x14ac:dyDescent="0.25">
      <c r="A423">
        <v>4788</v>
      </c>
      <c r="B423">
        <f>12*A423</f>
        <v>57456</v>
      </c>
      <c r="C423" s="15"/>
      <c r="D423" s="15"/>
    </row>
    <row r="424" spans="1:4" x14ac:dyDescent="0.25">
      <c r="A424">
        <v>4789</v>
      </c>
      <c r="B424">
        <f>12*A424</f>
        <v>57468</v>
      </c>
      <c r="C424" s="15"/>
      <c r="D424" s="15"/>
    </row>
    <row r="425" spans="1:4" x14ac:dyDescent="0.25">
      <c r="A425">
        <v>4810</v>
      </c>
      <c r="B425">
        <f>12*A425</f>
        <v>57720</v>
      </c>
      <c r="C425" s="15"/>
      <c r="D425" s="15"/>
    </row>
    <row r="426" spans="1:4" x14ac:dyDescent="0.25">
      <c r="A426">
        <v>4851</v>
      </c>
      <c r="B426">
        <f>12*A426</f>
        <v>58212</v>
      </c>
    </row>
    <row r="427" spans="1:4" x14ac:dyDescent="0.25">
      <c r="A427">
        <v>4876</v>
      </c>
      <c r="B427">
        <f>12*A427</f>
        <v>58512</v>
      </c>
      <c r="C427" s="15"/>
      <c r="D427" s="15"/>
    </row>
    <row r="428" spans="1:4" x14ac:dyDescent="0.25">
      <c r="A428">
        <v>4877</v>
      </c>
      <c r="B428">
        <f>12*A428</f>
        <v>58524</v>
      </c>
      <c r="C428" s="15"/>
      <c r="D428" s="15"/>
    </row>
    <row r="429" spans="1:4" x14ac:dyDescent="0.25">
      <c r="A429">
        <v>4878</v>
      </c>
      <c r="B429">
        <f>12*A429</f>
        <v>58536</v>
      </c>
    </row>
    <row r="430" spans="1:4" x14ac:dyDescent="0.25">
      <c r="A430" s="15">
        <v>4883</v>
      </c>
      <c r="B430">
        <f>12*A430</f>
        <v>58596</v>
      </c>
      <c r="C430" s="15"/>
      <c r="D430" s="15"/>
    </row>
    <row r="431" spans="1:4" x14ac:dyDescent="0.25">
      <c r="A431">
        <v>4898</v>
      </c>
      <c r="B431">
        <f>12*A431</f>
        <v>58776</v>
      </c>
    </row>
    <row r="432" spans="1:4" x14ac:dyDescent="0.25">
      <c r="A432">
        <v>4898</v>
      </c>
      <c r="B432">
        <f>12*A432</f>
        <v>58776</v>
      </c>
    </row>
    <row r="433" spans="1:4" x14ac:dyDescent="0.25">
      <c r="A433">
        <v>4907</v>
      </c>
      <c r="B433">
        <f>12*A433</f>
        <v>58884</v>
      </c>
      <c r="C433" s="15"/>
      <c r="D433" s="15"/>
    </row>
    <row r="434" spans="1:4" x14ac:dyDescent="0.25">
      <c r="A434">
        <v>4907</v>
      </c>
      <c r="B434">
        <f>12*A434</f>
        <v>58884</v>
      </c>
    </row>
    <row r="435" spans="1:4" x14ac:dyDescent="0.25">
      <c r="A435">
        <v>4936</v>
      </c>
      <c r="B435">
        <f>12*A435</f>
        <v>59232</v>
      </c>
    </row>
    <row r="436" spans="1:4" x14ac:dyDescent="0.25">
      <c r="A436" s="15">
        <v>4941</v>
      </c>
      <c r="B436">
        <f>12*A436</f>
        <v>59292</v>
      </c>
      <c r="C436" s="15"/>
      <c r="D436" s="15"/>
    </row>
    <row r="437" spans="1:4" x14ac:dyDescent="0.25">
      <c r="A437">
        <v>4950</v>
      </c>
      <c r="B437">
        <f>12*A437</f>
        <v>59400</v>
      </c>
    </row>
    <row r="438" spans="1:4" x14ac:dyDescent="0.25">
      <c r="A438">
        <v>4960</v>
      </c>
      <c r="B438">
        <f>12*A438</f>
        <v>59520</v>
      </c>
    </row>
    <row r="439" spans="1:4" x14ac:dyDescent="0.25">
      <c r="A439" s="15">
        <v>4963</v>
      </c>
      <c r="B439">
        <f>12*A439</f>
        <v>59556</v>
      </c>
      <c r="C439" s="15"/>
      <c r="D439" s="15"/>
    </row>
    <row r="440" spans="1:4" x14ac:dyDescent="0.25">
      <c r="A440">
        <v>4968</v>
      </c>
      <c r="B440">
        <f>12*A440</f>
        <v>59616</v>
      </c>
      <c r="C440" s="15"/>
      <c r="D440" s="15"/>
    </row>
    <row r="441" spans="1:4" x14ac:dyDescent="0.25">
      <c r="A441" s="15">
        <v>4969</v>
      </c>
      <c r="B441">
        <f>12*A441</f>
        <v>59628</v>
      </c>
      <c r="C441" s="15"/>
      <c r="D441" s="15"/>
    </row>
    <row r="442" spans="1:4" x14ac:dyDescent="0.25">
      <c r="A442">
        <v>4978</v>
      </c>
      <c r="B442">
        <f>12*A442</f>
        <v>59736</v>
      </c>
    </row>
    <row r="443" spans="1:4" x14ac:dyDescent="0.25">
      <c r="A443">
        <v>4998</v>
      </c>
      <c r="B443">
        <f>12*A443</f>
        <v>59976</v>
      </c>
      <c r="C443" s="15"/>
      <c r="D443" s="15"/>
    </row>
    <row r="444" spans="1:4" x14ac:dyDescent="0.25">
      <c r="A444">
        <v>4999</v>
      </c>
      <c r="B444">
        <f>12*A444</f>
        <v>59988</v>
      </c>
    </row>
    <row r="445" spans="1:4" x14ac:dyDescent="0.25">
      <c r="A445">
        <v>5006</v>
      </c>
      <c r="B445">
        <f>12*A445</f>
        <v>60072</v>
      </c>
    </row>
    <row r="446" spans="1:4" x14ac:dyDescent="0.25">
      <c r="A446">
        <v>5033</v>
      </c>
      <c r="B446">
        <f>12*A446</f>
        <v>60396</v>
      </c>
    </row>
    <row r="447" spans="1:4" x14ac:dyDescent="0.25">
      <c r="A447">
        <v>5042</v>
      </c>
      <c r="B447">
        <f>12*A447</f>
        <v>60504</v>
      </c>
    </row>
    <row r="448" spans="1:4" x14ac:dyDescent="0.25">
      <c r="A448">
        <v>5055</v>
      </c>
      <c r="B448">
        <f>12*A448</f>
        <v>60660</v>
      </c>
      <c r="C448" s="15"/>
      <c r="D448" s="15"/>
    </row>
    <row r="449" spans="1:4" x14ac:dyDescent="0.25">
      <c r="A449">
        <v>5056</v>
      </c>
      <c r="B449">
        <f>12*A449</f>
        <v>60672</v>
      </c>
      <c r="C449" s="15"/>
      <c r="D449" s="15"/>
    </row>
    <row r="450" spans="1:4" x14ac:dyDescent="0.25">
      <c r="A450">
        <v>5063</v>
      </c>
      <c r="B450">
        <f>12*A450</f>
        <v>60756</v>
      </c>
    </row>
    <row r="451" spans="1:4" x14ac:dyDescent="0.25">
      <c r="A451">
        <v>5067</v>
      </c>
      <c r="B451">
        <f>12*A451</f>
        <v>60804</v>
      </c>
    </row>
    <row r="452" spans="1:4" x14ac:dyDescent="0.25">
      <c r="A452">
        <v>5079</v>
      </c>
      <c r="B452">
        <f>12*A452</f>
        <v>60948</v>
      </c>
    </row>
    <row r="453" spans="1:4" x14ac:dyDescent="0.25">
      <c r="A453">
        <v>5087</v>
      </c>
      <c r="B453">
        <f>12*A453</f>
        <v>61044</v>
      </c>
    </row>
    <row r="454" spans="1:4" x14ac:dyDescent="0.25">
      <c r="A454">
        <v>5093</v>
      </c>
      <c r="B454">
        <f>12*A454</f>
        <v>61116</v>
      </c>
    </row>
    <row r="455" spans="1:4" x14ac:dyDescent="0.25">
      <c r="A455">
        <v>5094</v>
      </c>
      <c r="B455">
        <f>12*A455</f>
        <v>61128</v>
      </c>
    </row>
    <row r="456" spans="1:4" x14ac:dyDescent="0.25">
      <c r="A456">
        <v>5098</v>
      </c>
      <c r="B456">
        <f>12*A456</f>
        <v>61176</v>
      </c>
    </row>
    <row r="457" spans="1:4" x14ac:dyDescent="0.25">
      <c r="A457">
        <v>5126</v>
      </c>
      <c r="B457">
        <f>12*A457</f>
        <v>61512</v>
      </c>
    </row>
    <row r="458" spans="1:4" x14ac:dyDescent="0.25">
      <c r="A458">
        <v>5131</v>
      </c>
      <c r="B458">
        <f>12*A458</f>
        <v>61572</v>
      </c>
      <c r="C458" s="15"/>
      <c r="D458" s="15"/>
    </row>
    <row r="459" spans="1:4" x14ac:dyDescent="0.25">
      <c r="A459">
        <v>5154</v>
      </c>
      <c r="B459">
        <f>12*A459</f>
        <v>61848</v>
      </c>
    </row>
    <row r="460" spans="1:4" x14ac:dyDescent="0.25">
      <c r="A460">
        <v>5155</v>
      </c>
      <c r="B460">
        <f>12*A460</f>
        <v>61860</v>
      </c>
    </row>
    <row r="461" spans="1:4" x14ac:dyDescent="0.25">
      <c r="A461">
        <v>5163</v>
      </c>
      <c r="B461">
        <f>12*A461</f>
        <v>61956</v>
      </c>
    </row>
    <row r="462" spans="1:4" x14ac:dyDescent="0.25">
      <c r="A462">
        <v>5171</v>
      </c>
      <c r="B462">
        <f>12*A462</f>
        <v>62052</v>
      </c>
    </row>
    <row r="463" spans="1:4" x14ac:dyDescent="0.25">
      <c r="A463">
        <v>5204</v>
      </c>
      <c r="B463">
        <f>12*A463</f>
        <v>62448</v>
      </c>
    </row>
    <row r="464" spans="1:4" x14ac:dyDescent="0.25">
      <c r="A464">
        <v>5206</v>
      </c>
      <c r="B464">
        <f>12*A464</f>
        <v>62472</v>
      </c>
    </row>
    <row r="465" spans="1:4" x14ac:dyDescent="0.25">
      <c r="A465">
        <v>5207</v>
      </c>
      <c r="B465">
        <f>12*A465</f>
        <v>62484</v>
      </c>
    </row>
    <row r="466" spans="1:4" x14ac:dyDescent="0.25">
      <c r="A466">
        <v>5210</v>
      </c>
      <c r="B466">
        <f>12*A466</f>
        <v>62520</v>
      </c>
    </row>
    <row r="467" spans="1:4" x14ac:dyDescent="0.25">
      <c r="A467">
        <v>5220</v>
      </c>
      <c r="B467">
        <f>12*A467</f>
        <v>62640</v>
      </c>
    </row>
    <row r="468" spans="1:4" x14ac:dyDescent="0.25">
      <c r="A468">
        <v>5228</v>
      </c>
      <c r="B468">
        <f>12*A468</f>
        <v>62736</v>
      </c>
    </row>
    <row r="469" spans="1:4" x14ac:dyDescent="0.25">
      <c r="A469">
        <v>5237</v>
      </c>
      <c r="B469">
        <f>12*A469</f>
        <v>62844</v>
      </c>
    </row>
    <row r="470" spans="1:4" x14ac:dyDescent="0.25">
      <c r="A470" s="15">
        <v>5238</v>
      </c>
      <c r="B470">
        <f>12*A470</f>
        <v>62856</v>
      </c>
    </row>
    <row r="471" spans="1:4" x14ac:dyDescent="0.25">
      <c r="A471">
        <v>5238</v>
      </c>
      <c r="B471">
        <f>12*A471</f>
        <v>62856</v>
      </c>
    </row>
    <row r="472" spans="1:4" x14ac:dyDescent="0.25">
      <c r="A472">
        <v>5257</v>
      </c>
      <c r="B472">
        <f>12*A472</f>
        <v>63084</v>
      </c>
    </row>
    <row r="473" spans="1:4" x14ac:dyDescent="0.25">
      <c r="A473">
        <v>5258</v>
      </c>
      <c r="B473">
        <f>12*A473</f>
        <v>63096</v>
      </c>
    </row>
    <row r="474" spans="1:4" x14ac:dyDescent="0.25">
      <c r="A474">
        <v>5265</v>
      </c>
      <c r="B474">
        <f>12*A474</f>
        <v>63180</v>
      </c>
      <c r="C474" s="15"/>
      <c r="D474" s="15"/>
    </row>
    <row r="475" spans="1:4" x14ac:dyDescent="0.25">
      <c r="A475">
        <v>5295</v>
      </c>
      <c r="B475">
        <f>12*A475</f>
        <v>63540</v>
      </c>
    </row>
    <row r="476" spans="1:4" x14ac:dyDescent="0.25">
      <c r="A476">
        <v>5296</v>
      </c>
      <c r="B476">
        <f>12*A476</f>
        <v>63552</v>
      </c>
    </row>
    <row r="477" spans="1:4" x14ac:dyDescent="0.25">
      <c r="A477" s="15">
        <v>5304</v>
      </c>
      <c r="B477">
        <f>12*A477</f>
        <v>63648</v>
      </c>
    </row>
    <row r="478" spans="1:4" x14ac:dyDescent="0.25">
      <c r="A478">
        <v>5304</v>
      </c>
      <c r="B478">
        <f>12*A478</f>
        <v>63648</v>
      </c>
    </row>
    <row r="479" spans="1:4" x14ac:dyDescent="0.25">
      <c r="A479">
        <v>5309</v>
      </c>
      <c r="B479">
        <f>12*A479</f>
        <v>63708</v>
      </c>
    </row>
    <row r="480" spans="1:4" x14ac:dyDescent="0.25">
      <c r="A480">
        <v>5321</v>
      </c>
      <c r="B480">
        <f>12*A480</f>
        <v>63852</v>
      </c>
    </row>
    <row r="481" spans="1:4" x14ac:dyDescent="0.25">
      <c r="A481">
        <v>5329</v>
      </c>
      <c r="B481">
        <f>12*A481</f>
        <v>63948</v>
      </c>
    </row>
    <row r="482" spans="1:4" x14ac:dyDescent="0.25">
      <c r="A482">
        <v>5332</v>
      </c>
      <c r="B482">
        <f>12*A482</f>
        <v>63984</v>
      </c>
      <c r="C482" s="15"/>
      <c r="D482" s="15"/>
    </row>
    <row r="483" spans="1:4" x14ac:dyDescent="0.25">
      <c r="A483">
        <v>5337</v>
      </c>
      <c r="B483">
        <f>12*A483</f>
        <v>64044</v>
      </c>
      <c r="C483" s="15"/>
      <c r="D483" s="15"/>
    </row>
    <row r="484" spans="1:4" x14ac:dyDescent="0.25">
      <c r="A484">
        <v>5343</v>
      </c>
      <c r="B484">
        <f>12*A484</f>
        <v>64116</v>
      </c>
    </row>
    <row r="485" spans="1:4" x14ac:dyDescent="0.25">
      <c r="A485">
        <v>5343</v>
      </c>
      <c r="B485">
        <f>12*A485</f>
        <v>64116</v>
      </c>
    </row>
    <row r="486" spans="1:4" x14ac:dyDescent="0.25">
      <c r="A486" s="15">
        <v>5346</v>
      </c>
      <c r="B486">
        <f>12*A486</f>
        <v>64152</v>
      </c>
    </row>
    <row r="487" spans="1:4" x14ac:dyDescent="0.25">
      <c r="A487">
        <v>5347</v>
      </c>
      <c r="B487">
        <f>12*A487</f>
        <v>64164</v>
      </c>
    </row>
    <row r="488" spans="1:4" x14ac:dyDescent="0.25">
      <c r="A488">
        <v>5363</v>
      </c>
      <c r="B488">
        <f>12*A488</f>
        <v>64356</v>
      </c>
    </row>
    <row r="489" spans="1:4" x14ac:dyDescent="0.25">
      <c r="A489">
        <v>5368</v>
      </c>
      <c r="B489">
        <f>12*A489</f>
        <v>64416</v>
      </c>
      <c r="C489" s="15"/>
      <c r="D489" s="15"/>
    </row>
    <row r="490" spans="1:4" x14ac:dyDescent="0.25">
      <c r="A490">
        <v>5373</v>
      </c>
      <c r="B490">
        <f>12*A490</f>
        <v>64476</v>
      </c>
    </row>
    <row r="491" spans="1:4" x14ac:dyDescent="0.25">
      <c r="A491">
        <v>5376</v>
      </c>
      <c r="B491">
        <f>12*A491</f>
        <v>64512</v>
      </c>
    </row>
    <row r="492" spans="1:4" x14ac:dyDescent="0.25">
      <c r="A492" s="15">
        <v>5381</v>
      </c>
      <c r="B492">
        <f>12*A492</f>
        <v>64572</v>
      </c>
    </row>
    <row r="493" spans="1:4" x14ac:dyDescent="0.25">
      <c r="A493">
        <v>5396</v>
      </c>
      <c r="B493">
        <f>12*A493</f>
        <v>64752</v>
      </c>
    </row>
    <row r="494" spans="1:4" x14ac:dyDescent="0.25">
      <c r="A494">
        <v>5405</v>
      </c>
      <c r="B494">
        <f>12*A494</f>
        <v>64860</v>
      </c>
    </row>
    <row r="495" spans="1:4" x14ac:dyDescent="0.25">
      <c r="A495">
        <v>5410</v>
      </c>
      <c r="B495">
        <f>12*A495</f>
        <v>64920</v>
      </c>
      <c r="C495" s="15"/>
      <c r="D495" s="15"/>
    </row>
    <row r="496" spans="1:4" x14ac:dyDescent="0.25">
      <c r="A496">
        <v>5410</v>
      </c>
      <c r="B496">
        <f>12*A496</f>
        <v>64920</v>
      </c>
    </row>
    <row r="497" spans="1:2" x14ac:dyDescent="0.25">
      <c r="A497">
        <v>5433</v>
      </c>
      <c r="B497">
        <f>12*A497</f>
        <v>65196</v>
      </c>
    </row>
    <row r="498" spans="1:2" x14ac:dyDescent="0.25">
      <c r="A498">
        <v>5441</v>
      </c>
      <c r="B498">
        <f>12*A498</f>
        <v>65292</v>
      </c>
    </row>
    <row r="499" spans="1:2" x14ac:dyDescent="0.25">
      <c r="A499">
        <v>5454</v>
      </c>
      <c r="B499">
        <f>12*A499</f>
        <v>65448</v>
      </c>
    </row>
    <row r="500" spans="1:2" x14ac:dyDescent="0.25">
      <c r="A500">
        <v>5467</v>
      </c>
      <c r="B500">
        <f>12*A500</f>
        <v>65604</v>
      </c>
    </row>
    <row r="501" spans="1:2" x14ac:dyDescent="0.25">
      <c r="A501">
        <v>5467</v>
      </c>
      <c r="B501">
        <f>12*A501</f>
        <v>65604</v>
      </c>
    </row>
    <row r="502" spans="1:2" x14ac:dyDescent="0.25">
      <c r="A502">
        <v>5468</v>
      </c>
      <c r="B502">
        <f>12*A502</f>
        <v>65616</v>
      </c>
    </row>
    <row r="503" spans="1:2" x14ac:dyDescent="0.25">
      <c r="A503">
        <v>5473</v>
      </c>
      <c r="B503">
        <f>12*A503</f>
        <v>65676</v>
      </c>
    </row>
    <row r="504" spans="1:2" x14ac:dyDescent="0.25">
      <c r="A504">
        <v>5473</v>
      </c>
      <c r="B504">
        <f>12*A504</f>
        <v>65676</v>
      </c>
    </row>
    <row r="505" spans="1:2" x14ac:dyDescent="0.25">
      <c r="A505">
        <v>5476</v>
      </c>
      <c r="B505">
        <f>12*A505</f>
        <v>65712</v>
      </c>
    </row>
    <row r="506" spans="1:2" x14ac:dyDescent="0.25">
      <c r="A506">
        <v>5482</v>
      </c>
      <c r="B506">
        <f>12*A506</f>
        <v>65784</v>
      </c>
    </row>
    <row r="507" spans="1:2" x14ac:dyDescent="0.25">
      <c r="A507">
        <v>5484</v>
      </c>
      <c r="B507">
        <f>12*A507</f>
        <v>65808</v>
      </c>
    </row>
    <row r="508" spans="1:2" x14ac:dyDescent="0.25">
      <c r="A508">
        <v>5484</v>
      </c>
      <c r="B508">
        <f>12*A508</f>
        <v>65808</v>
      </c>
    </row>
    <row r="509" spans="1:2" x14ac:dyDescent="0.25">
      <c r="A509">
        <v>5486</v>
      </c>
      <c r="B509">
        <f>12*A509</f>
        <v>65832</v>
      </c>
    </row>
    <row r="510" spans="1:2" x14ac:dyDescent="0.25">
      <c r="A510">
        <v>5487</v>
      </c>
      <c r="B510">
        <f>12*A510</f>
        <v>65844</v>
      </c>
    </row>
    <row r="511" spans="1:2" x14ac:dyDescent="0.25">
      <c r="A511">
        <v>5505</v>
      </c>
      <c r="B511">
        <f>12*A511</f>
        <v>66060</v>
      </c>
    </row>
    <row r="512" spans="1:2" x14ac:dyDescent="0.25">
      <c r="A512">
        <v>5538</v>
      </c>
      <c r="B512">
        <f>12*A512</f>
        <v>66456</v>
      </c>
    </row>
    <row r="513" spans="1:4" x14ac:dyDescent="0.25">
      <c r="A513">
        <v>5577</v>
      </c>
      <c r="B513">
        <f>12*A513</f>
        <v>66924</v>
      </c>
    </row>
    <row r="514" spans="1:4" x14ac:dyDescent="0.25">
      <c r="A514">
        <v>5593</v>
      </c>
      <c r="B514">
        <f>12*A514</f>
        <v>67116</v>
      </c>
    </row>
    <row r="515" spans="1:4" x14ac:dyDescent="0.25">
      <c r="A515">
        <v>5605</v>
      </c>
      <c r="B515">
        <f>12*A515</f>
        <v>67260</v>
      </c>
      <c r="C515" s="15"/>
      <c r="D515" s="15"/>
    </row>
    <row r="516" spans="1:4" x14ac:dyDescent="0.25">
      <c r="A516">
        <v>5647</v>
      </c>
      <c r="B516">
        <f>12*A516</f>
        <v>67764</v>
      </c>
    </row>
    <row r="517" spans="1:4" x14ac:dyDescent="0.25">
      <c r="A517">
        <v>5661</v>
      </c>
      <c r="B517">
        <f>12*A517</f>
        <v>67932</v>
      </c>
    </row>
    <row r="518" spans="1:4" x14ac:dyDescent="0.25">
      <c r="A518">
        <v>5673</v>
      </c>
      <c r="B518">
        <f>12*A518</f>
        <v>68076</v>
      </c>
    </row>
    <row r="519" spans="1:4" x14ac:dyDescent="0.25">
      <c r="A519">
        <v>5674</v>
      </c>
      <c r="B519">
        <f>12*A519</f>
        <v>68088</v>
      </c>
    </row>
    <row r="520" spans="1:4" x14ac:dyDescent="0.25">
      <c r="A520">
        <v>5677</v>
      </c>
      <c r="B520">
        <f>12*A520</f>
        <v>68124</v>
      </c>
    </row>
    <row r="521" spans="1:4" x14ac:dyDescent="0.25">
      <c r="A521">
        <v>5679</v>
      </c>
      <c r="B521">
        <f>12*A521</f>
        <v>68148</v>
      </c>
      <c r="C521" s="15"/>
      <c r="D521" s="15"/>
    </row>
    <row r="522" spans="1:4" x14ac:dyDescent="0.25">
      <c r="A522">
        <v>5714</v>
      </c>
      <c r="B522">
        <f>12*A522</f>
        <v>68568</v>
      </c>
    </row>
    <row r="523" spans="1:4" x14ac:dyDescent="0.25">
      <c r="A523">
        <v>5736</v>
      </c>
      <c r="B523">
        <f>12*A523</f>
        <v>68832</v>
      </c>
    </row>
    <row r="524" spans="1:4" x14ac:dyDescent="0.25">
      <c r="A524" s="15">
        <v>5744</v>
      </c>
      <c r="B524">
        <f>12*A524</f>
        <v>68928</v>
      </c>
    </row>
    <row r="525" spans="1:4" x14ac:dyDescent="0.25">
      <c r="A525">
        <v>5747</v>
      </c>
      <c r="B525">
        <f>12*A525</f>
        <v>68964</v>
      </c>
    </row>
    <row r="526" spans="1:4" x14ac:dyDescent="0.25">
      <c r="A526">
        <v>5762</v>
      </c>
      <c r="B526">
        <f>12*A526</f>
        <v>69144</v>
      </c>
    </row>
    <row r="527" spans="1:4" x14ac:dyDescent="0.25">
      <c r="A527">
        <v>5768</v>
      </c>
      <c r="B527">
        <f>12*A527</f>
        <v>69216</v>
      </c>
    </row>
    <row r="528" spans="1:4" x14ac:dyDescent="0.25">
      <c r="A528">
        <v>5769</v>
      </c>
      <c r="B528">
        <f>12*A528</f>
        <v>69228</v>
      </c>
    </row>
    <row r="529" spans="1:4" x14ac:dyDescent="0.25">
      <c r="A529">
        <v>5770</v>
      </c>
      <c r="B529">
        <f>12*A529</f>
        <v>69240</v>
      </c>
    </row>
    <row r="530" spans="1:4" x14ac:dyDescent="0.25">
      <c r="A530">
        <v>5772</v>
      </c>
      <c r="B530">
        <f>12*A530</f>
        <v>69264</v>
      </c>
    </row>
    <row r="531" spans="1:4" x14ac:dyDescent="0.25">
      <c r="A531">
        <v>5775</v>
      </c>
      <c r="B531">
        <f>12*A531</f>
        <v>69300</v>
      </c>
    </row>
    <row r="532" spans="1:4" x14ac:dyDescent="0.25">
      <c r="A532">
        <v>5810</v>
      </c>
      <c r="B532">
        <f>12*A532</f>
        <v>69720</v>
      </c>
    </row>
    <row r="533" spans="1:4" x14ac:dyDescent="0.25">
      <c r="A533">
        <v>5811</v>
      </c>
      <c r="B533">
        <f>12*A533</f>
        <v>69732</v>
      </c>
    </row>
    <row r="534" spans="1:4" x14ac:dyDescent="0.25">
      <c r="A534" s="15">
        <v>5813</v>
      </c>
      <c r="B534">
        <f>12*A534</f>
        <v>69756</v>
      </c>
    </row>
    <row r="535" spans="1:4" x14ac:dyDescent="0.25">
      <c r="A535">
        <v>5869</v>
      </c>
      <c r="B535">
        <f>12*A535</f>
        <v>70428</v>
      </c>
    </row>
    <row r="536" spans="1:4" x14ac:dyDescent="0.25">
      <c r="A536">
        <v>5878</v>
      </c>
      <c r="B536">
        <f>12*A536</f>
        <v>70536</v>
      </c>
    </row>
    <row r="537" spans="1:4" x14ac:dyDescent="0.25">
      <c r="A537">
        <v>5906</v>
      </c>
      <c r="B537">
        <f>12*A537</f>
        <v>70872</v>
      </c>
      <c r="C537" s="15"/>
      <c r="D537" s="15"/>
    </row>
    <row r="538" spans="1:4" x14ac:dyDescent="0.25">
      <c r="A538">
        <v>5914</v>
      </c>
      <c r="B538">
        <f>12*A538</f>
        <v>70968</v>
      </c>
      <c r="C538" s="15"/>
      <c r="D538" s="15"/>
    </row>
    <row r="539" spans="1:4" x14ac:dyDescent="0.25">
      <c r="A539" s="15">
        <v>5916</v>
      </c>
      <c r="B539">
        <f>12*A539</f>
        <v>70992</v>
      </c>
      <c r="C539" s="15"/>
      <c r="D539" s="15"/>
    </row>
    <row r="540" spans="1:4" x14ac:dyDescent="0.25">
      <c r="A540">
        <v>5940</v>
      </c>
      <c r="B540">
        <f>12*A540</f>
        <v>71280</v>
      </c>
    </row>
    <row r="541" spans="1:4" x14ac:dyDescent="0.25">
      <c r="A541">
        <v>5957</v>
      </c>
      <c r="B541">
        <f>12*A541</f>
        <v>71484</v>
      </c>
    </row>
    <row r="542" spans="1:4" x14ac:dyDescent="0.25">
      <c r="A542">
        <v>5968</v>
      </c>
      <c r="B542">
        <f>12*A542</f>
        <v>71616</v>
      </c>
      <c r="C542" s="15"/>
      <c r="D542" s="15"/>
    </row>
    <row r="543" spans="1:4" x14ac:dyDescent="0.25">
      <c r="A543">
        <v>5974</v>
      </c>
      <c r="B543">
        <f>12*A543</f>
        <v>71688</v>
      </c>
    </row>
    <row r="544" spans="1:4" x14ac:dyDescent="0.25">
      <c r="A544" s="15">
        <v>5993</v>
      </c>
      <c r="B544">
        <f>12*A544</f>
        <v>71916</v>
      </c>
    </row>
    <row r="545" spans="1:4" x14ac:dyDescent="0.25">
      <c r="A545">
        <v>5993</v>
      </c>
      <c r="B545">
        <f>12*A545</f>
        <v>71916</v>
      </c>
    </row>
    <row r="546" spans="1:4" x14ac:dyDescent="0.25">
      <c r="A546">
        <v>6029</v>
      </c>
      <c r="B546">
        <f>12*A546</f>
        <v>72348</v>
      </c>
    </row>
    <row r="547" spans="1:4" x14ac:dyDescent="0.25">
      <c r="A547">
        <v>6032</v>
      </c>
      <c r="B547">
        <f>12*A547</f>
        <v>72384</v>
      </c>
    </row>
    <row r="548" spans="1:4" x14ac:dyDescent="0.25">
      <c r="A548">
        <v>6062</v>
      </c>
      <c r="B548">
        <f>12*A548</f>
        <v>72744</v>
      </c>
    </row>
    <row r="549" spans="1:4" x14ac:dyDescent="0.25">
      <c r="A549" s="15">
        <v>6074</v>
      </c>
      <c r="B549">
        <f>12*A549</f>
        <v>72888</v>
      </c>
    </row>
    <row r="550" spans="1:4" x14ac:dyDescent="0.25">
      <c r="A550">
        <v>6077</v>
      </c>
      <c r="B550">
        <f>12*A550</f>
        <v>72924</v>
      </c>
    </row>
    <row r="551" spans="1:4" x14ac:dyDescent="0.25">
      <c r="A551">
        <v>6091</v>
      </c>
      <c r="B551">
        <f>12*A551</f>
        <v>73092</v>
      </c>
    </row>
    <row r="552" spans="1:4" x14ac:dyDescent="0.25">
      <c r="A552">
        <v>6120</v>
      </c>
      <c r="B552">
        <f>12*A552</f>
        <v>73440</v>
      </c>
    </row>
    <row r="553" spans="1:4" x14ac:dyDescent="0.25">
      <c r="A553">
        <v>6132</v>
      </c>
      <c r="B553">
        <f>12*A553</f>
        <v>73584</v>
      </c>
    </row>
    <row r="554" spans="1:4" x14ac:dyDescent="0.25">
      <c r="A554" s="15">
        <v>6134</v>
      </c>
      <c r="B554">
        <f>12*A554</f>
        <v>73608</v>
      </c>
    </row>
    <row r="555" spans="1:4" x14ac:dyDescent="0.25">
      <c r="A555">
        <v>6142</v>
      </c>
      <c r="B555">
        <f>12*A555</f>
        <v>73704</v>
      </c>
    </row>
    <row r="556" spans="1:4" x14ac:dyDescent="0.25">
      <c r="A556">
        <v>6142</v>
      </c>
      <c r="B556">
        <f>12*A556</f>
        <v>73704</v>
      </c>
    </row>
    <row r="557" spans="1:4" x14ac:dyDescent="0.25">
      <c r="A557">
        <v>6142</v>
      </c>
      <c r="B557">
        <f>12*A557</f>
        <v>73704</v>
      </c>
    </row>
    <row r="558" spans="1:4" x14ac:dyDescent="0.25">
      <c r="A558">
        <v>6151</v>
      </c>
      <c r="B558">
        <f>12*A558</f>
        <v>73812</v>
      </c>
    </row>
    <row r="559" spans="1:4" x14ac:dyDescent="0.25">
      <c r="A559">
        <v>6162</v>
      </c>
      <c r="B559">
        <f>12*A559</f>
        <v>73944</v>
      </c>
      <c r="C559" s="15"/>
      <c r="D559" s="15"/>
    </row>
    <row r="560" spans="1:4" x14ac:dyDescent="0.25">
      <c r="A560">
        <v>6162</v>
      </c>
      <c r="B560">
        <f>12*A560</f>
        <v>73944</v>
      </c>
      <c r="C560" s="15"/>
      <c r="D560" s="15"/>
    </row>
    <row r="561" spans="1:4" x14ac:dyDescent="0.25">
      <c r="A561" s="15">
        <v>6172</v>
      </c>
      <c r="B561">
        <f>12*A561</f>
        <v>74064</v>
      </c>
    </row>
    <row r="562" spans="1:4" x14ac:dyDescent="0.25">
      <c r="A562">
        <v>6214</v>
      </c>
      <c r="B562">
        <f>12*A562</f>
        <v>74568</v>
      </c>
    </row>
    <row r="563" spans="1:4" x14ac:dyDescent="0.25">
      <c r="A563">
        <v>6220</v>
      </c>
      <c r="B563">
        <f>12*A563</f>
        <v>74640</v>
      </c>
    </row>
    <row r="564" spans="1:4" x14ac:dyDescent="0.25">
      <c r="A564">
        <v>6230</v>
      </c>
      <c r="B564">
        <f>12*A564</f>
        <v>74760</v>
      </c>
    </row>
    <row r="565" spans="1:4" x14ac:dyDescent="0.25">
      <c r="A565">
        <v>6232</v>
      </c>
      <c r="B565">
        <f>12*A565</f>
        <v>74784</v>
      </c>
    </row>
    <row r="566" spans="1:4" x14ac:dyDescent="0.25">
      <c r="A566">
        <v>6244</v>
      </c>
      <c r="B566">
        <f>12*A566</f>
        <v>74928</v>
      </c>
    </row>
    <row r="567" spans="1:4" x14ac:dyDescent="0.25">
      <c r="A567">
        <v>6272</v>
      </c>
      <c r="B567">
        <f>12*A567</f>
        <v>75264</v>
      </c>
      <c r="C567" s="15"/>
      <c r="D567" s="15"/>
    </row>
    <row r="568" spans="1:4" x14ac:dyDescent="0.25">
      <c r="A568">
        <v>6274</v>
      </c>
      <c r="B568">
        <f>12*A568</f>
        <v>75288</v>
      </c>
    </row>
    <row r="569" spans="1:4" x14ac:dyDescent="0.25">
      <c r="A569">
        <v>6294</v>
      </c>
      <c r="B569">
        <f>12*A569</f>
        <v>75528</v>
      </c>
    </row>
    <row r="570" spans="1:4" x14ac:dyDescent="0.25">
      <c r="A570">
        <v>6306</v>
      </c>
      <c r="B570">
        <f>12*A570</f>
        <v>75672</v>
      </c>
    </row>
    <row r="571" spans="1:4" x14ac:dyDescent="0.25">
      <c r="A571">
        <v>6322</v>
      </c>
      <c r="B571">
        <f>12*A571</f>
        <v>75864</v>
      </c>
      <c r="C571" s="15"/>
      <c r="D571" s="15"/>
    </row>
    <row r="572" spans="1:4" x14ac:dyDescent="0.25">
      <c r="A572">
        <v>6323</v>
      </c>
      <c r="B572">
        <f>12*A572</f>
        <v>75876</v>
      </c>
    </row>
    <row r="573" spans="1:4" x14ac:dyDescent="0.25">
      <c r="A573">
        <v>6334</v>
      </c>
      <c r="B573">
        <f>12*A573</f>
        <v>76008</v>
      </c>
    </row>
    <row r="574" spans="1:4" x14ac:dyDescent="0.25">
      <c r="A574">
        <v>6347</v>
      </c>
      <c r="B574">
        <f>12*A574</f>
        <v>76164</v>
      </c>
    </row>
    <row r="575" spans="1:4" x14ac:dyDescent="0.25">
      <c r="A575">
        <v>6377</v>
      </c>
      <c r="B575">
        <f>12*A575</f>
        <v>76524</v>
      </c>
    </row>
    <row r="576" spans="1:4" x14ac:dyDescent="0.25">
      <c r="A576" s="15">
        <v>6380</v>
      </c>
      <c r="B576">
        <f>12*A576</f>
        <v>76560</v>
      </c>
    </row>
    <row r="577" spans="1:2" x14ac:dyDescent="0.25">
      <c r="A577">
        <v>6385</v>
      </c>
      <c r="B577">
        <f>12*A577</f>
        <v>76620</v>
      </c>
    </row>
    <row r="578" spans="1:2" x14ac:dyDescent="0.25">
      <c r="A578">
        <v>6392</v>
      </c>
      <c r="B578">
        <f>12*A578</f>
        <v>76704</v>
      </c>
    </row>
    <row r="579" spans="1:2" x14ac:dyDescent="0.25">
      <c r="A579">
        <v>6397</v>
      </c>
      <c r="B579">
        <f>12*A579</f>
        <v>76764</v>
      </c>
    </row>
    <row r="580" spans="1:2" x14ac:dyDescent="0.25">
      <c r="A580">
        <v>6465</v>
      </c>
      <c r="B580">
        <f>12*A580</f>
        <v>77580</v>
      </c>
    </row>
    <row r="581" spans="1:2" x14ac:dyDescent="0.25">
      <c r="A581">
        <v>6474</v>
      </c>
      <c r="B581">
        <f>12*A581</f>
        <v>77688</v>
      </c>
    </row>
    <row r="582" spans="1:2" x14ac:dyDescent="0.25">
      <c r="A582">
        <v>6499</v>
      </c>
      <c r="B582">
        <f>12*A582</f>
        <v>77988</v>
      </c>
    </row>
    <row r="583" spans="1:2" x14ac:dyDescent="0.25">
      <c r="A583">
        <v>6500</v>
      </c>
      <c r="B583">
        <f>12*A583</f>
        <v>78000</v>
      </c>
    </row>
    <row r="584" spans="1:2" x14ac:dyDescent="0.25">
      <c r="A584">
        <v>6500</v>
      </c>
      <c r="B584">
        <f>12*A584</f>
        <v>78000</v>
      </c>
    </row>
    <row r="585" spans="1:2" x14ac:dyDescent="0.25">
      <c r="A585">
        <v>6502</v>
      </c>
      <c r="B585">
        <f>12*A585</f>
        <v>78024</v>
      </c>
    </row>
    <row r="586" spans="1:2" x14ac:dyDescent="0.25">
      <c r="A586">
        <v>6513</v>
      </c>
      <c r="B586">
        <f>12*A586</f>
        <v>78156</v>
      </c>
    </row>
    <row r="587" spans="1:2" x14ac:dyDescent="0.25">
      <c r="A587">
        <v>6524</v>
      </c>
      <c r="B587">
        <f>12*A587</f>
        <v>78288</v>
      </c>
    </row>
    <row r="588" spans="1:2" x14ac:dyDescent="0.25">
      <c r="A588">
        <v>6538</v>
      </c>
      <c r="B588">
        <f>12*A588</f>
        <v>78456</v>
      </c>
    </row>
    <row r="589" spans="1:2" x14ac:dyDescent="0.25">
      <c r="A589">
        <v>6545</v>
      </c>
      <c r="B589">
        <f>12*A589</f>
        <v>78540</v>
      </c>
    </row>
    <row r="590" spans="1:2" x14ac:dyDescent="0.25">
      <c r="A590">
        <v>6553</v>
      </c>
      <c r="B590">
        <f>12*A590</f>
        <v>78636</v>
      </c>
    </row>
    <row r="591" spans="1:2" x14ac:dyDescent="0.25">
      <c r="A591">
        <v>6578</v>
      </c>
      <c r="B591">
        <f>12*A591</f>
        <v>78936</v>
      </c>
    </row>
    <row r="592" spans="1:2" x14ac:dyDescent="0.25">
      <c r="A592">
        <v>6582</v>
      </c>
      <c r="B592">
        <f>12*A592</f>
        <v>78984</v>
      </c>
    </row>
    <row r="593" spans="1:4" x14ac:dyDescent="0.25">
      <c r="A593">
        <v>6623</v>
      </c>
      <c r="B593">
        <f>12*A593</f>
        <v>79476</v>
      </c>
    </row>
    <row r="594" spans="1:4" x14ac:dyDescent="0.25">
      <c r="A594">
        <v>6632</v>
      </c>
      <c r="B594">
        <f>12*A594</f>
        <v>79584</v>
      </c>
      <c r="C594" s="15"/>
      <c r="D594" s="15"/>
    </row>
    <row r="595" spans="1:4" x14ac:dyDescent="0.25">
      <c r="A595">
        <v>6646</v>
      </c>
      <c r="B595">
        <f>12*A595</f>
        <v>79752</v>
      </c>
    </row>
    <row r="596" spans="1:4" x14ac:dyDescent="0.25">
      <c r="A596">
        <v>6651</v>
      </c>
      <c r="B596">
        <f>12*A596</f>
        <v>79812</v>
      </c>
    </row>
    <row r="597" spans="1:4" x14ac:dyDescent="0.25">
      <c r="A597">
        <v>6667</v>
      </c>
      <c r="B597">
        <f>12*A597</f>
        <v>80004</v>
      </c>
    </row>
    <row r="598" spans="1:4" x14ac:dyDescent="0.25">
      <c r="A598" s="15">
        <v>6673</v>
      </c>
      <c r="B598">
        <f>12*A598</f>
        <v>80076</v>
      </c>
    </row>
    <row r="599" spans="1:4" x14ac:dyDescent="0.25">
      <c r="A599">
        <v>6687</v>
      </c>
      <c r="B599">
        <f>12*A599</f>
        <v>80244</v>
      </c>
    </row>
    <row r="600" spans="1:4" x14ac:dyDescent="0.25">
      <c r="A600">
        <v>6694</v>
      </c>
      <c r="B600">
        <f>12*A600</f>
        <v>80328</v>
      </c>
    </row>
    <row r="601" spans="1:4" x14ac:dyDescent="0.25">
      <c r="A601">
        <v>6712</v>
      </c>
      <c r="B601">
        <f>12*A601</f>
        <v>80544</v>
      </c>
    </row>
    <row r="602" spans="1:4" x14ac:dyDescent="0.25">
      <c r="A602">
        <v>6725</v>
      </c>
      <c r="B602">
        <f>12*A602</f>
        <v>80700</v>
      </c>
    </row>
    <row r="603" spans="1:4" x14ac:dyDescent="0.25">
      <c r="A603" s="15">
        <v>6735</v>
      </c>
      <c r="B603">
        <f>12*A603</f>
        <v>80820</v>
      </c>
    </row>
    <row r="604" spans="1:4" x14ac:dyDescent="0.25">
      <c r="A604">
        <v>6781</v>
      </c>
      <c r="B604">
        <f>12*A604</f>
        <v>81372</v>
      </c>
    </row>
    <row r="605" spans="1:4" x14ac:dyDescent="0.25">
      <c r="A605">
        <v>6799</v>
      </c>
      <c r="B605">
        <f>12*A605</f>
        <v>81588</v>
      </c>
    </row>
    <row r="606" spans="1:4" x14ac:dyDescent="0.25">
      <c r="A606">
        <v>6804</v>
      </c>
      <c r="B606">
        <f>12*A606</f>
        <v>81648</v>
      </c>
      <c r="C606" s="15"/>
      <c r="D606" s="15"/>
    </row>
    <row r="607" spans="1:4" x14ac:dyDescent="0.25">
      <c r="A607">
        <v>6811</v>
      </c>
      <c r="B607">
        <f>12*A607</f>
        <v>81732</v>
      </c>
    </row>
    <row r="608" spans="1:4" x14ac:dyDescent="0.25">
      <c r="A608">
        <v>6815</v>
      </c>
      <c r="B608">
        <f>12*A608</f>
        <v>81780</v>
      </c>
    </row>
    <row r="609" spans="1:4" x14ac:dyDescent="0.25">
      <c r="A609">
        <v>6833</v>
      </c>
      <c r="B609">
        <f>12*A609</f>
        <v>81996</v>
      </c>
    </row>
    <row r="610" spans="1:4" x14ac:dyDescent="0.25">
      <c r="A610">
        <v>6834</v>
      </c>
      <c r="B610">
        <f>12*A610</f>
        <v>82008</v>
      </c>
    </row>
    <row r="611" spans="1:4" x14ac:dyDescent="0.25">
      <c r="A611">
        <v>6842</v>
      </c>
      <c r="B611">
        <f>12*A611</f>
        <v>82104</v>
      </c>
    </row>
    <row r="612" spans="1:4" x14ac:dyDescent="0.25">
      <c r="A612">
        <v>6854</v>
      </c>
      <c r="B612">
        <f>12*A612</f>
        <v>82248</v>
      </c>
    </row>
    <row r="613" spans="1:4" x14ac:dyDescent="0.25">
      <c r="A613">
        <v>6861</v>
      </c>
      <c r="B613">
        <f>12*A613</f>
        <v>82332</v>
      </c>
    </row>
    <row r="614" spans="1:4" x14ac:dyDescent="0.25">
      <c r="A614">
        <v>6870</v>
      </c>
      <c r="B614">
        <f>12*A614</f>
        <v>82440</v>
      </c>
      <c r="C614" s="15"/>
      <c r="D614" s="15"/>
    </row>
    <row r="615" spans="1:4" x14ac:dyDescent="0.25">
      <c r="A615">
        <v>6877</v>
      </c>
      <c r="B615">
        <f>12*A615</f>
        <v>82524</v>
      </c>
    </row>
    <row r="616" spans="1:4" x14ac:dyDescent="0.25">
      <c r="A616">
        <v>6883</v>
      </c>
      <c r="B616">
        <f>12*A616</f>
        <v>82596</v>
      </c>
    </row>
    <row r="617" spans="1:4" x14ac:dyDescent="0.25">
      <c r="A617">
        <v>6893</v>
      </c>
      <c r="B617">
        <f>12*A617</f>
        <v>82716</v>
      </c>
    </row>
    <row r="618" spans="1:4" x14ac:dyDescent="0.25">
      <c r="A618">
        <v>6929</v>
      </c>
      <c r="B618">
        <f>12*A618</f>
        <v>83148</v>
      </c>
      <c r="C618" s="15"/>
      <c r="D618" s="15"/>
    </row>
    <row r="619" spans="1:4" x14ac:dyDescent="0.25">
      <c r="A619">
        <v>6931</v>
      </c>
      <c r="B619">
        <f>12*A619</f>
        <v>83172</v>
      </c>
      <c r="C619" s="15"/>
      <c r="D619" s="15"/>
    </row>
    <row r="620" spans="1:4" x14ac:dyDescent="0.25">
      <c r="A620">
        <v>6932</v>
      </c>
      <c r="B620">
        <f>12*A620</f>
        <v>83184</v>
      </c>
    </row>
    <row r="621" spans="1:4" x14ac:dyDescent="0.25">
      <c r="A621">
        <v>6949</v>
      </c>
      <c r="B621">
        <f>12*A621</f>
        <v>83388</v>
      </c>
    </row>
    <row r="622" spans="1:4" x14ac:dyDescent="0.25">
      <c r="A622">
        <v>7083</v>
      </c>
      <c r="B622">
        <f>12*A622</f>
        <v>84996</v>
      </c>
    </row>
    <row r="623" spans="1:4" x14ac:dyDescent="0.25">
      <c r="A623">
        <v>7094</v>
      </c>
      <c r="B623">
        <f>12*A623</f>
        <v>85128</v>
      </c>
    </row>
    <row r="624" spans="1:4" x14ac:dyDescent="0.25">
      <c r="A624">
        <v>7104</v>
      </c>
      <c r="B624">
        <f>12*A624</f>
        <v>85248</v>
      </c>
      <c r="C624" s="15"/>
      <c r="D624" s="15"/>
    </row>
    <row r="625" spans="1:2" x14ac:dyDescent="0.25">
      <c r="A625">
        <v>7119</v>
      </c>
      <c r="B625">
        <f>12*A625</f>
        <v>85428</v>
      </c>
    </row>
    <row r="626" spans="1:2" x14ac:dyDescent="0.25">
      <c r="A626">
        <v>7143</v>
      </c>
      <c r="B626">
        <f>12*A626</f>
        <v>85716</v>
      </c>
    </row>
    <row r="627" spans="1:2" x14ac:dyDescent="0.25">
      <c r="A627">
        <v>7264</v>
      </c>
      <c r="B627">
        <f>12*A627</f>
        <v>87168</v>
      </c>
    </row>
    <row r="628" spans="1:2" x14ac:dyDescent="0.25">
      <c r="A628" s="15">
        <v>7314</v>
      </c>
      <c r="B628">
        <f>12*A628</f>
        <v>87768</v>
      </c>
    </row>
    <row r="629" spans="1:2" x14ac:dyDescent="0.25">
      <c r="A629" s="15">
        <v>7336</v>
      </c>
      <c r="B629">
        <f>12*A629</f>
        <v>88032</v>
      </c>
    </row>
    <row r="630" spans="1:2" x14ac:dyDescent="0.25">
      <c r="A630">
        <v>7351</v>
      </c>
      <c r="B630">
        <f>12*A630</f>
        <v>88212</v>
      </c>
    </row>
    <row r="631" spans="1:2" x14ac:dyDescent="0.25">
      <c r="A631">
        <v>7379</v>
      </c>
      <c r="B631">
        <f>12*A631</f>
        <v>88548</v>
      </c>
    </row>
    <row r="632" spans="1:2" x14ac:dyDescent="0.25">
      <c r="A632">
        <v>7403</v>
      </c>
      <c r="B632">
        <f>12*A632</f>
        <v>88836</v>
      </c>
    </row>
    <row r="633" spans="1:2" x14ac:dyDescent="0.25">
      <c r="A633">
        <v>7406</v>
      </c>
      <c r="B633">
        <f>12*A633</f>
        <v>88872</v>
      </c>
    </row>
    <row r="634" spans="1:2" x14ac:dyDescent="0.25">
      <c r="A634">
        <v>7412</v>
      </c>
      <c r="B634">
        <f>12*A634</f>
        <v>88944</v>
      </c>
    </row>
    <row r="635" spans="1:2" x14ac:dyDescent="0.25">
      <c r="A635">
        <v>7428</v>
      </c>
      <c r="B635">
        <f>12*A635</f>
        <v>89136</v>
      </c>
    </row>
    <row r="636" spans="1:2" x14ac:dyDescent="0.25">
      <c r="A636">
        <v>7525</v>
      </c>
      <c r="B636">
        <f>12*A636</f>
        <v>90300</v>
      </c>
    </row>
    <row r="637" spans="1:2" x14ac:dyDescent="0.25">
      <c r="A637">
        <v>7547</v>
      </c>
      <c r="B637">
        <f>12*A637</f>
        <v>90564</v>
      </c>
    </row>
    <row r="638" spans="1:2" x14ac:dyDescent="0.25">
      <c r="A638" s="15">
        <v>7553</v>
      </c>
      <c r="B638">
        <f>12*A638</f>
        <v>90636</v>
      </c>
    </row>
    <row r="639" spans="1:2" x14ac:dyDescent="0.25">
      <c r="A639">
        <v>7587</v>
      </c>
      <c r="B639">
        <f>12*A639</f>
        <v>91044</v>
      </c>
    </row>
    <row r="640" spans="1:2" x14ac:dyDescent="0.25">
      <c r="A640">
        <v>7625</v>
      </c>
      <c r="B640">
        <f>12*A640</f>
        <v>91500</v>
      </c>
    </row>
    <row r="641" spans="1:4" x14ac:dyDescent="0.25">
      <c r="A641">
        <v>7642</v>
      </c>
      <c r="B641">
        <f>12*A641</f>
        <v>91704</v>
      </c>
    </row>
    <row r="642" spans="1:4" x14ac:dyDescent="0.25">
      <c r="A642">
        <v>7655</v>
      </c>
      <c r="B642">
        <f>12*A642</f>
        <v>91860</v>
      </c>
    </row>
    <row r="643" spans="1:4" x14ac:dyDescent="0.25">
      <c r="A643">
        <v>7756</v>
      </c>
      <c r="B643">
        <f>12*A643</f>
        <v>93072</v>
      </c>
    </row>
    <row r="644" spans="1:4" x14ac:dyDescent="0.25">
      <c r="A644">
        <v>7756</v>
      </c>
      <c r="B644">
        <f>12*A644</f>
        <v>93072</v>
      </c>
    </row>
    <row r="645" spans="1:4" x14ac:dyDescent="0.25">
      <c r="A645">
        <v>7847</v>
      </c>
      <c r="B645">
        <f>12*A645</f>
        <v>94164</v>
      </c>
    </row>
    <row r="646" spans="1:4" x14ac:dyDescent="0.25">
      <c r="A646">
        <v>7898</v>
      </c>
      <c r="B646">
        <f>12*A646</f>
        <v>94776</v>
      </c>
      <c r="C646" s="15"/>
      <c r="D646" s="15"/>
    </row>
    <row r="647" spans="1:4" x14ac:dyDescent="0.25">
      <c r="A647">
        <v>7918</v>
      </c>
      <c r="B647">
        <f>12*A647</f>
        <v>95016</v>
      </c>
    </row>
    <row r="648" spans="1:4" x14ac:dyDescent="0.25">
      <c r="A648" s="15">
        <v>7978</v>
      </c>
      <c r="B648">
        <f>12*A648</f>
        <v>95736</v>
      </c>
    </row>
    <row r="649" spans="1:4" x14ac:dyDescent="0.25">
      <c r="A649">
        <v>7988</v>
      </c>
      <c r="B649">
        <f>12*A649</f>
        <v>95856</v>
      </c>
    </row>
    <row r="650" spans="1:4" x14ac:dyDescent="0.25">
      <c r="A650">
        <v>8008</v>
      </c>
      <c r="B650">
        <f>12*A650</f>
        <v>96096</v>
      </c>
    </row>
    <row r="651" spans="1:4" x14ac:dyDescent="0.25">
      <c r="A651">
        <v>8020</v>
      </c>
      <c r="B651">
        <f>12*A651</f>
        <v>96240</v>
      </c>
    </row>
    <row r="652" spans="1:4" x14ac:dyDescent="0.25">
      <c r="A652">
        <v>8120</v>
      </c>
      <c r="B652">
        <f>12*A652</f>
        <v>97440</v>
      </c>
      <c r="C652" s="15"/>
      <c r="D652" s="15"/>
    </row>
    <row r="653" spans="1:4" x14ac:dyDescent="0.25">
      <c r="A653" s="15">
        <v>8161</v>
      </c>
      <c r="B653">
        <f>12*A653</f>
        <v>97932</v>
      </c>
      <c r="C653" s="15"/>
      <c r="D653" s="15"/>
    </row>
    <row r="654" spans="1:4" x14ac:dyDescent="0.25">
      <c r="A654">
        <v>8189</v>
      </c>
      <c r="B654">
        <f>12*A654</f>
        <v>98268</v>
      </c>
    </row>
    <row r="655" spans="1:4" x14ac:dyDescent="0.25">
      <c r="A655" s="15">
        <v>8224</v>
      </c>
      <c r="B655">
        <f>12*A655</f>
        <v>98688</v>
      </c>
    </row>
    <row r="656" spans="1:4" x14ac:dyDescent="0.25">
      <c r="A656">
        <v>8321</v>
      </c>
      <c r="B656">
        <f>12*A656</f>
        <v>99852</v>
      </c>
    </row>
    <row r="657" spans="1:4" x14ac:dyDescent="0.25">
      <c r="A657">
        <v>8376</v>
      </c>
      <c r="B657">
        <f>12*A657</f>
        <v>100512</v>
      </c>
    </row>
    <row r="658" spans="1:4" x14ac:dyDescent="0.25">
      <c r="A658">
        <v>8380</v>
      </c>
      <c r="B658">
        <f>12*A658</f>
        <v>100560</v>
      </c>
    </row>
    <row r="659" spans="1:4" x14ac:dyDescent="0.25">
      <c r="A659">
        <v>8412</v>
      </c>
      <c r="B659">
        <f>12*A659</f>
        <v>100944</v>
      </c>
    </row>
    <row r="660" spans="1:4" x14ac:dyDescent="0.25">
      <c r="A660" s="15">
        <v>8446</v>
      </c>
      <c r="B660">
        <f>12*A660</f>
        <v>101352</v>
      </c>
    </row>
    <row r="661" spans="1:4" x14ac:dyDescent="0.25">
      <c r="A661">
        <v>8463</v>
      </c>
      <c r="B661">
        <f>12*A661</f>
        <v>101556</v>
      </c>
    </row>
    <row r="662" spans="1:4" x14ac:dyDescent="0.25">
      <c r="A662">
        <v>8500</v>
      </c>
      <c r="B662">
        <f>12*A662</f>
        <v>102000</v>
      </c>
    </row>
    <row r="663" spans="1:4" x14ac:dyDescent="0.25">
      <c r="A663">
        <v>8606</v>
      </c>
      <c r="B663">
        <f>12*A663</f>
        <v>103272</v>
      </c>
    </row>
    <row r="664" spans="1:4" x14ac:dyDescent="0.25">
      <c r="A664">
        <v>8621</v>
      </c>
      <c r="B664">
        <f>12*A664</f>
        <v>103452</v>
      </c>
    </row>
    <row r="665" spans="1:4" x14ac:dyDescent="0.25">
      <c r="A665">
        <v>8628</v>
      </c>
      <c r="B665">
        <f>12*A665</f>
        <v>103536</v>
      </c>
    </row>
    <row r="666" spans="1:4" x14ac:dyDescent="0.25">
      <c r="A666">
        <v>8639</v>
      </c>
      <c r="B666">
        <f>12*A666</f>
        <v>103668</v>
      </c>
      <c r="C666" s="15"/>
      <c r="D666" s="15"/>
    </row>
    <row r="667" spans="1:4" x14ac:dyDescent="0.25">
      <c r="A667">
        <v>8686</v>
      </c>
      <c r="B667">
        <f>12*A667</f>
        <v>104232</v>
      </c>
    </row>
    <row r="668" spans="1:4" x14ac:dyDescent="0.25">
      <c r="A668" s="15">
        <v>8722</v>
      </c>
      <c r="B668">
        <f>12*A668</f>
        <v>104664</v>
      </c>
    </row>
    <row r="669" spans="1:4" x14ac:dyDescent="0.25">
      <c r="A669">
        <v>8726</v>
      </c>
      <c r="B669">
        <f>12*A669</f>
        <v>104712</v>
      </c>
      <c r="C669" s="15"/>
      <c r="D669" s="15"/>
    </row>
    <row r="670" spans="1:4" x14ac:dyDescent="0.25">
      <c r="A670">
        <v>8740</v>
      </c>
      <c r="B670">
        <f>12*A670</f>
        <v>104880</v>
      </c>
    </row>
    <row r="671" spans="1:4" x14ac:dyDescent="0.25">
      <c r="A671">
        <v>8789</v>
      </c>
      <c r="B671">
        <f>12*A671</f>
        <v>105468</v>
      </c>
      <c r="C671" s="15"/>
      <c r="D671" s="15"/>
    </row>
    <row r="672" spans="1:4" x14ac:dyDescent="0.25">
      <c r="A672">
        <v>8793</v>
      </c>
      <c r="B672">
        <f>12*A672</f>
        <v>105516</v>
      </c>
      <c r="C672" s="15"/>
      <c r="D672" s="15"/>
    </row>
    <row r="673" spans="1:4" x14ac:dyDescent="0.25">
      <c r="A673">
        <v>8823</v>
      </c>
      <c r="B673">
        <f>12*A673</f>
        <v>105876</v>
      </c>
      <c r="C673" s="15"/>
      <c r="D673" s="15"/>
    </row>
    <row r="674" spans="1:4" x14ac:dyDescent="0.25">
      <c r="A674">
        <v>8834</v>
      </c>
      <c r="B674">
        <f>12*A674</f>
        <v>106008</v>
      </c>
    </row>
    <row r="675" spans="1:4" x14ac:dyDescent="0.25">
      <c r="A675">
        <v>8837</v>
      </c>
      <c r="B675">
        <f>12*A675</f>
        <v>106044</v>
      </c>
    </row>
    <row r="676" spans="1:4" x14ac:dyDescent="0.25">
      <c r="A676">
        <v>8847</v>
      </c>
      <c r="B676">
        <f>12*A676</f>
        <v>106164</v>
      </c>
    </row>
    <row r="677" spans="1:4" x14ac:dyDescent="0.25">
      <c r="A677">
        <v>8858</v>
      </c>
      <c r="B677">
        <f>12*A677</f>
        <v>106296</v>
      </c>
    </row>
    <row r="678" spans="1:4" x14ac:dyDescent="0.25">
      <c r="A678">
        <v>8865</v>
      </c>
      <c r="B678">
        <f>12*A678</f>
        <v>106380</v>
      </c>
    </row>
    <row r="679" spans="1:4" x14ac:dyDescent="0.25">
      <c r="A679" s="15">
        <v>8926</v>
      </c>
      <c r="B679">
        <f>12*A679</f>
        <v>107112</v>
      </c>
    </row>
    <row r="680" spans="1:4" x14ac:dyDescent="0.25">
      <c r="A680">
        <v>8943</v>
      </c>
      <c r="B680">
        <f>12*A680</f>
        <v>107316</v>
      </c>
    </row>
    <row r="681" spans="1:4" x14ac:dyDescent="0.25">
      <c r="A681">
        <v>8966</v>
      </c>
      <c r="B681">
        <f>12*A681</f>
        <v>107592</v>
      </c>
    </row>
    <row r="682" spans="1:4" x14ac:dyDescent="0.25">
      <c r="A682">
        <v>8998</v>
      </c>
      <c r="B682">
        <f>12*A682</f>
        <v>107976</v>
      </c>
    </row>
    <row r="683" spans="1:4" x14ac:dyDescent="0.25">
      <c r="A683">
        <v>9069</v>
      </c>
      <c r="B683">
        <f>12*A683</f>
        <v>108828</v>
      </c>
    </row>
    <row r="684" spans="1:4" x14ac:dyDescent="0.25">
      <c r="A684">
        <v>9208</v>
      </c>
      <c r="B684">
        <f>12*A684</f>
        <v>110496</v>
      </c>
    </row>
    <row r="685" spans="1:4" x14ac:dyDescent="0.25">
      <c r="A685">
        <v>9241</v>
      </c>
      <c r="B685">
        <f>12*A685</f>
        <v>110892</v>
      </c>
      <c r="C685" s="15"/>
      <c r="D685" s="15"/>
    </row>
    <row r="686" spans="1:4" x14ac:dyDescent="0.25">
      <c r="A686">
        <v>9362</v>
      </c>
      <c r="B686">
        <f>12*A686</f>
        <v>112344</v>
      </c>
    </row>
    <row r="687" spans="1:4" x14ac:dyDescent="0.25">
      <c r="A687">
        <v>9380</v>
      </c>
      <c r="B687">
        <f>12*A687</f>
        <v>112560</v>
      </c>
    </row>
    <row r="688" spans="1:4" x14ac:dyDescent="0.25">
      <c r="A688">
        <v>9434</v>
      </c>
      <c r="B688">
        <f>12*A688</f>
        <v>113208</v>
      </c>
    </row>
    <row r="689" spans="1:4" x14ac:dyDescent="0.25">
      <c r="A689">
        <v>9439</v>
      </c>
      <c r="B689">
        <f>12*A689</f>
        <v>113268</v>
      </c>
      <c r="C689" s="15"/>
      <c r="D689" s="15"/>
    </row>
    <row r="690" spans="1:4" x14ac:dyDescent="0.25">
      <c r="A690">
        <v>9525</v>
      </c>
      <c r="B690">
        <f>12*A690</f>
        <v>114300</v>
      </c>
      <c r="C690" s="15"/>
      <c r="D690" s="15"/>
    </row>
    <row r="691" spans="1:4" x14ac:dyDescent="0.25">
      <c r="A691">
        <v>9547</v>
      </c>
      <c r="B691">
        <f>12*A691</f>
        <v>114564</v>
      </c>
      <c r="C691" s="15"/>
      <c r="D691" s="15"/>
    </row>
    <row r="692" spans="1:4" x14ac:dyDescent="0.25">
      <c r="A692" s="15">
        <v>9582</v>
      </c>
      <c r="B692">
        <f>12*A692</f>
        <v>114984</v>
      </c>
    </row>
    <row r="693" spans="1:4" x14ac:dyDescent="0.25">
      <c r="A693">
        <v>9602</v>
      </c>
      <c r="B693">
        <f>12*A693</f>
        <v>115224</v>
      </c>
      <c r="C693" s="15"/>
      <c r="D693" s="15"/>
    </row>
    <row r="694" spans="1:4" x14ac:dyDescent="0.25">
      <c r="A694">
        <v>9613</v>
      </c>
      <c r="B694">
        <f>12*A694</f>
        <v>115356</v>
      </c>
      <c r="C694" s="15"/>
      <c r="D694" s="15"/>
    </row>
    <row r="695" spans="1:4" x14ac:dyDescent="0.25">
      <c r="A695">
        <v>9637</v>
      </c>
      <c r="B695">
        <f>12*A695</f>
        <v>115644</v>
      </c>
    </row>
    <row r="696" spans="1:4" x14ac:dyDescent="0.25">
      <c r="A696">
        <v>9679</v>
      </c>
      <c r="B696">
        <f>12*A696</f>
        <v>116148</v>
      </c>
    </row>
    <row r="697" spans="1:4" x14ac:dyDescent="0.25">
      <c r="A697">
        <v>9699</v>
      </c>
      <c r="B697">
        <f>12*A697</f>
        <v>116388</v>
      </c>
    </row>
    <row r="698" spans="1:4" x14ac:dyDescent="0.25">
      <c r="A698">
        <v>9705</v>
      </c>
      <c r="B698">
        <f>12*A698</f>
        <v>116460</v>
      </c>
      <c r="C698" s="15"/>
      <c r="D698" s="15"/>
    </row>
    <row r="699" spans="1:4" x14ac:dyDescent="0.25">
      <c r="A699">
        <v>9713</v>
      </c>
      <c r="B699">
        <f>12*A699</f>
        <v>116556</v>
      </c>
      <c r="C699" s="15"/>
      <c r="D699" s="15"/>
    </row>
    <row r="700" spans="1:4" x14ac:dyDescent="0.25">
      <c r="A700" s="15">
        <v>9714</v>
      </c>
      <c r="B700">
        <f>12*A700</f>
        <v>116568</v>
      </c>
    </row>
    <row r="701" spans="1:4" x14ac:dyDescent="0.25">
      <c r="A701">
        <v>9724</v>
      </c>
      <c r="B701">
        <f>12*A701</f>
        <v>116688</v>
      </c>
    </row>
    <row r="702" spans="1:4" x14ac:dyDescent="0.25">
      <c r="A702">
        <v>9738</v>
      </c>
      <c r="B702">
        <f>12*A702</f>
        <v>116856</v>
      </c>
    </row>
    <row r="703" spans="1:4" x14ac:dyDescent="0.25">
      <c r="A703">
        <v>9824</v>
      </c>
      <c r="B703">
        <f>12*A703</f>
        <v>117888</v>
      </c>
    </row>
    <row r="704" spans="1:4" x14ac:dyDescent="0.25">
      <c r="A704" s="15">
        <v>9854</v>
      </c>
      <c r="B704">
        <f>12*A704</f>
        <v>118248</v>
      </c>
      <c r="C704" s="15"/>
      <c r="D704" s="15"/>
    </row>
    <row r="705" spans="1:4" x14ac:dyDescent="0.25">
      <c r="A705">
        <v>9888</v>
      </c>
      <c r="B705">
        <f>12*A705</f>
        <v>118656</v>
      </c>
      <c r="C705" s="15"/>
      <c r="D705" s="15"/>
    </row>
    <row r="706" spans="1:4" x14ac:dyDescent="0.25">
      <c r="A706">
        <v>9924</v>
      </c>
      <c r="B706">
        <f>12*A706</f>
        <v>119088</v>
      </c>
    </row>
    <row r="707" spans="1:4" x14ac:dyDescent="0.25">
      <c r="A707">
        <v>9957</v>
      </c>
      <c r="B707">
        <f>12*A707</f>
        <v>119484</v>
      </c>
      <c r="C707" s="15"/>
      <c r="D707" s="15"/>
    </row>
    <row r="708" spans="1:4" x14ac:dyDescent="0.25">
      <c r="A708">
        <v>9980</v>
      </c>
      <c r="B708">
        <f>12*A708</f>
        <v>119760</v>
      </c>
    </row>
    <row r="709" spans="1:4" x14ac:dyDescent="0.25">
      <c r="A709">
        <v>9985</v>
      </c>
      <c r="B709">
        <f>12*A709</f>
        <v>119820</v>
      </c>
    </row>
    <row r="710" spans="1:4" x14ac:dyDescent="0.25">
      <c r="A710">
        <v>9991</v>
      </c>
      <c r="B710">
        <f>12*A710</f>
        <v>119892</v>
      </c>
    </row>
    <row r="711" spans="1:4" x14ac:dyDescent="0.25">
      <c r="A711" s="15">
        <v>10008</v>
      </c>
      <c r="B711">
        <f>12*A711</f>
        <v>120096</v>
      </c>
    </row>
    <row r="712" spans="1:4" x14ac:dyDescent="0.25">
      <c r="A712">
        <v>10096</v>
      </c>
      <c r="B712">
        <f>12*A712</f>
        <v>121152</v>
      </c>
    </row>
    <row r="713" spans="1:4" x14ac:dyDescent="0.25">
      <c r="A713">
        <v>10124</v>
      </c>
      <c r="B713">
        <f>12*A713</f>
        <v>121488</v>
      </c>
    </row>
    <row r="714" spans="1:4" x14ac:dyDescent="0.25">
      <c r="A714">
        <v>10209</v>
      </c>
      <c r="B714">
        <f>12*A714</f>
        <v>122508</v>
      </c>
    </row>
    <row r="715" spans="1:4" x14ac:dyDescent="0.25">
      <c r="A715">
        <v>10221</v>
      </c>
      <c r="B715">
        <f>12*A715</f>
        <v>122652</v>
      </c>
    </row>
    <row r="716" spans="1:4" x14ac:dyDescent="0.25">
      <c r="A716">
        <v>10231</v>
      </c>
      <c r="B716">
        <f>12*A716</f>
        <v>122772</v>
      </c>
    </row>
    <row r="717" spans="1:4" x14ac:dyDescent="0.25">
      <c r="A717">
        <v>10248</v>
      </c>
      <c r="B717">
        <f>12*A717</f>
        <v>122976</v>
      </c>
    </row>
    <row r="718" spans="1:4" x14ac:dyDescent="0.25">
      <c r="A718">
        <v>10266</v>
      </c>
      <c r="B718">
        <f>12*A718</f>
        <v>123192</v>
      </c>
    </row>
    <row r="719" spans="1:4" x14ac:dyDescent="0.25">
      <c r="A719">
        <v>10274</v>
      </c>
      <c r="B719">
        <f>12*A719</f>
        <v>123288</v>
      </c>
    </row>
    <row r="720" spans="1:4" x14ac:dyDescent="0.25">
      <c r="A720" s="15">
        <v>10306</v>
      </c>
      <c r="B720">
        <f>12*A720</f>
        <v>123672</v>
      </c>
    </row>
    <row r="721" spans="1:2" x14ac:dyDescent="0.25">
      <c r="A721" s="15">
        <v>10312</v>
      </c>
      <c r="B721">
        <f>12*A721</f>
        <v>123744</v>
      </c>
    </row>
    <row r="722" spans="1:2" x14ac:dyDescent="0.25">
      <c r="A722" s="15">
        <v>10325</v>
      </c>
      <c r="B722">
        <f>12*A722</f>
        <v>123900</v>
      </c>
    </row>
    <row r="723" spans="1:2" x14ac:dyDescent="0.25">
      <c r="A723">
        <v>10333</v>
      </c>
      <c r="B723">
        <f>12*A723</f>
        <v>123996</v>
      </c>
    </row>
    <row r="724" spans="1:2" x14ac:dyDescent="0.25">
      <c r="A724">
        <v>10368</v>
      </c>
      <c r="B724">
        <f>12*A724</f>
        <v>124416</v>
      </c>
    </row>
    <row r="725" spans="1:2" x14ac:dyDescent="0.25">
      <c r="A725">
        <v>10377</v>
      </c>
      <c r="B725">
        <f>12*A725</f>
        <v>124524</v>
      </c>
    </row>
    <row r="726" spans="1:2" x14ac:dyDescent="0.25">
      <c r="A726" s="15">
        <v>10400</v>
      </c>
      <c r="B726">
        <f>12*A726</f>
        <v>124800</v>
      </c>
    </row>
    <row r="727" spans="1:2" x14ac:dyDescent="0.25">
      <c r="A727">
        <v>10422</v>
      </c>
      <c r="B727">
        <f>12*A727</f>
        <v>125064</v>
      </c>
    </row>
    <row r="728" spans="1:2" x14ac:dyDescent="0.25">
      <c r="A728">
        <v>10435</v>
      </c>
      <c r="B728">
        <f>12*A728</f>
        <v>125220</v>
      </c>
    </row>
    <row r="729" spans="1:2" x14ac:dyDescent="0.25">
      <c r="A729">
        <v>10445</v>
      </c>
      <c r="B729">
        <f>12*A729</f>
        <v>125340</v>
      </c>
    </row>
    <row r="730" spans="1:2" x14ac:dyDescent="0.25">
      <c r="A730">
        <v>10447</v>
      </c>
      <c r="B730">
        <f>12*A730</f>
        <v>125364</v>
      </c>
    </row>
    <row r="731" spans="1:2" x14ac:dyDescent="0.25">
      <c r="A731" s="15">
        <v>10448</v>
      </c>
      <c r="B731">
        <f>12*A731</f>
        <v>125376</v>
      </c>
    </row>
    <row r="732" spans="1:2" x14ac:dyDescent="0.25">
      <c r="A732">
        <v>10453</v>
      </c>
      <c r="B732">
        <f>12*A732</f>
        <v>125436</v>
      </c>
    </row>
    <row r="733" spans="1:2" x14ac:dyDescent="0.25">
      <c r="A733">
        <v>10527</v>
      </c>
      <c r="B733">
        <f>12*A733</f>
        <v>126324</v>
      </c>
    </row>
    <row r="734" spans="1:2" x14ac:dyDescent="0.25">
      <c r="A734">
        <v>10596</v>
      </c>
      <c r="B734">
        <f>12*A734</f>
        <v>127152</v>
      </c>
    </row>
    <row r="735" spans="1:2" x14ac:dyDescent="0.25">
      <c r="A735" s="15">
        <v>10609</v>
      </c>
      <c r="B735">
        <f>12*A735</f>
        <v>127308</v>
      </c>
    </row>
    <row r="736" spans="1:2" x14ac:dyDescent="0.25">
      <c r="A736">
        <v>10648</v>
      </c>
      <c r="B736">
        <f>12*A736</f>
        <v>127776</v>
      </c>
    </row>
    <row r="737" spans="1:4" x14ac:dyDescent="0.25">
      <c r="A737">
        <v>10739</v>
      </c>
      <c r="B737">
        <f>12*A737</f>
        <v>128868</v>
      </c>
    </row>
    <row r="738" spans="1:4" x14ac:dyDescent="0.25">
      <c r="A738">
        <v>10761</v>
      </c>
      <c r="B738">
        <f>12*A738</f>
        <v>129132</v>
      </c>
    </row>
    <row r="739" spans="1:4" x14ac:dyDescent="0.25">
      <c r="A739">
        <v>10793</v>
      </c>
      <c r="B739">
        <f>12*A739</f>
        <v>129516</v>
      </c>
    </row>
    <row r="740" spans="1:4" x14ac:dyDescent="0.25">
      <c r="A740">
        <v>10798</v>
      </c>
      <c r="B740">
        <f>12*A740</f>
        <v>129576</v>
      </c>
    </row>
    <row r="741" spans="1:4" x14ac:dyDescent="0.25">
      <c r="A741">
        <v>10820</v>
      </c>
      <c r="B741">
        <f>12*A741</f>
        <v>129840</v>
      </c>
    </row>
    <row r="742" spans="1:4" x14ac:dyDescent="0.25">
      <c r="A742">
        <v>10845</v>
      </c>
      <c r="B742">
        <f>12*A742</f>
        <v>130140</v>
      </c>
    </row>
    <row r="743" spans="1:4" x14ac:dyDescent="0.25">
      <c r="A743">
        <v>10855</v>
      </c>
      <c r="B743">
        <f>12*A743</f>
        <v>130260</v>
      </c>
    </row>
    <row r="744" spans="1:4" x14ac:dyDescent="0.25">
      <c r="A744">
        <v>10903</v>
      </c>
      <c r="B744">
        <f>12*A744</f>
        <v>130836</v>
      </c>
    </row>
    <row r="745" spans="1:4" x14ac:dyDescent="0.25">
      <c r="A745">
        <v>10920</v>
      </c>
      <c r="B745">
        <f>12*A745</f>
        <v>131040</v>
      </c>
    </row>
    <row r="746" spans="1:4" x14ac:dyDescent="0.25">
      <c r="A746">
        <v>10932</v>
      </c>
      <c r="B746">
        <f>12*A746</f>
        <v>131184</v>
      </c>
    </row>
    <row r="747" spans="1:4" x14ac:dyDescent="0.25">
      <c r="A747">
        <v>10938</v>
      </c>
      <c r="B747">
        <f>12*A747</f>
        <v>131256</v>
      </c>
    </row>
    <row r="748" spans="1:4" x14ac:dyDescent="0.25">
      <c r="A748">
        <v>10976</v>
      </c>
      <c r="B748">
        <f>12*A748</f>
        <v>131712</v>
      </c>
    </row>
    <row r="749" spans="1:4" x14ac:dyDescent="0.25">
      <c r="A749">
        <v>11031</v>
      </c>
      <c r="B749">
        <f>12*A749</f>
        <v>132372</v>
      </c>
    </row>
    <row r="750" spans="1:4" x14ac:dyDescent="0.25">
      <c r="A750">
        <v>11103</v>
      </c>
      <c r="B750">
        <f>12*A750</f>
        <v>133236</v>
      </c>
      <c r="C750" s="15"/>
      <c r="D750" s="15"/>
    </row>
    <row r="751" spans="1:4" x14ac:dyDescent="0.25">
      <c r="A751">
        <v>11245</v>
      </c>
      <c r="B751">
        <f>12*A751</f>
        <v>134940</v>
      </c>
    </row>
    <row r="752" spans="1:4" x14ac:dyDescent="0.25">
      <c r="A752">
        <v>11416</v>
      </c>
      <c r="B752">
        <f>12*A752</f>
        <v>136992</v>
      </c>
    </row>
    <row r="753" spans="1:4" x14ac:dyDescent="0.25">
      <c r="A753">
        <v>11510</v>
      </c>
      <c r="B753">
        <f>12*A753</f>
        <v>138120</v>
      </c>
    </row>
    <row r="754" spans="1:4" x14ac:dyDescent="0.25">
      <c r="A754">
        <v>11557</v>
      </c>
      <c r="B754">
        <f>12*A754</f>
        <v>138684</v>
      </c>
    </row>
    <row r="755" spans="1:4" x14ac:dyDescent="0.25">
      <c r="A755">
        <v>11691</v>
      </c>
      <c r="B755">
        <f>12*A755</f>
        <v>140292</v>
      </c>
    </row>
    <row r="756" spans="1:4" x14ac:dyDescent="0.25">
      <c r="A756">
        <v>11713</v>
      </c>
      <c r="B756">
        <f>12*A756</f>
        <v>140556</v>
      </c>
    </row>
    <row r="757" spans="1:4" x14ac:dyDescent="0.25">
      <c r="A757" s="15">
        <v>11849</v>
      </c>
      <c r="B757">
        <f>12*A757</f>
        <v>142188</v>
      </c>
    </row>
    <row r="758" spans="1:4" x14ac:dyDescent="0.25">
      <c r="A758">
        <v>11916</v>
      </c>
      <c r="B758">
        <f>12*A758</f>
        <v>142992</v>
      </c>
    </row>
    <row r="759" spans="1:4" x14ac:dyDescent="0.25">
      <c r="A759">
        <v>11935</v>
      </c>
      <c r="B759">
        <f>12*A759</f>
        <v>143220</v>
      </c>
    </row>
    <row r="760" spans="1:4" x14ac:dyDescent="0.25">
      <c r="A760">
        <v>11957</v>
      </c>
      <c r="B760">
        <f>12*A760</f>
        <v>143484</v>
      </c>
    </row>
    <row r="761" spans="1:4" x14ac:dyDescent="0.25">
      <c r="A761">
        <v>12031</v>
      </c>
      <c r="B761">
        <f>12*A761</f>
        <v>144372</v>
      </c>
    </row>
    <row r="762" spans="1:4" x14ac:dyDescent="0.25">
      <c r="A762">
        <v>12061</v>
      </c>
      <c r="B762">
        <f>12*A762</f>
        <v>144732</v>
      </c>
      <c r="C762" s="15"/>
      <c r="D762" s="15"/>
    </row>
    <row r="763" spans="1:4" x14ac:dyDescent="0.25">
      <c r="A763" s="15">
        <v>12169</v>
      </c>
      <c r="B763">
        <f>12*A763</f>
        <v>146028</v>
      </c>
    </row>
    <row r="764" spans="1:4" x14ac:dyDescent="0.25">
      <c r="A764">
        <v>12490</v>
      </c>
      <c r="B764">
        <f>12*A764</f>
        <v>149880</v>
      </c>
    </row>
    <row r="765" spans="1:4" x14ac:dyDescent="0.25">
      <c r="A765">
        <v>12504</v>
      </c>
      <c r="B765">
        <f>12*A765</f>
        <v>150048</v>
      </c>
    </row>
    <row r="766" spans="1:4" x14ac:dyDescent="0.25">
      <c r="A766">
        <v>12742</v>
      </c>
      <c r="B766">
        <f>12*A766</f>
        <v>152904</v>
      </c>
    </row>
    <row r="767" spans="1:4" x14ac:dyDescent="0.25">
      <c r="A767" s="15">
        <v>12936</v>
      </c>
      <c r="B767">
        <f>12*A767</f>
        <v>155232</v>
      </c>
    </row>
    <row r="768" spans="1:4" x14ac:dyDescent="0.25">
      <c r="A768">
        <v>13116</v>
      </c>
      <c r="B768">
        <f>12*A768</f>
        <v>157392</v>
      </c>
    </row>
    <row r="769" spans="1:4" x14ac:dyDescent="0.25">
      <c r="A769">
        <v>13120</v>
      </c>
      <c r="B769">
        <f>12*A769</f>
        <v>157440</v>
      </c>
    </row>
    <row r="770" spans="1:4" x14ac:dyDescent="0.25">
      <c r="A770">
        <v>13191</v>
      </c>
      <c r="B770">
        <f>12*A770</f>
        <v>158292</v>
      </c>
      <c r="C770" s="15"/>
      <c r="D770" s="15"/>
    </row>
    <row r="771" spans="1:4" x14ac:dyDescent="0.25">
      <c r="A771" s="15">
        <v>13194</v>
      </c>
      <c r="B771">
        <f>12*A771</f>
        <v>158328</v>
      </c>
    </row>
    <row r="772" spans="1:4" x14ac:dyDescent="0.25">
      <c r="A772">
        <v>13212</v>
      </c>
      <c r="B772">
        <f>12*A772</f>
        <v>158544</v>
      </c>
    </row>
    <row r="773" spans="1:4" x14ac:dyDescent="0.25">
      <c r="A773">
        <v>13225</v>
      </c>
      <c r="B773">
        <f>12*A773</f>
        <v>158700</v>
      </c>
    </row>
    <row r="774" spans="1:4" x14ac:dyDescent="0.25">
      <c r="A774">
        <v>13237</v>
      </c>
      <c r="B774">
        <f>12*A774</f>
        <v>158844</v>
      </c>
    </row>
    <row r="775" spans="1:4" x14ac:dyDescent="0.25">
      <c r="A775">
        <v>13245</v>
      </c>
      <c r="B775">
        <f>12*A775</f>
        <v>158940</v>
      </c>
    </row>
    <row r="776" spans="1:4" x14ac:dyDescent="0.25">
      <c r="A776">
        <v>13269</v>
      </c>
      <c r="B776">
        <f>12*A776</f>
        <v>159228</v>
      </c>
    </row>
    <row r="777" spans="1:4" x14ac:dyDescent="0.25">
      <c r="A777">
        <v>13341</v>
      </c>
      <c r="B777">
        <f>12*A777</f>
        <v>160092</v>
      </c>
    </row>
    <row r="778" spans="1:4" x14ac:dyDescent="0.25">
      <c r="A778">
        <v>13348</v>
      </c>
      <c r="B778">
        <f>12*A778</f>
        <v>160176</v>
      </c>
    </row>
    <row r="779" spans="1:4" x14ac:dyDescent="0.25">
      <c r="A779">
        <v>13402</v>
      </c>
      <c r="B779">
        <f>12*A779</f>
        <v>160824</v>
      </c>
    </row>
    <row r="780" spans="1:4" x14ac:dyDescent="0.25">
      <c r="A780">
        <v>13458</v>
      </c>
      <c r="B780">
        <f>12*A780</f>
        <v>161496</v>
      </c>
    </row>
    <row r="781" spans="1:4" x14ac:dyDescent="0.25">
      <c r="A781">
        <v>13496</v>
      </c>
      <c r="B781">
        <f>12*A781</f>
        <v>161952</v>
      </c>
    </row>
    <row r="782" spans="1:4" x14ac:dyDescent="0.25">
      <c r="A782">
        <v>13499</v>
      </c>
      <c r="B782">
        <f>12*A782</f>
        <v>161988</v>
      </c>
    </row>
    <row r="783" spans="1:4" x14ac:dyDescent="0.25">
      <c r="A783">
        <v>13549</v>
      </c>
      <c r="B783">
        <f>12*A783</f>
        <v>162588</v>
      </c>
    </row>
    <row r="784" spans="1:4" x14ac:dyDescent="0.25">
      <c r="A784">
        <v>13570</v>
      </c>
      <c r="B784">
        <f>12*A784</f>
        <v>162840</v>
      </c>
    </row>
    <row r="785" spans="1:4" x14ac:dyDescent="0.25">
      <c r="A785">
        <v>13577</v>
      </c>
      <c r="B785">
        <f>12*A785</f>
        <v>162924</v>
      </c>
    </row>
    <row r="786" spans="1:4" x14ac:dyDescent="0.25">
      <c r="A786">
        <v>13582</v>
      </c>
      <c r="B786">
        <f>12*A786</f>
        <v>162984</v>
      </c>
    </row>
    <row r="787" spans="1:4" x14ac:dyDescent="0.25">
      <c r="A787">
        <v>13603</v>
      </c>
      <c r="B787">
        <f>12*A787</f>
        <v>163236</v>
      </c>
    </row>
    <row r="788" spans="1:4" x14ac:dyDescent="0.25">
      <c r="A788">
        <v>13664</v>
      </c>
      <c r="B788">
        <f>12*A788</f>
        <v>163968</v>
      </c>
    </row>
    <row r="789" spans="1:4" x14ac:dyDescent="0.25">
      <c r="A789">
        <v>13726</v>
      </c>
      <c r="B789">
        <f>12*A789</f>
        <v>164712</v>
      </c>
    </row>
    <row r="790" spans="1:4" x14ac:dyDescent="0.25">
      <c r="A790">
        <v>13744</v>
      </c>
      <c r="B790">
        <f>12*A790</f>
        <v>164928</v>
      </c>
    </row>
    <row r="791" spans="1:4" x14ac:dyDescent="0.25">
      <c r="A791">
        <v>13757</v>
      </c>
      <c r="B791">
        <f>12*A791</f>
        <v>165084</v>
      </c>
    </row>
    <row r="792" spans="1:4" x14ac:dyDescent="0.25">
      <c r="A792">
        <v>13770</v>
      </c>
      <c r="B792">
        <f>12*A792</f>
        <v>165240</v>
      </c>
    </row>
    <row r="793" spans="1:4" x14ac:dyDescent="0.25">
      <c r="A793">
        <v>13826</v>
      </c>
      <c r="B793">
        <f>12*A793</f>
        <v>165912</v>
      </c>
    </row>
    <row r="794" spans="1:4" x14ac:dyDescent="0.25">
      <c r="A794">
        <v>13966</v>
      </c>
      <c r="B794">
        <f>12*A794</f>
        <v>167592</v>
      </c>
      <c r="C794" s="15"/>
      <c r="D794" s="15"/>
    </row>
    <row r="795" spans="1:4" x14ac:dyDescent="0.25">
      <c r="A795">
        <v>13973</v>
      </c>
      <c r="B795">
        <f>12*A795</f>
        <v>167676</v>
      </c>
      <c r="C795" s="15"/>
      <c r="D795" s="15"/>
    </row>
    <row r="796" spans="1:4" x14ac:dyDescent="0.25">
      <c r="A796">
        <v>14118</v>
      </c>
      <c r="B796">
        <f>12*A796</f>
        <v>169416</v>
      </c>
    </row>
    <row r="797" spans="1:4" x14ac:dyDescent="0.25">
      <c r="A797">
        <v>14411</v>
      </c>
      <c r="B797">
        <f>12*A797</f>
        <v>172932</v>
      </c>
    </row>
    <row r="798" spans="1:4" x14ac:dyDescent="0.25">
      <c r="A798">
        <v>14814</v>
      </c>
      <c r="B798">
        <f>12*A798</f>
        <v>177768</v>
      </c>
    </row>
    <row r="799" spans="1:4" x14ac:dyDescent="0.25">
      <c r="A799">
        <v>14852</v>
      </c>
      <c r="B799">
        <f>12*A799</f>
        <v>178224</v>
      </c>
    </row>
    <row r="800" spans="1:4" x14ac:dyDescent="0.25">
      <c r="A800">
        <v>15202</v>
      </c>
      <c r="B800">
        <f>12*A800</f>
        <v>182424</v>
      </c>
    </row>
    <row r="801" spans="1:4" x14ac:dyDescent="0.25">
      <c r="A801">
        <v>15379</v>
      </c>
      <c r="B801">
        <f>12*A801</f>
        <v>184548</v>
      </c>
      <c r="C801" s="15"/>
      <c r="D801" s="15"/>
    </row>
    <row r="802" spans="1:4" x14ac:dyDescent="0.25">
      <c r="A802">
        <v>15402</v>
      </c>
      <c r="B802">
        <f>12*A802</f>
        <v>184824</v>
      </c>
    </row>
    <row r="803" spans="1:4" x14ac:dyDescent="0.25">
      <c r="A803">
        <v>15427</v>
      </c>
      <c r="B803">
        <f>12*A803</f>
        <v>185124</v>
      </c>
    </row>
    <row r="804" spans="1:4" x14ac:dyDescent="0.25">
      <c r="A804">
        <v>15787</v>
      </c>
      <c r="B804">
        <f>12*A804</f>
        <v>189444</v>
      </c>
    </row>
    <row r="805" spans="1:4" x14ac:dyDescent="0.25">
      <c r="A805">
        <v>15972</v>
      </c>
      <c r="B805">
        <f>12*A805</f>
        <v>191664</v>
      </c>
    </row>
    <row r="806" spans="1:4" x14ac:dyDescent="0.25">
      <c r="A806">
        <v>15992</v>
      </c>
      <c r="B806">
        <f>12*A806</f>
        <v>191904</v>
      </c>
      <c r="C806" s="15"/>
      <c r="D806" s="15"/>
    </row>
    <row r="807" spans="1:4" x14ac:dyDescent="0.25">
      <c r="A807">
        <v>16032</v>
      </c>
      <c r="B807">
        <f>12*A807</f>
        <v>192384</v>
      </c>
    </row>
    <row r="808" spans="1:4" x14ac:dyDescent="0.25">
      <c r="A808">
        <v>16184</v>
      </c>
      <c r="B808">
        <f>12*A808</f>
        <v>194208</v>
      </c>
    </row>
    <row r="809" spans="1:4" x14ac:dyDescent="0.25">
      <c r="A809">
        <v>16291</v>
      </c>
      <c r="B809">
        <f>12*A809</f>
        <v>195492</v>
      </c>
      <c r="C809" s="15"/>
      <c r="D809" s="15"/>
    </row>
    <row r="810" spans="1:4" x14ac:dyDescent="0.25">
      <c r="A810">
        <v>16307</v>
      </c>
      <c r="B810">
        <f>12*A810</f>
        <v>195684</v>
      </c>
    </row>
    <row r="811" spans="1:4" x14ac:dyDescent="0.25">
      <c r="A811">
        <v>16413</v>
      </c>
      <c r="B811">
        <f>12*A811</f>
        <v>196956</v>
      </c>
    </row>
    <row r="812" spans="1:4" x14ac:dyDescent="0.25">
      <c r="A812">
        <v>16422</v>
      </c>
      <c r="B812">
        <f>12*A812</f>
        <v>197064</v>
      </c>
    </row>
    <row r="813" spans="1:4" x14ac:dyDescent="0.25">
      <c r="A813">
        <v>16437</v>
      </c>
      <c r="B813">
        <f>12*A813</f>
        <v>197244</v>
      </c>
    </row>
    <row r="814" spans="1:4" x14ac:dyDescent="0.25">
      <c r="A814">
        <v>16595</v>
      </c>
      <c r="B814">
        <f>12*A814</f>
        <v>199140</v>
      </c>
      <c r="C814" s="15"/>
      <c r="D814" s="15"/>
    </row>
    <row r="815" spans="1:4" x14ac:dyDescent="0.25">
      <c r="A815">
        <v>16598</v>
      </c>
      <c r="B815">
        <f>12*A815</f>
        <v>199176</v>
      </c>
      <c r="C815" s="15"/>
      <c r="D815" s="15"/>
    </row>
    <row r="816" spans="1:4" x14ac:dyDescent="0.25">
      <c r="A816">
        <v>16606</v>
      </c>
      <c r="B816">
        <f>12*A816</f>
        <v>199272</v>
      </c>
    </row>
    <row r="817" spans="1:4" x14ac:dyDescent="0.25">
      <c r="A817">
        <v>16627</v>
      </c>
      <c r="B817">
        <f>12*A817</f>
        <v>199524</v>
      </c>
    </row>
    <row r="818" spans="1:4" x14ac:dyDescent="0.25">
      <c r="A818">
        <v>16752</v>
      </c>
      <c r="B818">
        <f>12*A818</f>
        <v>201024</v>
      </c>
    </row>
    <row r="819" spans="1:4" x14ac:dyDescent="0.25">
      <c r="A819">
        <v>16756</v>
      </c>
      <c r="B819">
        <f>12*A819</f>
        <v>201072</v>
      </c>
    </row>
    <row r="820" spans="1:4" x14ac:dyDescent="0.25">
      <c r="A820">
        <v>16799</v>
      </c>
      <c r="B820">
        <f>12*A820</f>
        <v>201588</v>
      </c>
    </row>
    <row r="821" spans="1:4" x14ac:dyDescent="0.25">
      <c r="A821">
        <v>16872</v>
      </c>
      <c r="B821">
        <f>12*A821</f>
        <v>202464</v>
      </c>
      <c r="C821" s="15"/>
      <c r="D821" s="15"/>
    </row>
    <row r="822" spans="1:4" x14ac:dyDescent="0.25">
      <c r="A822">
        <v>16880</v>
      </c>
      <c r="B822">
        <f>12*A822</f>
        <v>202560</v>
      </c>
    </row>
    <row r="823" spans="1:4" x14ac:dyDescent="0.25">
      <c r="A823">
        <v>16959</v>
      </c>
      <c r="B823">
        <f>12*A823</f>
        <v>203508</v>
      </c>
      <c r="C823" s="15"/>
      <c r="D823" s="15"/>
    </row>
    <row r="824" spans="1:4" x14ac:dyDescent="0.25">
      <c r="A824">
        <v>17007</v>
      </c>
      <c r="B824">
        <f>12*A824</f>
        <v>204084</v>
      </c>
    </row>
    <row r="825" spans="1:4" x14ac:dyDescent="0.25">
      <c r="A825">
        <v>17068</v>
      </c>
      <c r="B825">
        <f>12*A825</f>
        <v>204816</v>
      </c>
    </row>
    <row r="826" spans="1:4" x14ac:dyDescent="0.25">
      <c r="A826">
        <v>17099</v>
      </c>
      <c r="B826">
        <f>12*A826</f>
        <v>205188</v>
      </c>
    </row>
    <row r="827" spans="1:4" x14ac:dyDescent="0.25">
      <c r="A827">
        <v>17159</v>
      </c>
      <c r="B827">
        <f>12*A827</f>
        <v>205908</v>
      </c>
    </row>
    <row r="828" spans="1:4" x14ac:dyDescent="0.25">
      <c r="A828">
        <v>17169</v>
      </c>
      <c r="B828">
        <f>12*A828</f>
        <v>206028</v>
      </c>
    </row>
    <row r="829" spans="1:4" x14ac:dyDescent="0.25">
      <c r="A829">
        <v>17174</v>
      </c>
      <c r="B829">
        <f>12*A829</f>
        <v>206088</v>
      </c>
    </row>
    <row r="830" spans="1:4" x14ac:dyDescent="0.25">
      <c r="A830">
        <v>17567</v>
      </c>
      <c r="B830">
        <f>12*A830</f>
        <v>210804</v>
      </c>
    </row>
    <row r="831" spans="1:4" x14ac:dyDescent="0.25">
      <c r="A831">
        <v>17665</v>
      </c>
      <c r="B831">
        <f>12*A831</f>
        <v>211980</v>
      </c>
    </row>
    <row r="832" spans="1:4" x14ac:dyDescent="0.25">
      <c r="A832">
        <v>17779</v>
      </c>
      <c r="B832">
        <f>12*A832</f>
        <v>213348</v>
      </c>
    </row>
    <row r="833" spans="1:4" x14ac:dyDescent="0.25">
      <c r="A833">
        <v>17861</v>
      </c>
      <c r="B833">
        <f>12*A833</f>
        <v>214332</v>
      </c>
    </row>
    <row r="834" spans="1:4" x14ac:dyDescent="0.25">
      <c r="A834">
        <v>17924</v>
      </c>
      <c r="B834">
        <f>12*A834</f>
        <v>215088</v>
      </c>
    </row>
    <row r="835" spans="1:4" x14ac:dyDescent="0.25">
      <c r="A835">
        <v>18061</v>
      </c>
      <c r="B835">
        <f>12*A835</f>
        <v>216732</v>
      </c>
      <c r="C835" s="15"/>
      <c r="D835" s="15"/>
    </row>
    <row r="836" spans="1:4" x14ac:dyDescent="0.25">
      <c r="A836">
        <v>18200</v>
      </c>
      <c r="B836">
        <f>12*A836</f>
        <v>218400</v>
      </c>
    </row>
    <row r="837" spans="1:4" x14ac:dyDescent="0.25">
      <c r="A837">
        <v>18213</v>
      </c>
      <c r="B837">
        <f>12*A837</f>
        <v>218556</v>
      </c>
    </row>
    <row r="838" spans="1:4" x14ac:dyDescent="0.25">
      <c r="A838">
        <v>18300</v>
      </c>
      <c r="B838">
        <f>12*A838</f>
        <v>219600</v>
      </c>
    </row>
    <row r="839" spans="1:4" x14ac:dyDescent="0.25">
      <c r="A839">
        <v>18303</v>
      </c>
      <c r="B839">
        <f>12*A839</f>
        <v>219636</v>
      </c>
    </row>
    <row r="840" spans="1:4" x14ac:dyDescent="0.25">
      <c r="A840">
        <v>18665</v>
      </c>
      <c r="B840">
        <f>12*A840</f>
        <v>223980</v>
      </c>
    </row>
    <row r="841" spans="1:4" x14ac:dyDescent="0.25">
      <c r="A841">
        <v>18722</v>
      </c>
      <c r="B841">
        <f>12*A841</f>
        <v>224664</v>
      </c>
    </row>
    <row r="842" spans="1:4" x14ac:dyDescent="0.25">
      <c r="A842">
        <v>18789</v>
      </c>
      <c r="B842">
        <f>12*A842</f>
        <v>225468</v>
      </c>
    </row>
    <row r="843" spans="1:4" x14ac:dyDescent="0.25">
      <c r="A843" s="15">
        <v>18824</v>
      </c>
      <c r="B843">
        <f>12*A843</f>
        <v>225888</v>
      </c>
    </row>
    <row r="844" spans="1:4" x14ac:dyDescent="0.25">
      <c r="A844">
        <v>18844</v>
      </c>
      <c r="B844">
        <f>12*A844</f>
        <v>226128</v>
      </c>
      <c r="C844" s="15"/>
      <c r="D844" s="15"/>
    </row>
    <row r="845" spans="1:4" x14ac:dyDescent="0.25">
      <c r="A845">
        <v>18880</v>
      </c>
      <c r="B845">
        <f>12*A845</f>
        <v>226560</v>
      </c>
    </row>
    <row r="846" spans="1:4" x14ac:dyDescent="0.25">
      <c r="A846">
        <v>18947</v>
      </c>
      <c r="B846">
        <f>12*A846</f>
        <v>227364</v>
      </c>
    </row>
    <row r="847" spans="1:4" x14ac:dyDescent="0.25">
      <c r="A847">
        <v>19038</v>
      </c>
      <c r="B847">
        <f>12*A847</f>
        <v>228456</v>
      </c>
    </row>
    <row r="848" spans="1:4" x14ac:dyDescent="0.25">
      <c r="A848">
        <v>19049</v>
      </c>
      <c r="B848">
        <f>12*A848</f>
        <v>228588</v>
      </c>
    </row>
    <row r="849" spans="1:4" x14ac:dyDescent="0.25">
      <c r="A849">
        <v>19081</v>
      </c>
      <c r="B849">
        <f>12*A849</f>
        <v>228972</v>
      </c>
      <c r="C849" s="15"/>
      <c r="D849" s="15"/>
    </row>
    <row r="850" spans="1:4" x14ac:dyDescent="0.25">
      <c r="A850">
        <v>19144</v>
      </c>
      <c r="B850">
        <f>12*A850</f>
        <v>229728</v>
      </c>
    </row>
    <row r="851" spans="1:4" x14ac:dyDescent="0.25">
      <c r="A851">
        <v>19187</v>
      </c>
      <c r="B851">
        <f>12*A851</f>
        <v>230244</v>
      </c>
      <c r="C851" s="15"/>
      <c r="D851" s="15"/>
    </row>
    <row r="852" spans="1:4" x14ac:dyDescent="0.25">
      <c r="A852">
        <v>19189</v>
      </c>
      <c r="B852">
        <f>12*A852</f>
        <v>230268</v>
      </c>
    </row>
    <row r="853" spans="1:4" x14ac:dyDescent="0.25">
      <c r="A853">
        <v>19328</v>
      </c>
      <c r="B853">
        <f>12*A853</f>
        <v>231936</v>
      </c>
      <c r="C853" s="15"/>
      <c r="D853" s="15"/>
    </row>
    <row r="854" spans="1:4" x14ac:dyDescent="0.25">
      <c r="A854">
        <v>19392</v>
      </c>
      <c r="B854">
        <f>12*A854</f>
        <v>232704</v>
      </c>
    </row>
    <row r="855" spans="1:4" x14ac:dyDescent="0.25">
      <c r="A855">
        <v>19436</v>
      </c>
      <c r="B855">
        <f>12*A855</f>
        <v>233232</v>
      </c>
    </row>
    <row r="856" spans="1:4" x14ac:dyDescent="0.25">
      <c r="A856">
        <v>19502</v>
      </c>
      <c r="B856">
        <f>12*A856</f>
        <v>234024</v>
      </c>
    </row>
    <row r="857" spans="1:4" x14ac:dyDescent="0.25">
      <c r="A857" s="15">
        <v>19545</v>
      </c>
      <c r="B857">
        <f>12*A857</f>
        <v>234540</v>
      </c>
    </row>
    <row r="858" spans="1:4" x14ac:dyDescent="0.25">
      <c r="A858">
        <v>19613</v>
      </c>
      <c r="B858">
        <f>12*A858</f>
        <v>235356</v>
      </c>
    </row>
    <row r="859" spans="1:4" x14ac:dyDescent="0.25">
      <c r="A859">
        <v>19626</v>
      </c>
      <c r="B859">
        <f>12*A859</f>
        <v>235512</v>
      </c>
    </row>
    <row r="860" spans="1:4" x14ac:dyDescent="0.25">
      <c r="A860">
        <v>19627</v>
      </c>
      <c r="B860">
        <f>12*A860</f>
        <v>235524</v>
      </c>
    </row>
    <row r="861" spans="1:4" x14ac:dyDescent="0.25">
      <c r="A861">
        <v>19636</v>
      </c>
      <c r="B861">
        <f>12*A861</f>
        <v>235632</v>
      </c>
    </row>
    <row r="862" spans="1:4" x14ac:dyDescent="0.25">
      <c r="A862">
        <v>19658</v>
      </c>
      <c r="B862">
        <f>12*A862</f>
        <v>235896</v>
      </c>
    </row>
    <row r="863" spans="1:4" x14ac:dyDescent="0.25">
      <c r="A863">
        <v>19665</v>
      </c>
      <c r="B863">
        <f>12*A863</f>
        <v>235980</v>
      </c>
      <c r="C863" s="15"/>
      <c r="D863" s="15"/>
    </row>
    <row r="864" spans="1:4" x14ac:dyDescent="0.25">
      <c r="A864">
        <v>19701</v>
      </c>
      <c r="B864">
        <f>12*A864</f>
        <v>236412</v>
      </c>
    </row>
    <row r="865" spans="1:4" x14ac:dyDescent="0.25">
      <c r="A865">
        <v>19717</v>
      </c>
      <c r="B865">
        <f>12*A865</f>
        <v>236604</v>
      </c>
      <c r="C865" s="15"/>
      <c r="D865" s="15"/>
    </row>
    <row r="866" spans="1:4" x14ac:dyDescent="0.25">
      <c r="A866">
        <v>19833</v>
      </c>
      <c r="B866">
        <f>12*A866</f>
        <v>237996</v>
      </c>
    </row>
    <row r="867" spans="1:4" x14ac:dyDescent="0.25">
      <c r="A867" s="15">
        <v>19845</v>
      </c>
      <c r="B867">
        <f>12*A867</f>
        <v>238140</v>
      </c>
    </row>
    <row r="868" spans="1:4" x14ac:dyDescent="0.25">
      <c r="A868" s="15">
        <v>19859</v>
      </c>
      <c r="B868">
        <f>12*A868</f>
        <v>238308</v>
      </c>
    </row>
    <row r="869" spans="1:4" x14ac:dyDescent="0.25">
      <c r="A869">
        <v>19926</v>
      </c>
      <c r="B869">
        <f>12*A869</f>
        <v>239112</v>
      </c>
    </row>
    <row r="870" spans="1:4" x14ac:dyDescent="0.25">
      <c r="A870">
        <v>19943</v>
      </c>
      <c r="B870">
        <f>12*A870</f>
        <v>239316</v>
      </c>
      <c r="C870" s="15"/>
      <c r="D870" s="15"/>
    </row>
    <row r="871" spans="1:4" x14ac:dyDescent="0.25">
      <c r="A871">
        <v>19999</v>
      </c>
      <c r="B871">
        <f>12*A871</f>
        <v>239988</v>
      </c>
      <c r="C871" s="15"/>
      <c r="D871" s="15"/>
    </row>
  </sheetData>
  <sortState xmlns:xlrd2="http://schemas.microsoft.com/office/spreadsheetml/2017/richdata2" ref="A2:B871">
    <sortCondition ref="B1:B871"/>
  </sortState>
  <mergeCells count="1">
    <mergeCell ref="F1:G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79FD-3891-444C-8043-33779A1338CA}">
  <dimension ref="B1:C437"/>
  <sheetViews>
    <sheetView workbookViewId="0">
      <selection activeCell="B2" sqref="B2"/>
    </sheetView>
  </sheetViews>
  <sheetFormatPr defaultRowHeight="15" x14ac:dyDescent="0.25"/>
  <sheetData>
    <row r="1" spans="2:3" x14ac:dyDescent="0.25">
      <c r="B1" t="s">
        <v>59</v>
      </c>
      <c r="C1" t="s">
        <v>142</v>
      </c>
    </row>
    <row r="2" spans="2:3" x14ac:dyDescent="0.25">
      <c r="B2">
        <v>2835</v>
      </c>
      <c r="C2">
        <f>12*B2</f>
        <v>34020</v>
      </c>
    </row>
    <row r="3" spans="2:3" x14ac:dyDescent="0.25">
      <c r="B3">
        <v>2838</v>
      </c>
      <c r="C3">
        <f>12*B3</f>
        <v>34056</v>
      </c>
    </row>
    <row r="4" spans="2:3" x14ac:dyDescent="0.25">
      <c r="B4">
        <v>2844</v>
      </c>
      <c r="C4">
        <f>12*B4</f>
        <v>34128</v>
      </c>
    </row>
    <row r="5" spans="2:3" x14ac:dyDescent="0.25">
      <c r="B5" s="15">
        <v>2851</v>
      </c>
      <c r="C5">
        <f>12*B5</f>
        <v>34212</v>
      </c>
    </row>
    <row r="6" spans="2:3" x14ac:dyDescent="0.25">
      <c r="B6">
        <v>2858</v>
      </c>
      <c r="C6">
        <f>12*B6</f>
        <v>34296</v>
      </c>
    </row>
    <row r="7" spans="2:3" x14ac:dyDescent="0.25">
      <c r="B7">
        <v>2859</v>
      </c>
      <c r="C7">
        <f>12*B7</f>
        <v>34308</v>
      </c>
    </row>
    <row r="8" spans="2:3" x14ac:dyDescent="0.25">
      <c r="B8">
        <v>2862</v>
      </c>
      <c r="C8">
        <f>12*B8</f>
        <v>34344</v>
      </c>
    </row>
    <row r="9" spans="2:3" x14ac:dyDescent="0.25">
      <c r="B9" s="15">
        <v>2863</v>
      </c>
      <c r="C9">
        <f>12*B9</f>
        <v>34356</v>
      </c>
    </row>
    <row r="10" spans="2:3" x14ac:dyDescent="0.25">
      <c r="B10">
        <v>2867</v>
      </c>
      <c r="C10">
        <f>12*B10</f>
        <v>34404</v>
      </c>
    </row>
    <row r="11" spans="2:3" x14ac:dyDescent="0.25">
      <c r="B11">
        <v>2875</v>
      </c>
      <c r="C11">
        <f>12*B11</f>
        <v>34500</v>
      </c>
    </row>
    <row r="12" spans="2:3" x14ac:dyDescent="0.25">
      <c r="B12">
        <v>2899</v>
      </c>
      <c r="C12">
        <f>12*B12</f>
        <v>34788</v>
      </c>
    </row>
    <row r="13" spans="2:3" x14ac:dyDescent="0.25">
      <c r="B13" s="15">
        <v>2909</v>
      </c>
      <c r="C13">
        <f>12*B13</f>
        <v>34908</v>
      </c>
    </row>
    <row r="14" spans="2:3" x14ac:dyDescent="0.25">
      <c r="B14">
        <v>2911</v>
      </c>
      <c r="C14">
        <f>12*B14</f>
        <v>34932</v>
      </c>
    </row>
    <row r="15" spans="2:3" x14ac:dyDescent="0.25">
      <c r="B15" s="15">
        <v>2926</v>
      </c>
      <c r="C15">
        <f>12*B15</f>
        <v>35112</v>
      </c>
    </row>
    <row r="16" spans="2:3" x14ac:dyDescent="0.25">
      <c r="B16">
        <v>2929</v>
      </c>
      <c r="C16">
        <f>12*B16</f>
        <v>35148</v>
      </c>
    </row>
    <row r="17" spans="2:3" x14ac:dyDescent="0.25">
      <c r="B17">
        <v>2932</v>
      </c>
      <c r="C17">
        <f>12*B17</f>
        <v>35184</v>
      </c>
    </row>
    <row r="18" spans="2:3" x14ac:dyDescent="0.25">
      <c r="B18">
        <v>2942</v>
      </c>
      <c r="C18">
        <f>12*B18</f>
        <v>35304</v>
      </c>
    </row>
    <row r="19" spans="2:3" x14ac:dyDescent="0.25">
      <c r="B19">
        <v>2950</v>
      </c>
      <c r="C19">
        <f>12*B19</f>
        <v>35400</v>
      </c>
    </row>
    <row r="20" spans="2:3" x14ac:dyDescent="0.25">
      <c r="B20" s="15">
        <v>2956</v>
      </c>
      <c r="C20">
        <f>12*B20</f>
        <v>35472</v>
      </c>
    </row>
    <row r="21" spans="2:3" x14ac:dyDescent="0.25">
      <c r="B21">
        <v>2972</v>
      </c>
      <c r="C21">
        <f>12*B21</f>
        <v>35664</v>
      </c>
    </row>
    <row r="22" spans="2:3" x14ac:dyDescent="0.25">
      <c r="B22">
        <v>2973</v>
      </c>
      <c r="C22">
        <f>12*B22</f>
        <v>35676</v>
      </c>
    </row>
    <row r="23" spans="2:3" x14ac:dyDescent="0.25">
      <c r="B23">
        <v>2974</v>
      </c>
      <c r="C23">
        <f>12*B23</f>
        <v>35688</v>
      </c>
    </row>
    <row r="24" spans="2:3" x14ac:dyDescent="0.25">
      <c r="B24">
        <v>2979</v>
      </c>
      <c r="C24">
        <f>12*B24</f>
        <v>35748</v>
      </c>
    </row>
    <row r="25" spans="2:3" x14ac:dyDescent="0.25">
      <c r="B25">
        <v>2994</v>
      </c>
      <c r="C25">
        <f>12*B25</f>
        <v>35928</v>
      </c>
    </row>
    <row r="26" spans="2:3" x14ac:dyDescent="0.25">
      <c r="B26">
        <v>2996</v>
      </c>
      <c r="C26">
        <f>12*B26</f>
        <v>35952</v>
      </c>
    </row>
    <row r="27" spans="2:3" x14ac:dyDescent="0.25">
      <c r="B27">
        <v>2996</v>
      </c>
      <c r="C27">
        <f>12*B27</f>
        <v>35952</v>
      </c>
    </row>
    <row r="28" spans="2:3" x14ac:dyDescent="0.25">
      <c r="B28">
        <v>3022</v>
      </c>
      <c r="C28">
        <f>12*B28</f>
        <v>36264</v>
      </c>
    </row>
    <row r="29" spans="2:3" x14ac:dyDescent="0.25">
      <c r="B29">
        <v>3038</v>
      </c>
      <c r="C29">
        <f>12*B29</f>
        <v>36456</v>
      </c>
    </row>
    <row r="30" spans="2:3" x14ac:dyDescent="0.25">
      <c r="B30" s="15">
        <v>3041</v>
      </c>
      <c r="C30">
        <f>12*B30</f>
        <v>36492</v>
      </c>
    </row>
    <row r="31" spans="2:3" x14ac:dyDescent="0.25">
      <c r="B31">
        <v>3058</v>
      </c>
      <c r="C31">
        <f>12*B31</f>
        <v>36696</v>
      </c>
    </row>
    <row r="32" spans="2:3" x14ac:dyDescent="0.25">
      <c r="B32">
        <v>3065</v>
      </c>
      <c r="C32">
        <f>12*B32</f>
        <v>36780</v>
      </c>
    </row>
    <row r="33" spans="2:3" x14ac:dyDescent="0.25">
      <c r="B33">
        <v>3067</v>
      </c>
      <c r="C33">
        <f>12*B33</f>
        <v>36804</v>
      </c>
    </row>
    <row r="34" spans="2:3" x14ac:dyDescent="0.25">
      <c r="B34">
        <v>3072</v>
      </c>
      <c r="C34">
        <f>12*B34</f>
        <v>36864</v>
      </c>
    </row>
    <row r="35" spans="2:3" x14ac:dyDescent="0.25">
      <c r="B35">
        <v>3131</v>
      </c>
      <c r="C35">
        <f>12*B35</f>
        <v>37572</v>
      </c>
    </row>
    <row r="36" spans="2:3" x14ac:dyDescent="0.25">
      <c r="B36" s="15">
        <v>3140</v>
      </c>
      <c r="C36">
        <f>12*B36</f>
        <v>37680</v>
      </c>
    </row>
    <row r="37" spans="2:3" x14ac:dyDescent="0.25">
      <c r="B37">
        <v>3143</v>
      </c>
      <c r="C37">
        <f>12*B37</f>
        <v>37716</v>
      </c>
    </row>
    <row r="38" spans="2:3" x14ac:dyDescent="0.25">
      <c r="B38">
        <v>3162</v>
      </c>
      <c r="C38">
        <f>12*B38</f>
        <v>37944</v>
      </c>
    </row>
    <row r="39" spans="2:3" x14ac:dyDescent="0.25">
      <c r="B39">
        <v>3162</v>
      </c>
      <c r="C39">
        <f>12*B39</f>
        <v>37944</v>
      </c>
    </row>
    <row r="40" spans="2:3" x14ac:dyDescent="0.25">
      <c r="B40">
        <v>3180</v>
      </c>
      <c r="C40">
        <f>12*B40</f>
        <v>38160</v>
      </c>
    </row>
    <row r="41" spans="2:3" x14ac:dyDescent="0.25">
      <c r="B41">
        <v>3195</v>
      </c>
      <c r="C41">
        <f>12*B41</f>
        <v>38340</v>
      </c>
    </row>
    <row r="42" spans="2:3" x14ac:dyDescent="0.25">
      <c r="B42">
        <v>3196</v>
      </c>
      <c r="C42">
        <f>12*B42</f>
        <v>38352</v>
      </c>
    </row>
    <row r="43" spans="2:3" x14ac:dyDescent="0.25">
      <c r="B43" s="15">
        <v>3202</v>
      </c>
      <c r="C43">
        <f>12*B43</f>
        <v>38424</v>
      </c>
    </row>
    <row r="44" spans="2:3" x14ac:dyDescent="0.25">
      <c r="B44">
        <v>3204</v>
      </c>
      <c r="C44">
        <f>12*B44</f>
        <v>38448</v>
      </c>
    </row>
    <row r="45" spans="2:3" x14ac:dyDescent="0.25">
      <c r="B45">
        <v>3210</v>
      </c>
      <c r="C45">
        <f>12*B45</f>
        <v>38520</v>
      </c>
    </row>
    <row r="46" spans="2:3" x14ac:dyDescent="0.25">
      <c r="B46">
        <v>3211</v>
      </c>
      <c r="C46">
        <f>12*B46</f>
        <v>38532</v>
      </c>
    </row>
    <row r="47" spans="2:3" x14ac:dyDescent="0.25">
      <c r="B47">
        <v>3229</v>
      </c>
      <c r="C47">
        <f>12*B47</f>
        <v>38748</v>
      </c>
    </row>
    <row r="48" spans="2:3" x14ac:dyDescent="0.25">
      <c r="B48">
        <v>3230</v>
      </c>
      <c r="C48">
        <f>12*B48</f>
        <v>38760</v>
      </c>
    </row>
    <row r="49" spans="2:3" x14ac:dyDescent="0.25">
      <c r="B49">
        <v>3280</v>
      </c>
      <c r="C49">
        <f>12*B49</f>
        <v>39360</v>
      </c>
    </row>
    <row r="50" spans="2:3" x14ac:dyDescent="0.25">
      <c r="B50">
        <v>3294</v>
      </c>
      <c r="C50">
        <f>12*B50</f>
        <v>39528</v>
      </c>
    </row>
    <row r="51" spans="2:3" x14ac:dyDescent="0.25">
      <c r="B51">
        <v>3294</v>
      </c>
      <c r="C51">
        <f>12*B51</f>
        <v>39528</v>
      </c>
    </row>
    <row r="52" spans="2:3" x14ac:dyDescent="0.25">
      <c r="B52">
        <v>3295</v>
      </c>
      <c r="C52">
        <f>12*B52</f>
        <v>39540</v>
      </c>
    </row>
    <row r="53" spans="2:3" x14ac:dyDescent="0.25">
      <c r="B53">
        <v>3298</v>
      </c>
      <c r="C53">
        <f>12*B53</f>
        <v>39576</v>
      </c>
    </row>
    <row r="54" spans="2:3" x14ac:dyDescent="0.25">
      <c r="B54">
        <v>3306</v>
      </c>
      <c r="C54">
        <f>12*B54</f>
        <v>39672</v>
      </c>
    </row>
    <row r="55" spans="2:3" x14ac:dyDescent="0.25">
      <c r="B55">
        <v>3312</v>
      </c>
      <c r="C55">
        <f>12*B55</f>
        <v>39744</v>
      </c>
    </row>
    <row r="56" spans="2:3" x14ac:dyDescent="0.25">
      <c r="B56" s="15">
        <v>3348</v>
      </c>
      <c r="C56">
        <f>12*B56</f>
        <v>40176</v>
      </c>
    </row>
    <row r="57" spans="2:3" x14ac:dyDescent="0.25">
      <c r="B57">
        <v>3376</v>
      </c>
      <c r="C57">
        <f>12*B57</f>
        <v>40512</v>
      </c>
    </row>
    <row r="58" spans="2:3" x14ac:dyDescent="0.25">
      <c r="B58" s="15">
        <v>3388</v>
      </c>
      <c r="C58">
        <f>12*B58</f>
        <v>40656</v>
      </c>
    </row>
    <row r="59" spans="2:3" x14ac:dyDescent="0.25">
      <c r="B59" s="15">
        <v>3407</v>
      </c>
      <c r="C59">
        <f>12*B59</f>
        <v>40884</v>
      </c>
    </row>
    <row r="60" spans="2:3" x14ac:dyDescent="0.25">
      <c r="B60" s="15">
        <v>3408</v>
      </c>
      <c r="C60">
        <f>12*B60</f>
        <v>40896</v>
      </c>
    </row>
    <row r="61" spans="2:3" x14ac:dyDescent="0.25">
      <c r="B61">
        <v>3419</v>
      </c>
      <c r="C61">
        <f>12*B61</f>
        <v>41028</v>
      </c>
    </row>
    <row r="62" spans="2:3" x14ac:dyDescent="0.25">
      <c r="B62">
        <v>3420</v>
      </c>
      <c r="C62">
        <f>12*B62</f>
        <v>41040</v>
      </c>
    </row>
    <row r="63" spans="2:3" x14ac:dyDescent="0.25">
      <c r="B63">
        <v>3420</v>
      </c>
      <c r="C63">
        <f>12*B63</f>
        <v>41040</v>
      </c>
    </row>
    <row r="64" spans="2:3" x14ac:dyDescent="0.25">
      <c r="B64">
        <v>3423</v>
      </c>
      <c r="C64">
        <f>12*B64</f>
        <v>41076</v>
      </c>
    </row>
    <row r="65" spans="2:3" x14ac:dyDescent="0.25">
      <c r="B65">
        <v>3433</v>
      </c>
      <c r="C65">
        <f>12*B65</f>
        <v>41196</v>
      </c>
    </row>
    <row r="66" spans="2:3" x14ac:dyDescent="0.25">
      <c r="B66">
        <v>3448</v>
      </c>
      <c r="C66">
        <f>12*B66</f>
        <v>41376</v>
      </c>
    </row>
    <row r="67" spans="2:3" x14ac:dyDescent="0.25">
      <c r="B67">
        <v>3452</v>
      </c>
      <c r="C67">
        <f>12*B67</f>
        <v>41424</v>
      </c>
    </row>
    <row r="68" spans="2:3" x14ac:dyDescent="0.25">
      <c r="B68" s="15">
        <v>3464</v>
      </c>
      <c r="C68">
        <f>12*B68</f>
        <v>41568</v>
      </c>
    </row>
    <row r="69" spans="2:3" x14ac:dyDescent="0.25">
      <c r="B69" s="15">
        <v>3485</v>
      </c>
      <c r="C69">
        <f>12*B69</f>
        <v>41820</v>
      </c>
    </row>
    <row r="70" spans="2:3" x14ac:dyDescent="0.25">
      <c r="B70">
        <v>3491</v>
      </c>
      <c r="C70">
        <f>12*B70</f>
        <v>41892</v>
      </c>
    </row>
    <row r="71" spans="2:3" x14ac:dyDescent="0.25">
      <c r="B71">
        <v>3505</v>
      </c>
      <c r="C71">
        <f>12*B71</f>
        <v>42060</v>
      </c>
    </row>
    <row r="72" spans="2:3" x14ac:dyDescent="0.25">
      <c r="B72">
        <v>3517</v>
      </c>
      <c r="C72">
        <f>12*B72</f>
        <v>42204</v>
      </c>
    </row>
    <row r="73" spans="2:3" x14ac:dyDescent="0.25">
      <c r="B73">
        <v>3537</v>
      </c>
      <c r="C73">
        <f>12*B73</f>
        <v>42444</v>
      </c>
    </row>
    <row r="74" spans="2:3" x14ac:dyDescent="0.25">
      <c r="B74">
        <v>3540</v>
      </c>
      <c r="C74">
        <f>12*B74</f>
        <v>42480</v>
      </c>
    </row>
    <row r="75" spans="2:3" x14ac:dyDescent="0.25">
      <c r="B75">
        <v>3544</v>
      </c>
      <c r="C75">
        <f>12*B75</f>
        <v>42528</v>
      </c>
    </row>
    <row r="76" spans="2:3" x14ac:dyDescent="0.25">
      <c r="B76">
        <v>3578</v>
      </c>
      <c r="C76">
        <f>12*B76</f>
        <v>42936</v>
      </c>
    </row>
    <row r="77" spans="2:3" x14ac:dyDescent="0.25">
      <c r="B77">
        <v>3597</v>
      </c>
      <c r="C77">
        <f>12*B77</f>
        <v>43164</v>
      </c>
    </row>
    <row r="78" spans="2:3" x14ac:dyDescent="0.25">
      <c r="B78">
        <v>3622</v>
      </c>
      <c r="C78">
        <f>12*B78</f>
        <v>43464</v>
      </c>
    </row>
    <row r="79" spans="2:3" x14ac:dyDescent="0.25">
      <c r="B79">
        <v>3629</v>
      </c>
      <c r="C79">
        <f>12*B79</f>
        <v>43548</v>
      </c>
    </row>
    <row r="80" spans="2:3" x14ac:dyDescent="0.25">
      <c r="B80">
        <v>3633</v>
      </c>
      <c r="C80">
        <f>12*B80</f>
        <v>43596</v>
      </c>
    </row>
    <row r="81" spans="2:3" x14ac:dyDescent="0.25">
      <c r="B81">
        <v>3660</v>
      </c>
      <c r="C81">
        <f>12*B81</f>
        <v>43920</v>
      </c>
    </row>
    <row r="82" spans="2:3" x14ac:dyDescent="0.25">
      <c r="B82">
        <v>3669</v>
      </c>
      <c r="C82">
        <f>12*B82</f>
        <v>44028</v>
      </c>
    </row>
    <row r="83" spans="2:3" x14ac:dyDescent="0.25">
      <c r="B83">
        <v>3673</v>
      </c>
      <c r="C83">
        <f>12*B83</f>
        <v>44076</v>
      </c>
    </row>
    <row r="84" spans="2:3" x14ac:dyDescent="0.25">
      <c r="B84">
        <v>3681</v>
      </c>
      <c r="C84">
        <f>12*B84</f>
        <v>44172</v>
      </c>
    </row>
    <row r="85" spans="2:3" x14ac:dyDescent="0.25">
      <c r="B85">
        <v>3688</v>
      </c>
      <c r="C85">
        <f>12*B85</f>
        <v>44256</v>
      </c>
    </row>
    <row r="86" spans="2:3" x14ac:dyDescent="0.25">
      <c r="B86">
        <v>3702</v>
      </c>
      <c r="C86">
        <f>12*B86</f>
        <v>44424</v>
      </c>
    </row>
    <row r="87" spans="2:3" x14ac:dyDescent="0.25">
      <c r="B87">
        <v>3708</v>
      </c>
      <c r="C87">
        <f>12*B87</f>
        <v>44496</v>
      </c>
    </row>
    <row r="88" spans="2:3" x14ac:dyDescent="0.25">
      <c r="B88" s="15">
        <v>3730</v>
      </c>
      <c r="C88">
        <f>12*B88</f>
        <v>44760</v>
      </c>
    </row>
    <row r="89" spans="2:3" x14ac:dyDescent="0.25">
      <c r="B89">
        <v>3737</v>
      </c>
      <c r="C89">
        <f>12*B89</f>
        <v>44844</v>
      </c>
    </row>
    <row r="90" spans="2:3" x14ac:dyDescent="0.25">
      <c r="B90" s="15">
        <v>3743</v>
      </c>
      <c r="C90">
        <f>12*B90</f>
        <v>44916</v>
      </c>
    </row>
    <row r="91" spans="2:3" x14ac:dyDescent="0.25">
      <c r="B91">
        <v>3748</v>
      </c>
      <c r="C91">
        <f>12*B91</f>
        <v>44976</v>
      </c>
    </row>
    <row r="92" spans="2:3" x14ac:dyDescent="0.25">
      <c r="B92">
        <v>3755</v>
      </c>
      <c r="C92">
        <f>12*B92</f>
        <v>45060</v>
      </c>
    </row>
    <row r="93" spans="2:3" x14ac:dyDescent="0.25">
      <c r="B93">
        <v>3760</v>
      </c>
      <c r="C93">
        <f>12*B93</f>
        <v>45120</v>
      </c>
    </row>
    <row r="94" spans="2:3" x14ac:dyDescent="0.25">
      <c r="B94">
        <v>3761</v>
      </c>
      <c r="C94">
        <f>12*B94</f>
        <v>45132</v>
      </c>
    </row>
    <row r="95" spans="2:3" x14ac:dyDescent="0.25">
      <c r="B95">
        <v>3780</v>
      </c>
      <c r="C95">
        <f>12*B95</f>
        <v>45360</v>
      </c>
    </row>
    <row r="96" spans="2:3" x14ac:dyDescent="0.25">
      <c r="B96">
        <v>3815</v>
      </c>
      <c r="C96">
        <f>12*B96</f>
        <v>45780</v>
      </c>
    </row>
    <row r="97" spans="2:3" x14ac:dyDescent="0.25">
      <c r="B97">
        <v>3833</v>
      </c>
      <c r="C97">
        <f>12*B97</f>
        <v>45996</v>
      </c>
    </row>
    <row r="98" spans="2:3" x14ac:dyDescent="0.25">
      <c r="B98">
        <v>3838</v>
      </c>
      <c r="C98">
        <f>12*B98</f>
        <v>46056</v>
      </c>
    </row>
    <row r="99" spans="2:3" x14ac:dyDescent="0.25">
      <c r="B99">
        <v>3867</v>
      </c>
      <c r="C99">
        <f>12*B99</f>
        <v>46404</v>
      </c>
    </row>
    <row r="100" spans="2:3" x14ac:dyDescent="0.25">
      <c r="B100">
        <v>3886</v>
      </c>
      <c r="C100">
        <f>12*B100</f>
        <v>46632</v>
      </c>
    </row>
    <row r="101" spans="2:3" x14ac:dyDescent="0.25">
      <c r="B101" s="15">
        <v>3894</v>
      </c>
      <c r="C101">
        <f>12*B101</f>
        <v>46728</v>
      </c>
    </row>
    <row r="102" spans="2:3" x14ac:dyDescent="0.25">
      <c r="B102">
        <v>3904</v>
      </c>
      <c r="C102">
        <f>12*B102</f>
        <v>46848</v>
      </c>
    </row>
    <row r="103" spans="2:3" x14ac:dyDescent="0.25">
      <c r="B103">
        <v>3907</v>
      </c>
      <c r="C103">
        <f>12*B103</f>
        <v>46884</v>
      </c>
    </row>
    <row r="104" spans="2:3" x14ac:dyDescent="0.25">
      <c r="B104">
        <v>3917</v>
      </c>
      <c r="C104">
        <f>12*B104</f>
        <v>47004</v>
      </c>
    </row>
    <row r="105" spans="2:3" x14ac:dyDescent="0.25">
      <c r="B105" s="15">
        <v>3919</v>
      </c>
      <c r="C105">
        <f>12*B105</f>
        <v>47028</v>
      </c>
    </row>
    <row r="106" spans="2:3" x14ac:dyDescent="0.25">
      <c r="B106">
        <v>3931</v>
      </c>
      <c r="C106">
        <f>12*B106</f>
        <v>47172</v>
      </c>
    </row>
    <row r="107" spans="2:3" x14ac:dyDescent="0.25">
      <c r="B107">
        <v>3936</v>
      </c>
      <c r="C107">
        <f>12*B107</f>
        <v>47232</v>
      </c>
    </row>
    <row r="108" spans="2:3" x14ac:dyDescent="0.25">
      <c r="B108">
        <v>3944</v>
      </c>
      <c r="C108">
        <f>12*B108</f>
        <v>47328</v>
      </c>
    </row>
    <row r="109" spans="2:3" x14ac:dyDescent="0.25">
      <c r="B109">
        <v>3968</v>
      </c>
      <c r="C109">
        <f>12*B109</f>
        <v>47616</v>
      </c>
    </row>
    <row r="110" spans="2:3" x14ac:dyDescent="0.25">
      <c r="B110">
        <v>3977</v>
      </c>
      <c r="C110">
        <f>12*B110</f>
        <v>47724</v>
      </c>
    </row>
    <row r="111" spans="2:3" x14ac:dyDescent="0.25">
      <c r="B111">
        <v>3986</v>
      </c>
      <c r="C111">
        <f>12*B111</f>
        <v>47832</v>
      </c>
    </row>
    <row r="112" spans="2:3" x14ac:dyDescent="0.25">
      <c r="B112">
        <v>4011</v>
      </c>
      <c r="C112">
        <f>12*B112</f>
        <v>48132</v>
      </c>
    </row>
    <row r="113" spans="2:3" x14ac:dyDescent="0.25">
      <c r="B113">
        <v>4014</v>
      </c>
      <c r="C113">
        <f>12*B113</f>
        <v>48168</v>
      </c>
    </row>
    <row r="114" spans="2:3" x14ac:dyDescent="0.25">
      <c r="B114">
        <v>4014</v>
      </c>
      <c r="C114">
        <f>12*B114</f>
        <v>48168</v>
      </c>
    </row>
    <row r="115" spans="2:3" x14ac:dyDescent="0.25">
      <c r="B115">
        <v>4025</v>
      </c>
      <c r="C115">
        <f>12*B115</f>
        <v>48300</v>
      </c>
    </row>
    <row r="116" spans="2:3" x14ac:dyDescent="0.25">
      <c r="B116">
        <v>4028</v>
      </c>
      <c r="C116">
        <f>12*B116</f>
        <v>48336</v>
      </c>
    </row>
    <row r="117" spans="2:3" x14ac:dyDescent="0.25">
      <c r="B117">
        <v>4033</v>
      </c>
      <c r="C117">
        <f>12*B117</f>
        <v>48396</v>
      </c>
    </row>
    <row r="118" spans="2:3" x14ac:dyDescent="0.25">
      <c r="B118">
        <v>4035</v>
      </c>
      <c r="C118">
        <f>12*B118</f>
        <v>48420</v>
      </c>
    </row>
    <row r="119" spans="2:3" x14ac:dyDescent="0.25">
      <c r="B119">
        <v>4037</v>
      </c>
      <c r="C119">
        <f>12*B119</f>
        <v>48444</v>
      </c>
    </row>
    <row r="120" spans="2:3" x14ac:dyDescent="0.25">
      <c r="B120">
        <v>4051</v>
      </c>
      <c r="C120">
        <f>12*B120</f>
        <v>48612</v>
      </c>
    </row>
    <row r="121" spans="2:3" x14ac:dyDescent="0.25">
      <c r="B121">
        <v>4069</v>
      </c>
      <c r="C121">
        <f>12*B121</f>
        <v>48828</v>
      </c>
    </row>
    <row r="122" spans="2:3" x14ac:dyDescent="0.25">
      <c r="B122">
        <v>4081</v>
      </c>
      <c r="C122">
        <f>12*B122</f>
        <v>48972</v>
      </c>
    </row>
    <row r="123" spans="2:3" x14ac:dyDescent="0.25">
      <c r="B123" s="15">
        <v>4084</v>
      </c>
      <c r="C123">
        <f>12*B123</f>
        <v>49008</v>
      </c>
    </row>
    <row r="124" spans="2:3" x14ac:dyDescent="0.25">
      <c r="B124">
        <v>4087</v>
      </c>
      <c r="C124">
        <f>12*B124</f>
        <v>49044</v>
      </c>
    </row>
    <row r="125" spans="2:3" x14ac:dyDescent="0.25">
      <c r="B125">
        <v>4115</v>
      </c>
      <c r="C125">
        <f>12*B125</f>
        <v>49380</v>
      </c>
    </row>
    <row r="126" spans="2:3" x14ac:dyDescent="0.25">
      <c r="B126">
        <v>4148</v>
      </c>
      <c r="C126">
        <f>12*B126</f>
        <v>49776</v>
      </c>
    </row>
    <row r="127" spans="2:3" x14ac:dyDescent="0.25">
      <c r="B127">
        <v>4157</v>
      </c>
      <c r="C127">
        <f>12*B127</f>
        <v>49884</v>
      </c>
    </row>
    <row r="128" spans="2:3" x14ac:dyDescent="0.25">
      <c r="B128">
        <v>4162</v>
      </c>
      <c r="C128">
        <f>12*B128</f>
        <v>49944</v>
      </c>
    </row>
    <row r="129" spans="2:3" x14ac:dyDescent="0.25">
      <c r="B129">
        <v>4163</v>
      </c>
      <c r="C129">
        <f>12*B129</f>
        <v>49956</v>
      </c>
    </row>
    <row r="130" spans="2:3" x14ac:dyDescent="0.25">
      <c r="B130">
        <v>4187</v>
      </c>
      <c r="C130">
        <f>12*B130</f>
        <v>50244</v>
      </c>
    </row>
    <row r="131" spans="2:3" x14ac:dyDescent="0.25">
      <c r="B131">
        <v>4193</v>
      </c>
      <c r="C131">
        <f>12*B131</f>
        <v>50316</v>
      </c>
    </row>
    <row r="132" spans="2:3" x14ac:dyDescent="0.25">
      <c r="B132">
        <v>4221</v>
      </c>
      <c r="C132">
        <f>12*B132</f>
        <v>50652</v>
      </c>
    </row>
    <row r="133" spans="2:3" x14ac:dyDescent="0.25">
      <c r="B133" s="15">
        <v>4233</v>
      </c>
      <c r="C133">
        <f>12*B133</f>
        <v>50796</v>
      </c>
    </row>
    <row r="134" spans="2:3" x14ac:dyDescent="0.25">
      <c r="B134">
        <v>4244</v>
      </c>
      <c r="C134">
        <f>12*B134</f>
        <v>50928</v>
      </c>
    </row>
    <row r="135" spans="2:3" x14ac:dyDescent="0.25">
      <c r="B135">
        <v>4256</v>
      </c>
      <c r="C135">
        <f>12*B135</f>
        <v>51072</v>
      </c>
    </row>
    <row r="136" spans="2:3" x14ac:dyDescent="0.25">
      <c r="B136">
        <v>4257</v>
      </c>
      <c r="C136">
        <f>12*B136</f>
        <v>51084</v>
      </c>
    </row>
    <row r="137" spans="2:3" x14ac:dyDescent="0.25">
      <c r="B137">
        <v>4258</v>
      </c>
      <c r="C137">
        <f>12*B137</f>
        <v>51096</v>
      </c>
    </row>
    <row r="138" spans="2:3" x14ac:dyDescent="0.25">
      <c r="B138">
        <v>4260</v>
      </c>
      <c r="C138">
        <f>12*B138</f>
        <v>51120</v>
      </c>
    </row>
    <row r="139" spans="2:3" x14ac:dyDescent="0.25">
      <c r="B139">
        <v>4262</v>
      </c>
      <c r="C139">
        <f>12*B139</f>
        <v>51144</v>
      </c>
    </row>
    <row r="140" spans="2:3" x14ac:dyDescent="0.25">
      <c r="B140" s="15">
        <v>4284</v>
      </c>
      <c r="C140">
        <f>12*B140</f>
        <v>51408</v>
      </c>
    </row>
    <row r="141" spans="2:3" x14ac:dyDescent="0.25">
      <c r="B141">
        <v>4285</v>
      </c>
      <c r="C141">
        <f>12*B141</f>
        <v>51420</v>
      </c>
    </row>
    <row r="142" spans="2:3" x14ac:dyDescent="0.25">
      <c r="B142" s="15">
        <v>4286</v>
      </c>
      <c r="C142">
        <f>12*B142</f>
        <v>51432</v>
      </c>
    </row>
    <row r="143" spans="2:3" x14ac:dyDescent="0.25">
      <c r="B143">
        <v>4306</v>
      </c>
      <c r="C143">
        <f>12*B143</f>
        <v>51672</v>
      </c>
    </row>
    <row r="144" spans="2:3" x14ac:dyDescent="0.25">
      <c r="B144">
        <v>4312</v>
      </c>
      <c r="C144">
        <f>12*B144</f>
        <v>51744</v>
      </c>
    </row>
    <row r="145" spans="2:3" x14ac:dyDescent="0.25">
      <c r="B145">
        <v>4319</v>
      </c>
      <c r="C145">
        <f>12*B145</f>
        <v>51828</v>
      </c>
    </row>
    <row r="146" spans="2:3" x14ac:dyDescent="0.25">
      <c r="B146">
        <v>4325</v>
      </c>
      <c r="C146">
        <f>12*B146</f>
        <v>51900</v>
      </c>
    </row>
    <row r="147" spans="2:3" x14ac:dyDescent="0.25">
      <c r="B147">
        <v>4381</v>
      </c>
      <c r="C147">
        <f>12*B147</f>
        <v>52572</v>
      </c>
    </row>
    <row r="148" spans="2:3" x14ac:dyDescent="0.25">
      <c r="B148" s="15">
        <v>4382</v>
      </c>
      <c r="C148">
        <f>12*B148</f>
        <v>52584</v>
      </c>
    </row>
    <row r="149" spans="2:3" x14ac:dyDescent="0.25">
      <c r="B149">
        <v>4385</v>
      </c>
      <c r="C149">
        <f>12*B149</f>
        <v>52620</v>
      </c>
    </row>
    <row r="150" spans="2:3" x14ac:dyDescent="0.25">
      <c r="B150">
        <v>4393</v>
      </c>
      <c r="C150">
        <f>12*B150</f>
        <v>52716</v>
      </c>
    </row>
    <row r="151" spans="2:3" x14ac:dyDescent="0.25">
      <c r="B151" s="15">
        <v>4400</v>
      </c>
      <c r="C151">
        <f>12*B151</f>
        <v>52800</v>
      </c>
    </row>
    <row r="152" spans="2:3" x14ac:dyDescent="0.25">
      <c r="B152">
        <v>4403</v>
      </c>
      <c r="C152">
        <f>12*B152</f>
        <v>52836</v>
      </c>
    </row>
    <row r="153" spans="2:3" x14ac:dyDescent="0.25">
      <c r="B153">
        <v>4420</v>
      </c>
      <c r="C153">
        <f>12*B153</f>
        <v>53040</v>
      </c>
    </row>
    <row r="154" spans="2:3" x14ac:dyDescent="0.25">
      <c r="B154">
        <v>4422</v>
      </c>
      <c r="C154">
        <f>12*B154</f>
        <v>53064</v>
      </c>
    </row>
    <row r="155" spans="2:3" x14ac:dyDescent="0.25">
      <c r="B155">
        <v>4424</v>
      </c>
      <c r="C155">
        <f>12*B155</f>
        <v>53088</v>
      </c>
    </row>
    <row r="156" spans="2:3" x14ac:dyDescent="0.25">
      <c r="B156">
        <v>4425</v>
      </c>
      <c r="C156">
        <f>12*B156</f>
        <v>53100</v>
      </c>
    </row>
    <row r="157" spans="2:3" x14ac:dyDescent="0.25">
      <c r="B157">
        <v>4434</v>
      </c>
      <c r="C157">
        <f>12*B157</f>
        <v>53208</v>
      </c>
    </row>
    <row r="158" spans="2:3" x14ac:dyDescent="0.25">
      <c r="B158">
        <v>4444</v>
      </c>
      <c r="C158">
        <f>12*B158</f>
        <v>53328</v>
      </c>
    </row>
    <row r="159" spans="2:3" x14ac:dyDescent="0.25">
      <c r="B159">
        <v>4447</v>
      </c>
      <c r="C159">
        <f>12*B159</f>
        <v>53364</v>
      </c>
    </row>
    <row r="160" spans="2:3" x14ac:dyDescent="0.25">
      <c r="B160">
        <v>4448</v>
      </c>
      <c r="C160">
        <f>12*B160</f>
        <v>53376</v>
      </c>
    </row>
    <row r="161" spans="2:3" x14ac:dyDescent="0.25">
      <c r="B161">
        <v>4449</v>
      </c>
      <c r="C161">
        <f>12*B161</f>
        <v>53388</v>
      </c>
    </row>
    <row r="162" spans="2:3" x14ac:dyDescent="0.25">
      <c r="B162">
        <v>4450</v>
      </c>
      <c r="C162">
        <f>12*B162</f>
        <v>53400</v>
      </c>
    </row>
    <row r="163" spans="2:3" x14ac:dyDescent="0.25">
      <c r="B163">
        <v>4465</v>
      </c>
      <c r="C163">
        <f>12*B163</f>
        <v>53580</v>
      </c>
    </row>
    <row r="164" spans="2:3" x14ac:dyDescent="0.25">
      <c r="B164">
        <v>4477</v>
      </c>
      <c r="C164">
        <f>12*B164</f>
        <v>53724</v>
      </c>
    </row>
    <row r="165" spans="2:3" x14ac:dyDescent="0.25">
      <c r="B165">
        <v>4478</v>
      </c>
      <c r="C165">
        <f>12*B165</f>
        <v>53736</v>
      </c>
    </row>
    <row r="166" spans="2:3" x14ac:dyDescent="0.25">
      <c r="B166">
        <v>4502</v>
      </c>
      <c r="C166">
        <f>12*B166</f>
        <v>54024</v>
      </c>
    </row>
    <row r="167" spans="2:3" x14ac:dyDescent="0.25">
      <c r="B167">
        <v>4507</v>
      </c>
      <c r="C167">
        <f>12*B167</f>
        <v>54084</v>
      </c>
    </row>
    <row r="168" spans="2:3" x14ac:dyDescent="0.25">
      <c r="B168" s="15">
        <v>4508</v>
      </c>
      <c r="C168">
        <f>12*B168</f>
        <v>54096</v>
      </c>
    </row>
    <row r="169" spans="2:3" x14ac:dyDescent="0.25">
      <c r="B169">
        <v>4523</v>
      </c>
      <c r="C169">
        <f>12*B169</f>
        <v>54276</v>
      </c>
    </row>
    <row r="170" spans="2:3" x14ac:dyDescent="0.25">
      <c r="B170">
        <v>4538</v>
      </c>
      <c r="C170">
        <f>12*B170</f>
        <v>54456</v>
      </c>
    </row>
    <row r="171" spans="2:3" x14ac:dyDescent="0.25">
      <c r="B171">
        <v>4539</v>
      </c>
      <c r="C171">
        <f>12*B171</f>
        <v>54468</v>
      </c>
    </row>
    <row r="172" spans="2:3" x14ac:dyDescent="0.25">
      <c r="B172">
        <v>4553</v>
      </c>
      <c r="C172">
        <f>12*B172</f>
        <v>54636</v>
      </c>
    </row>
    <row r="173" spans="2:3" x14ac:dyDescent="0.25">
      <c r="B173">
        <v>4554</v>
      </c>
      <c r="C173">
        <f>12*B173</f>
        <v>54648</v>
      </c>
    </row>
    <row r="174" spans="2:3" x14ac:dyDescent="0.25">
      <c r="B174">
        <v>4558</v>
      </c>
      <c r="C174">
        <f>12*B174</f>
        <v>54696</v>
      </c>
    </row>
    <row r="175" spans="2:3" x14ac:dyDescent="0.25">
      <c r="B175" s="15">
        <v>4559</v>
      </c>
      <c r="C175">
        <f>12*B175</f>
        <v>54708</v>
      </c>
    </row>
    <row r="176" spans="2:3" x14ac:dyDescent="0.25">
      <c r="B176">
        <v>4568</v>
      </c>
      <c r="C176">
        <f>12*B176</f>
        <v>54816</v>
      </c>
    </row>
    <row r="177" spans="2:3" x14ac:dyDescent="0.25">
      <c r="B177" s="15">
        <v>4581</v>
      </c>
      <c r="C177">
        <f>12*B177</f>
        <v>54972</v>
      </c>
    </row>
    <row r="178" spans="2:3" x14ac:dyDescent="0.25">
      <c r="B178">
        <v>4591</v>
      </c>
      <c r="C178">
        <f>12*B178</f>
        <v>55092</v>
      </c>
    </row>
    <row r="179" spans="2:3" x14ac:dyDescent="0.25">
      <c r="B179" s="15">
        <v>4599</v>
      </c>
      <c r="C179">
        <f>12*B179</f>
        <v>55188</v>
      </c>
    </row>
    <row r="180" spans="2:3" x14ac:dyDescent="0.25">
      <c r="B180">
        <v>4601</v>
      </c>
      <c r="C180">
        <f>12*B180</f>
        <v>55212</v>
      </c>
    </row>
    <row r="181" spans="2:3" x14ac:dyDescent="0.25">
      <c r="B181">
        <v>4615</v>
      </c>
      <c r="C181">
        <f>12*B181</f>
        <v>55380</v>
      </c>
    </row>
    <row r="182" spans="2:3" x14ac:dyDescent="0.25">
      <c r="B182">
        <v>4617</v>
      </c>
      <c r="C182">
        <f>12*B182</f>
        <v>55404</v>
      </c>
    </row>
    <row r="183" spans="2:3" x14ac:dyDescent="0.25">
      <c r="B183">
        <v>4627</v>
      </c>
      <c r="C183">
        <f>12*B183</f>
        <v>55524</v>
      </c>
    </row>
    <row r="184" spans="2:3" x14ac:dyDescent="0.25">
      <c r="B184">
        <v>4648</v>
      </c>
      <c r="C184">
        <f>12*B184</f>
        <v>55776</v>
      </c>
    </row>
    <row r="185" spans="2:3" x14ac:dyDescent="0.25">
      <c r="B185">
        <v>4649</v>
      </c>
      <c r="C185">
        <f>12*B185</f>
        <v>55788</v>
      </c>
    </row>
    <row r="186" spans="2:3" x14ac:dyDescent="0.25">
      <c r="B186">
        <v>4663</v>
      </c>
      <c r="C186">
        <f>12*B186</f>
        <v>55956</v>
      </c>
    </row>
    <row r="187" spans="2:3" x14ac:dyDescent="0.25">
      <c r="B187">
        <v>4668</v>
      </c>
      <c r="C187">
        <f>12*B187</f>
        <v>56016</v>
      </c>
    </row>
    <row r="188" spans="2:3" x14ac:dyDescent="0.25">
      <c r="B188">
        <v>4680</v>
      </c>
      <c r="C188">
        <f>12*B188</f>
        <v>56160</v>
      </c>
    </row>
    <row r="189" spans="2:3" x14ac:dyDescent="0.25">
      <c r="B189">
        <v>4682</v>
      </c>
      <c r="C189">
        <f>12*B189</f>
        <v>56184</v>
      </c>
    </row>
    <row r="190" spans="2:3" x14ac:dyDescent="0.25">
      <c r="B190" s="15">
        <v>4707</v>
      </c>
      <c r="C190">
        <f>12*B190</f>
        <v>56484</v>
      </c>
    </row>
    <row r="191" spans="2:3" x14ac:dyDescent="0.25">
      <c r="B191">
        <v>4721</v>
      </c>
      <c r="C191">
        <f>12*B191</f>
        <v>56652</v>
      </c>
    </row>
    <row r="192" spans="2:3" x14ac:dyDescent="0.25">
      <c r="B192">
        <v>4723</v>
      </c>
      <c r="C192">
        <f>12*B192</f>
        <v>56676</v>
      </c>
    </row>
    <row r="193" spans="2:3" x14ac:dyDescent="0.25">
      <c r="B193">
        <v>4724</v>
      </c>
      <c r="C193">
        <f>12*B193</f>
        <v>56688</v>
      </c>
    </row>
    <row r="194" spans="2:3" x14ac:dyDescent="0.25">
      <c r="B194" s="15">
        <v>4728</v>
      </c>
      <c r="C194">
        <f>12*B194</f>
        <v>56736</v>
      </c>
    </row>
    <row r="195" spans="2:3" x14ac:dyDescent="0.25">
      <c r="B195">
        <v>4735</v>
      </c>
      <c r="C195">
        <f>12*B195</f>
        <v>56820</v>
      </c>
    </row>
    <row r="196" spans="2:3" x14ac:dyDescent="0.25">
      <c r="B196">
        <v>4736</v>
      </c>
      <c r="C196">
        <f>12*B196</f>
        <v>56832</v>
      </c>
    </row>
    <row r="197" spans="2:3" x14ac:dyDescent="0.25">
      <c r="B197">
        <v>4739</v>
      </c>
      <c r="C197">
        <f>12*B197</f>
        <v>56868</v>
      </c>
    </row>
    <row r="198" spans="2:3" x14ac:dyDescent="0.25">
      <c r="B198">
        <v>4741</v>
      </c>
      <c r="C198">
        <f>12*B198</f>
        <v>56892</v>
      </c>
    </row>
    <row r="199" spans="2:3" x14ac:dyDescent="0.25">
      <c r="B199">
        <v>4759</v>
      </c>
      <c r="C199">
        <f>12*B199</f>
        <v>57108</v>
      </c>
    </row>
    <row r="200" spans="2:3" x14ac:dyDescent="0.25">
      <c r="B200">
        <v>4765</v>
      </c>
      <c r="C200">
        <f>12*B200</f>
        <v>57180</v>
      </c>
    </row>
    <row r="201" spans="2:3" x14ac:dyDescent="0.25">
      <c r="B201">
        <v>4766</v>
      </c>
      <c r="C201">
        <f>12*B201</f>
        <v>57192</v>
      </c>
    </row>
    <row r="202" spans="2:3" x14ac:dyDescent="0.25">
      <c r="B202">
        <v>4771</v>
      </c>
      <c r="C202">
        <f>12*B202</f>
        <v>57252</v>
      </c>
    </row>
    <row r="203" spans="2:3" x14ac:dyDescent="0.25">
      <c r="B203" s="15">
        <v>4777</v>
      </c>
      <c r="C203">
        <f>12*B203</f>
        <v>57324</v>
      </c>
    </row>
    <row r="204" spans="2:3" x14ac:dyDescent="0.25">
      <c r="B204">
        <v>4779</v>
      </c>
      <c r="C204">
        <f>12*B204</f>
        <v>57348</v>
      </c>
    </row>
    <row r="205" spans="2:3" x14ac:dyDescent="0.25">
      <c r="B205">
        <v>4779</v>
      </c>
      <c r="C205">
        <f>12*B205</f>
        <v>57348</v>
      </c>
    </row>
    <row r="206" spans="2:3" x14ac:dyDescent="0.25">
      <c r="B206" s="15">
        <v>4787</v>
      </c>
      <c r="C206">
        <f>12*B206</f>
        <v>57444</v>
      </c>
    </row>
    <row r="207" spans="2:3" x14ac:dyDescent="0.25">
      <c r="B207">
        <v>4788</v>
      </c>
      <c r="C207">
        <f>12*B207</f>
        <v>57456</v>
      </c>
    </row>
    <row r="208" spans="2:3" x14ac:dyDescent="0.25">
      <c r="B208">
        <v>4789</v>
      </c>
      <c r="C208">
        <f>12*B208</f>
        <v>57468</v>
      </c>
    </row>
    <row r="209" spans="2:3" x14ac:dyDescent="0.25">
      <c r="B209">
        <v>4810</v>
      </c>
      <c r="C209">
        <f>12*B209</f>
        <v>57720</v>
      </c>
    </row>
    <row r="210" spans="2:3" x14ac:dyDescent="0.25">
      <c r="B210">
        <v>4851</v>
      </c>
      <c r="C210">
        <f>12*B210</f>
        <v>58212</v>
      </c>
    </row>
    <row r="211" spans="2:3" x14ac:dyDescent="0.25">
      <c r="B211">
        <v>4876</v>
      </c>
      <c r="C211">
        <f>12*B211</f>
        <v>58512</v>
      </c>
    </row>
    <row r="212" spans="2:3" x14ac:dyDescent="0.25">
      <c r="B212">
        <v>4877</v>
      </c>
      <c r="C212">
        <f>12*B212</f>
        <v>58524</v>
      </c>
    </row>
    <row r="213" spans="2:3" x14ac:dyDescent="0.25">
      <c r="B213">
        <v>4878</v>
      </c>
      <c r="C213">
        <f>12*B213</f>
        <v>58536</v>
      </c>
    </row>
    <row r="214" spans="2:3" x14ac:dyDescent="0.25">
      <c r="B214" s="15">
        <v>4883</v>
      </c>
      <c r="C214">
        <f>12*B214</f>
        <v>58596</v>
      </c>
    </row>
    <row r="215" spans="2:3" x14ac:dyDescent="0.25">
      <c r="B215">
        <v>4898</v>
      </c>
      <c r="C215">
        <f>12*B215</f>
        <v>58776</v>
      </c>
    </row>
    <row r="216" spans="2:3" x14ac:dyDescent="0.25">
      <c r="B216">
        <v>4898</v>
      </c>
      <c r="C216">
        <f>12*B216</f>
        <v>58776</v>
      </c>
    </row>
    <row r="217" spans="2:3" x14ac:dyDescent="0.25">
      <c r="B217">
        <v>4907</v>
      </c>
      <c r="C217">
        <f>12*B217</f>
        <v>58884</v>
      </c>
    </row>
    <row r="218" spans="2:3" x14ac:dyDescent="0.25">
      <c r="B218">
        <v>4907</v>
      </c>
      <c r="C218">
        <f>12*B218</f>
        <v>58884</v>
      </c>
    </row>
    <row r="219" spans="2:3" x14ac:dyDescent="0.25">
      <c r="B219">
        <v>4936</v>
      </c>
      <c r="C219">
        <f>12*B219</f>
        <v>59232</v>
      </c>
    </row>
    <row r="220" spans="2:3" x14ac:dyDescent="0.25">
      <c r="B220" s="15">
        <v>4941</v>
      </c>
      <c r="C220">
        <f>12*B220</f>
        <v>59292</v>
      </c>
    </row>
    <row r="221" spans="2:3" x14ac:dyDescent="0.25">
      <c r="B221">
        <v>4950</v>
      </c>
      <c r="C221">
        <f>12*B221</f>
        <v>59400</v>
      </c>
    </row>
    <row r="222" spans="2:3" x14ac:dyDescent="0.25">
      <c r="B222">
        <v>4960</v>
      </c>
      <c r="C222">
        <f>12*B222</f>
        <v>59520</v>
      </c>
    </row>
    <row r="223" spans="2:3" x14ac:dyDescent="0.25">
      <c r="B223" s="15">
        <v>4963</v>
      </c>
      <c r="C223">
        <f>12*B223</f>
        <v>59556</v>
      </c>
    </row>
    <row r="224" spans="2:3" x14ac:dyDescent="0.25">
      <c r="B224">
        <v>4968</v>
      </c>
      <c r="C224">
        <f>12*B224</f>
        <v>59616</v>
      </c>
    </row>
    <row r="225" spans="2:3" x14ac:dyDescent="0.25">
      <c r="B225" s="15">
        <v>4969</v>
      </c>
      <c r="C225">
        <f>12*B225</f>
        <v>59628</v>
      </c>
    </row>
    <row r="226" spans="2:3" x14ac:dyDescent="0.25">
      <c r="B226">
        <v>4978</v>
      </c>
      <c r="C226">
        <f>12*B226</f>
        <v>59736</v>
      </c>
    </row>
    <row r="227" spans="2:3" x14ac:dyDescent="0.25">
      <c r="B227">
        <v>4998</v>
      </c>
      <c r="C227">
        <f>12*B227</f>
        <v>59976</v>
      </c>
    </row>
    <row r="228" spans="2:3" x14ac:dyDescent="0.25">
      <c r="B228">
        <v>4999</v>
      </c>
      <c r="C228">
        <f>12*B228</f>
        <v>59988</v>
      </c>
    </row>
    <row r="229" spans="2:3" x14ac:dyDescent="0.25">
      <c r="B229">
        <v>5006</v>
      </c>
      <c r="C229">
        <f>12*B229</f>
        <v>60072</v>
      </c>
    </row>
    <row r="230" spans="2:3" x14ac:dyDescent="0.25">
      <c r="B230">
        <v>5033</v>
      </c>
      <c r="C230">
        <f>12*B230</f>
        <v>60396</v>
      </c>
    </row>
    <row r="231" spans="2:3" x14ac:dyDescent="0.25">
      <c r="B231">
        <v>5042</v>
      </c>
      <c r="C231">
        <f>12*B231</f>
        <v>60504</v>
      </c>
    </row>
    <row r="232" spans="2:3" x14ac:dyDescent="0.25">
      <c r="B232">
        <v>5055</v>
      </c>
      <c r="C232">
        <f>12*B232</f>
        <v>60660</v>
      </c>
    </row>
    <row r="233" spans="2:3" x14ac:dyDescent="0.25">
      <c r="B233">
        <v>5056</v>
      </c>
      <c r="C233">
        <f>12*B233</f>
        <v>60672</v>
      </c>
    </row>
    <row r="234" spans="2:3" x14ac:dyDescent="0.25">
      <c r="B234">
        <v>5063</v>
      </c>
      <c r="C234">
        <f>12*B234</f>
        <v>60756</v>
      </c>
    </row>
    <row r="235" spans="2:3" x14ac:dyDescent="0.25">
      <c r="B235">
        <v>5067</v>
      </c>
      <c r="C235">
        <f>12*B235</f>
        <v>60804</v>
      </c>
    </row>
    <row r="236" spans="2:3" x14ac:dyDescent="0.25">
      <c r="B236">
        <v>5079</v>
      </c>
      <c r="C236">
        <f>12*B236</f>
        <v>60948</v>
      </c>
    </row>
    <row r="237" spans="2:3" x14ac:dyDescent="0.25">
      <c r="B237">
        <v>5087</v>
      </c>
      <c r="C237">
        <f>12*B237</f>
        <v>61044</v>
      </c>
    </row>
    <row r="238" spans="2:3" x14ac:dyDescent="0.25">
      <c r="B238">
        <v>5093</v>
      </c>
      <c r="C238">
        <f>12*B238</f>
        <v>61116</v>
      </c>
    </row>
    <row r="239" spans="2:3" x14ac:dyDescent="0.25">
      <c r="B239">
        <v>5094</v>
      </c>
      <c r="C239">
        <f>12*B239</f>
        <v>61128</v>
      </c>
    </row>
    <row r="240" spans="2:3" x14ac:dyDescent="0.25">
      <c r="B240">
        <v>5098</v>
      </c>
      <c r="C240">
        <f>12*B240</f>
        <v>61176</v>
      </c>
    </row>
    <row r="241" spans="2:3" x14ac:dyDescent="0.25">
      <c r="B241">
        <v>5126</v>
      </c>
      <c r="C241">
        <f>12*B241</f>
        <v>61512</v>
      </c>
    </row>
    <row r="242" spans="2:3" x14ac:dyDescent="0.25">
      <c r="B242">
        <v>5131</v>
      </c>
      <c r="C242">
        <f>12*B242</f>
        <v>61572</v>
      </c>
    </row>
    <row r="243" spans="2:3" x14ac:dyDescent="0.25">
      <c r="B243">
        <v>5154</v>
      </c>
      <c r="C243">
        <f>12*B243</f>
        <v>61848</v>
      </c>
    </row>
    <row r="244" spans="2:3" x14ac:dyDescent="0.25">
      <c r="B244">
        <v>5155</v>
      </c>
      <c r="C244">
        <f>12*B244</f>
        <v>61860</v>
      </c>
    </row>
    <row r="245" spans="2:3" x14ac:dyDescent="0.25">
      <c r="B245">
        <v>5163</v>
      </c>
      <c r="C245">
        <f>12*B245</f>
        <v>61956</v>
      </c>
    </row>
    <row r="246" spans="2:3" x14ac:dyDescent="0.25">
      <c r="B246">
        <v>5171</v>
      </c>
      <c r="C246">
        <f>12*B246</f>
        <v>62052</v>
      </c>
    </row>
    <row r="247" spans="2:3" x14ac:dyDescent="0.25">
      <c r="B247">
        <v>5204</v>
      </c>
      <c r="C247">
        <f>12*B247</f>
        <v>62448</v>
      </c>
    </row>
    <row r="248" spans="2:3" x14ac:dyDescent="0.25">
      <c r="B248">
        <v>5206</v>
      </c>
      <c r="C248">
        <f>12*B248</f>
        <v>62472</v>
      </c>
    </row>
    <row r="249" spans="2:3" x14ac:dyDescent="0.25">
      <c r="B249">
        <v>5207</v>
      </c>
      <c r="C249">
        <f>12*B249</f>
        <v>62484</v>
      </c>
    </row>
    <row r="250" spans="2:3" x14ac:dyDescent="0.25">
      <c r="B250">
        <v>5210</v>
      </c>
      <c r="C250">
        <f>12*B250</f>
        <v>62520</v>
      </c>
    </row>
    <row r="251" spans="2:3" x14ac:dyDescent="0.25">
      <c r="B251">
        <v>5220</v>
      </c>
      <c r="C251">
        <f>12*B251</f>
        <v>62640</v>
      </c>
    </row>
    <row r="252" spans="2:3" x14ac:dyDescent="0.25">
      <c r="B252">
        <v>5228</v>
      </c>
      <c r="C252">
        <f>12*B252</f>
        <v>62736</v>
      </c>
    </row>
    <row r="253" spans="2:3" x14ac:dyDescent="0.25">
      <c r="B253">
        <v>5237</v>
      </c>
      <c r="C253">
        <f>12*B253</f>
        <v>62844</v>
      </c>
    </row>
    <row r="254" spans="2:3" x14ac:dyDescent="0.25">
      <c r="B254" s="15">
        <v>5238</v>
      </c>
      <c r="C254">
        <f>12*B254</f>
        <v>62856</v>
      </c>
    </row>
    <row r="255" spans="2:3" x14ac:dyDescent="0.25">
      <c r="B255">
        <v>5238</v>
      </c>
      <c r="C255">
        <f>12*B255</f>
        <v>62856</v>
      </c>
    </row>
    <row r="256" spans="2:3" x14ac:dyDescent="0.25">
      <c r="B256">
        <v>5257</v>
      </c>
      <c r="C256">
        <f>12*B256</f>
        <v>63084</v>
      </c>
    </row>
    <row r="257" spans="2:3" x14ac:dyDescent="0.25">
      <c r="B257">
        <v>5258</v>
      </c>
      <c r="C257">
        <f>12*B257</f>
        <v>63096</v>
      </c>
    </row>
    <row r="258" spans="2:3" x14ac:dyDescent="0.25">
      <c r="B258">
        <v>5265</v>
      </c>
      <c r="C258">
        <f>12*B258</f>
        <v>63180</v>
      </c>
    </row>
    <row r="259" spans="2:3" x14ac:dyDescent="0.25">
      <c r="B259">
        <v>5295</v>
      </c>
      <c r="C259">
        <f>12*B259</f>
        <v>63540</v>
      </c>
    </row>
    <row r="260" spans="2:3" x14ac:dyDescent="0.25">
      <c r="B260">
        <v>5296</v>
      </c>
      <c r="C260">
        <f>12*B260</f>
        <v>63552</v>
      </c>
    </row>
    <row r="261" spans="2:3" x14ac:dyDescent="0.25">
      <c r="B261" s="15">
        <v>5304</v>
      </c>
      <c r="C261">
        <f>12*B261</f>
        <v>63648</v>
      </c>
    </row>
    <row r="262" spans="2:3" x14ac:dyDescent="0.25">
      <c r="B262">
        <v>5304</v>
      </c>
      <c r="C262">
        <f>12*B262</f>
        <v>63648</v>
      </c>
    </row>
    <row r="263" spans="2:3" x14ac:dyDescent="0.25">
      <c r="B263">
        <v>5309</v>
      </c>
      <c r="C263">
        <f>12*B263</f>
        <v>63708</v>
      </c>
    </row>
    <row r="264" spans="2:3" x14ac:dyDescent="0.25">
      <c r="B264">
        <v>5321</v>
      </c>
      <c r="C264">
        <f>12*B264</f>
        <v>63852</v>
      </c>
    </row>
    <row r="265" spans="2:3" x14ac:dyDescent="0.25">
      <c r="B265">
        <v>5329</v>
      </c>
      <c r="C265">
        <f>12*B265</f>
        <v>63948</v>
      </c>
    </row>
    <row r="266" spans="2:3" x14ac:dyDescent="0.25">
      <c r="B266">
        <v>5332</v>
      </c>
      <c r="C266">
        <f>12*B266</f>
        <v>63984</v>
      </c>
    </row>
    <row r="267" spans="2:3" x14ac:dyDescent="0.25">
      <c r="B267">
        <v>5337</v>
      </c>
      <c r="C267">
        <f>12*B267</f>
        <v>64044</v>
      </c>
    </row>
    <row r="268" spans="2:3" x14ac:dyDescent="0.25">
      <c r="B268">
        <v>5343</v>
      </c>
      <c r="C268">
        <f>12*B268</f>
        <v>64116</v>
      </c>
    </row>
    <row r="269" spans="2:3" x14ac:dyDescent="0.25">
      <c r="B269">
        <v>5343</v>
      </c>
      <c r="C269">
        <f>12*B269</f>
        <v>64116</v>
      </c>
    </row>
    <row r="270" spans="2:3" x14ac:dyDescent="0.25">
      <c r="B270" s="15">
        <v>5346</v>
      </c>
      <c r="C270">
        <f>12*B270</f>
        <v>64152</v>
      </c>
    </row>
    <row r="271" spans="2:3" x14ac:dyDescent="0.25">
      <c r="B271">
        <v>5347</v>
      </c>
      <c r="C271">
        <f>12*B271</f>
        <v>64164</v>
      </c>
    </row>
    <row r="272" spans="2:3" x14ac:dyDescent="0.25">
      <c r="B272">
        <v>5363</v>
      </c>
      <c r="C272">
        <f>12*B272</f>
        <v>64356</v>
      </c>
    </row>
    <row r="273" spans="2:3" x14ac:dyDescent="0.25">
      <c r="B273">
        <v>5368</v>
      </c>
      <c r="C273">
        <f>12*B273</f>
        <v>64416</v>
      </c>
    </row>
    <row r="274" spans="2:3" x14ac:dyDescent="0.25">
      <c r="B274">
        <v>5373</v>
      </c>
      <c r="C274">
        <f>12*B274</f>
        <v>64476</v>
      </c>
    </row>
    <row r="275" spans="2:3" x14ac:dyDescent="0.25">
      <c r="B275">
        <v>5376</v>
      </c>
      <c r="C275">
        <f>12*B275</f>
        <v>64512</v>
      </c>
    </row>
    <row r="276" spans="2:3" x14ac:dyDescent="0.25">
      <c r="B276" s="15">
        <v>5381</v>
      </c>
      <c r="C276">
        <f>12*B276</f>
        <v>64572</v>
      </c>
    </row>
    <row r="277" spans="2:3" x14ac:dyDescent="0.25">
      <c r="B277">
        <v>5396</v>
      </c>
      <c r="C277">
        <f>12*B277</f>
        <v>64752</v>
      </c>
    </row>
    <row r="278" spans="2:3" x14ac:dyDescent="0.25">
      <c r="B278">
        <v>5405</v>
      </c>
      <c r="C278">
        <f>12*B278</f>
        <v>64860</v>
      </c>
    </row>
    <row r="279" spans="2:3" x14ac:dyDescent="0.25">
      <c r="B279">
        <v>5410</v>
      </c>
      <c r="C279">
        <f>12*B279</f>
        <v>64920</v>
      </c>
    </row>
    <row r="280" spans="2:3" x14ac:dyDescent="0.25">
      <c r="B280">
        <v>5410</v>
      </c>
      <c r="C280">
        <f>12*B280</f>
        <v>64920</v>
      </c>
    </row>
    <row r="281" spans="2:3" x14ac:dyDescent="0.25">
      <c r="B281">
        <v>5433</v>
      </c>
      <c r="C281">
        <f>12*B281</f>
        <v>65196</v>
      </c>
    </row>
    <row r="282" spans="2:3" x14ac:dyDescent="0.25">
      <c r="B282">
        <v>5441</v>
      </c>
      <c r="C282">
        <f>12*B282</f>
        <v>65292</v>
      </c>
    </row>
    <row r="283" spans="2:3" x14ac:dyDescent="0.25">
      <c r="B283">
        <v>5454</v>
      </c>
      <c r="C283">
        <f>12*B283</f>
        <v>65448</v>
      </c>
    </row>
    <row r="284" spans="2:3" x14ac:dyDescent="0.25">
      <c r="B284">
        <v>5467</v>
      </c>
      <c r="C284">
        <f>12*B284</f>
        <v>65604</v>
      </c>
    </row>
    <row r="285" spans="2:3" x14ac:dyDescent="0.25">
      <c r="B285">
        <v>5467</v>
      </c>
      <c r="C285">
        <f>12*B285</f>
        <v>65604</v>
      </c>
    </row>
    <row r="286" spans="2:3" x14ac:dyDescent="0.25">
      <c r="B286">
        <v>5468</v>
      </c>
      <c r="C286">
        <f>12*B286</f>
        <v>65616</v>
      </c>
    </row>
    <row r="287" spans="2:3" x14ac:dyDescent="0.25">
      <c r="B287">
        <v>5473</v>
      </c>
      <c r="C287">
        <f>12*B287</f>
        <v>65676</v>
      </c>
    </row>
    <row r="288" spans="2:3" x14ac:dyDescent="0.25">
      <c r="B288">
        <v>5473</v>
      </c>
      <c r="C288">
        <f>12*B288</f>
        <v>65676</v>
      </c>
    </row>
    <row r="289" spans="2:3" x14ac:dyDescent="0.25">
      <c r="B289">
        <v>5476</v>
      </c>
      <c r="C289">
        <f>12*B289</f>
        <v>65712</v>
      </c>
    </row>
    <row r="290" spans="2:3" x14ac:dyDescent="0.25">
      <c r="B290">
        <v>5482</v>
      </c>
      <c r="C290">
        <f>12*B290</f>
        <v>65784</v>
      </c>
    </row>
    <row r="291" spans="2:3" x14ac:dyDescent="0.25">
      <c r="B291">
        <v>5484</v>
      </c>
      <c r="C291">
        <f>12*B291</f>
        <v>65808</v>
      </c>
    </row>
    <row r="292" spans="2:3" x14ac:dyDescent="0.25">
      <c r="B292">
        <v>5484</v>
      </c>
      <c r="C292">
        <f>12*B292</f>
        <v>65808</v>
      </c>
    </row>
    <row r="293" spans="2:3" x14ac:dyDescent="0.25">
      <c r="B293">
        <v>5486</v>
      </c>
      <c r="C293">
        <f>12*B293</f>
        <v>65832</v>
      </c>
    </row>
    <row r="294" spans="2:3" x14ac:dyDescent="0.25">
      <c r="B294">
        <v>5487</v>
      </c>
      <c r="C294">
        <f>12*B294</f>
        <v>65844</v>
      </c>
    </row>
    <row r="295" spans="2:3" x14ac:dyDescent="0.25">
      <c r="B295">
        <v>5505</v>
      </c>
      <c r="C295">
        <f>12*B295</f>
        <v>66060</v>
      </c>
    </row>
    <row r="296" spans="2:3" x14ac:dyDescent="0.25">
      <c r="B296">
        <v>5538</v>
      </c>
      <c r="C296">
        <f>12*B296</f>
        <v>66456</v>
      </c>
    </row>
    <row r="297" spans="2:3" x14ac:dyDescent="0.25">
      <c r="B297">
        <v>5577</v>
      </c>
      <c r="C297">
        <f>12*B297</f>
        <v>66924</v>
      </c>
    </row>
    <row r="298" spans="2:3" x14ac:dyDescent="0.25">
      <c r="B298">
        <v>5593</v>
      </c>
      <c r="C298">
        <f>12*B298</f>
        <v>67116</v>
      </c>
    </row>
    <row r="299" spans="2:3" x14ac:dyDescent="0.25">
      <c r="B299">
        <v>5605</v>
      </c>
      <c r="C299">
        <f>12*B299</f>
        <v>67260</v>
      </c>
    </row>
    <row r="300" spans="2:3" x14ac:dyDescent="0.25">
      <c r="B300">
        <v>5647</v>
      </c>
      <c r="C300">
        <f>12*B300</f>
        <v>67764</v>
      </c>
    </row>
    <row r="301" spans="2:3" x14ac:dyDescent="0.25">
      <c r="B301">
        <v>5661</v>
      </c>
      <c r="C301">
        <f>12*B301</f>
        <v>67932</v>
      </c>
    </row>
    <row r="302" spans="2:3" x14ac:dyDescent="0.25">
      <c r="B302">
        <v>5673</v>
      </c>
      <c r="C302">
        <f>12*B302</f>
        <v>68076</v>
      </c>
    </row>
    <row r="303" spans="2:3" x14ac:dyDescent="0.25">
      <c r="B303">
        <v>5674</v>
      </c>
      <c r="C303">
        <f>12*B303</f>
        <v>68088</v>
      </c>
    </row>
    <row r="304" spans="2:3" x14ac:dyDescent="0.25">
      <c r="B304">
        <v>5677</v>
      </c>
      <c r="C304">
        <f>12*B304</f>
        <v>68124</v>
      </c>
    </row>
    <row r="305" spans="2:3" x14ac:dyDescent="0.25">
      <c r="B305">
        <v>5679</v>
      </c>
      <c r="C305">
        <f>12*B305</f>
        <v>68148</v>
      </c>
    </row>
    <row r="306" spans="2:3" x14ac:dyDescent="0.25">
      <c r="B306">
        <v>5714</v>
      </c>
      <c r="C306">
        <f>12*B306</f>
        <v>68568</v>
      </c>
    </row>
    <row r="307" spans="2:3" x14ac:dyDescent="0.25">
      <c r="B307">
        <v>5736</v>
      </c>
      <c r="C307">
        <f>12*B307</f>
        <v>68832</v>
      </c>
    </row>
    <row r="308" spans="2:3" x14ac:dyDescent="0.25">
      <c r="B308" s="15">
        <v>5744</v>
      </c>
      <c r="C308">
        <f>12*B308</f>
        <v>68928</v>
      </c>
    </row>
    <row r="309" spans="2:3" x14ac:dyDescent="0.25">
      <c r="B309">
        <v>5747</v>
      </c>
      <c r="C309">
        <f>12*B309</f>
        <v>68964</v>
      </c>
    </row>
    <row r="310" spans="2:3" x14ac:dyDescent="0.25">
      <c r="B310">
        <v>5762</v>
      </c>
      <c r="C310">
        <f>12*B310</f>
        <v>69144</v>
      </c>
    </row>
    <row r="311" spans="2:3" x14ac:dyDescent="0.25">
      <c r="B311">
        <v>5768</v>
      </c>
      <c r="C311">
        <f>12*B311</f>
        <v>69216</v>
      </c>
    </row>
    <row r="312" spans="2:3" x14ac:dyDescent="0.25">
      <c r="B312">
        <v>5769</v>
      </c>
      <c r="C312">
        <f>12*B312</f>
        <v>69228</v>
      </c>
    </row>
    <row r="313" spans="2:3" x14ac:dyDescent="0.25">
      <c r="B313">
        <v>5770</v>
      </c>
      <c r="C313">
        <f>12*B313</f>
        <v>69240</v>
      </c>
    </row>
    <row r="314" spans="2:3" x14ac:dyDescent="0.25">
      <c r="B314">
        <v>5772</v>
      </c>
      <c r="C314">
        <f>12*B314</f>
        <v>69264</v>
      </c>
    </row>
    <row r="315" spans="2:3" x14ac:dyDescent="0.25">
      <c r="B315">
        <v>5775</v>
      </c>
      <c r="C315">
        <f>12*B315</f>
        <v>69300</v>
      </c>
    </row>
    <row r="316" spans="2:3" x14ac:dyDescent="0.25">
      <c r="B316">
        <v>5810</v>
      </c>
      <c r="C316">
        <f>12*B316</f>
        <v>69720</v>
      </c>
    </row>
    <row r="317" spans="2:3" x14ac:dyDescent="0.25">
      <c r="B317">
        <v>5811</v>
      </c>
      <c r="C317">
        <f>12*B317</f>
        <v>69732</v>
      </c>
    </row>
    <row r="318" spans="2:3" x14ac:dyDescent="0.25">
      <c r="B318" s="15">
        <v>5813</v>
      </c>
      <c r="C318">
        <f>12*B318</f>
        <v>69756</v>
      </c>
    </row>
    <row r="319" spans="2:3" x14ac:dyDescent="0.25">
      <c r="B319">
        <v>5869</v>
      </c>
      <c r="C319">
        <f>12*B319</f>
        <v>70428</v>
      </c>
    </row>
    <row r="320" spans="2:3" x14ac:dyDescent="0.25">
      <c r="B320">
        <v>5878</v>
      </c>
      <c r="C320">
        <f>12*B320</f>
        <v>70536</v>
      </c>
    </row>
    <row r="321" spans="2:3" x14ac:dyDescent="0.25">
      <c r="B321">
        <v>5906</v>
      </c>
      <c r="C321">
        <f>12*B321</f>
        <v>70872</v>
      </c>
    </row>
    <row r="322" spans="2:3" x14ac:dyDescent="0.25">
      <c r="B322">
        <v>5914</v>
      </c>
      <c r="C322">
        <f>12*B322</f>
        <v>70968</v>
      </c>
    </row>
    <row r="323" spans="2:3" x14ac:dyDescent="0.25">
      <c r="B323" s="15">
        <v>5916</v>
      </c>
      <c r="C323">
        <f>12*B323</f>
        <v>70992</v>
      </c>
    </row>
    <row r="324" spans="2:3" x14ac:dyDescent="0.25">
      <c r="B324">
        <v>5940</v>
      </c>
      <c r="C324">
        <f>12*B324</f>
        <v>71280</v>
      </c>
    </row>
    <row r="325" spans="2:3" x14ac:dyDescent="0.25">
      <c r="B325">
        <v>5957</v>
      </c>
      <c r="C325">
        <f>12*B325</f>
        <v>71484</v>
      </c>
    </row>
    <row r="326" spans="2:3" x14ac:dyDescent="0.25">
      <c r="B326">
        <v>5968</v>
      </c>
      <c r="C326">
        <f>12*B326</f>
        <v>71616</v>
      </c>
    </row>
    <row r="327" spans="2:3" x14ac:dyDescent="0.25">
      <c r="B327">
        <v>5974</v>
      </c>
      <c r="C327">
        <f>12*B327</f>
        <v>71688</v>
      </c>
    </row>
    <row r="328" spans="2:3" x14ac:dyDescent="0.25">
      <c r="B328" s="15">
        <v>5993</v>
      </c>
      <c r="C328">
        <f>12*B328</f>
        <v>71916</v>
      </c>
    </row>
    <row r="329" spans="2:3" x14ac:dyDescent="0.25">
      <c r="B329">
        <v>5993</v>
      </c>
      <c r="C329">
        <f>12*B329</f>
        <v>71916</v>
      </c>
    </row>
    <row r="330" spans="2:3" x14ac:dyDescent="0.25">
      <c r="B330">
        <v>6029</v>
      </c>
      <c r="C330">
        <f>12*B330</f>
        <v>72348</v>
      </c>
    </row>
    <row r="331" spans="2:3" x14ac:dyDescent="0.25">
      <c r="B331">
        <v>6032</v>
      </c>
      <c r="C331">
        <f>12*B331</f>
        <v>72384</v>
      </c>
    </row>
    <row r="332" spans="2:3" x14ac:dyDescent="0.25">
      <c r="B332">
        <v>6062</v>
      </c>
      <c r="C332">
        <f>12*B332</f>
        <v>72744</v>
      </c>
    </row>
    <row r="333" spans="2:3" x14ac:dyDescent="0.25">
      <c r="B333" s="15">
        <v>6074</v>
      </c>
      <c r="C333">
        <f>12*B333</f>
        <v>72888</v>
      </c>
    </row>
    <row r="334" spans="2:3" x14ac:dyDescent="0.25">
      <c r="B334">
        <v>6077</v>
      </c>
      <c r="C334">
        <f>12*B334</f>
        <v>72924</v>
      </c>
    </row>
    <row r="335" spans="2:3" x14ac:dyDescent="0.25">
      <c r="B335">
        <v>6091</v>
      </c>
      <c r="C335">
        <f>12*B335</f>
        <v>73092</v>
      </c>
    </row>
    <row r="336" spans="2:3" x14ac:dyDescent="0.25">
      <c r="B336">
        <v>6120</v>
      </c>
      <c r="C336">
        <f>12*B336</f>
        <v>73440</v>
      </c>
    </row>
    <row r="337" spans="2:3" x14ac:dyDescent="0.25">
      <c r="B337">
        <v>6132</v>
      </c>
      <c r="C337">
        <f>12*B337</f>
        <v>73584</v>
      </c>
    </row>
    <row r="338" spans="2:3" x14ac:dyDescent="0.25">
      <c r="B338" s="15">
        <v>6134</v>
      </c>
      <c r="C338">
        <f>12*B338</f>
        <v>73608</v>
      </c>
    </row>
    <row r="339" spans="2:3" x14ac:dyDescent="0.25">
      <c r="B339">
        <v>6142</v>
      </c>
      <c r="C339">
        <f>12*B339</f>
        <v>73704</v>
      </c>
    </row>
    <row r="340" spans="2:3" x14ac:dyDescent="0.25">
      <c r="B340">
        <v>6142</v>
      </c>
      <c r="C340">
        <f>12*B340</f>
        <v>73704</v>
      </c>
    </row>
    <row r="341" spans="2:3" x14ac:dyDescent="0.25">
      <c r="B341">
        <v>6142</v>
      </c>
      <c r="C341">
        <f>12*B341</f>
        <v>73704</v>
      </c>
    </row>
    <row r="342" spans="2:3" x14ac:dyDescent="0.25">
      <c r="B342">
        <v>6151</v>
      </c>
      <c r="C342">
        <f>12*B342</f>
        <v>73812</v>
      </c>
    </row>
    <row r="343" spans="2:3" x14ac:dyDescent="0.25">
      <c r="B343">
        <v>6162</v>
      </c>
      <c r="C343">
        <f>12*B343</f>
        <v>73944</v>
      </c>
    </row>
    <row r="344" spans="2:3" x14ac:dyDescent="0.25">
      <c r="B344">
        <v>6162</v>
      </c>
      <c r="C344">
        <f>12*B344</f>
        <v>73944</v>
      </c>
    </row>
    <row r="345" spans="2:3" x14ac:dyDescent="0.25">
      <c r="B345" s="15">
        <v>6172</v>
      </c>
      <c r="C345">
        <f>12*B345</f>
        <v>74064</v>
      </c>
    </row>
    <row r="346" spans="2:3" x14ac:dyDescent="0.25">
      <c r="B346">
        <v>6214</v>
      </c>
      <c r="C346">
        <f>12*B346</f>
        <v>74568</v>
      </c>
    </row>
    <row r="347" spans="2:3" x14ac:dyDescent="0.25">
      <c r="B347">
        <v>6220</v>
      </c>
      <c r="C347">
        <f>12*B347</f>
        <v>74640</v>
      </c>
    </row>
    <row r="348" spans="2:3" x14ac:dyDescent="0.25">
      <c r="B348">
        <v>6230</v>
      </c>
      <c r="C348">
        <f>12*B348</f>
        <v>74760</v>
      </c>
    </row>
    <row r="349" spans="2:3" x14ac:dyDescent="0.25">
      <c r="B349">
        <v>6232</v>
      </c>
      <c r="C349">
        <f>12*B349</f>
        <v>74784</v>
      </c>
    </row>
    <row r="350" spans="2:3" x14ac:dyDescent="0.25">
      <c r="B350">
        <v>6244</v>
      </c>
      <c r="C350">
        <f>12*B350</f>
        <v>74928</v>
      </c>
    </row>
    <row r="351" spans="2:3" x14ac:dyDescent="0.25">
      <c r="B351">
        <v>6272</v>
      </c>
      <c r="C351">
        <f>12*B351</f>
        <v>75264</v>
      </c>
    </row>
    <row r="352" spans="2:3" x14ac:dyDescent="0.25">
      <c r="B352">
        <v>6274</v>
      </c>
      <c r="C352">
        <f>12*B352</f>
        <v>75288</v>
      </c>
    </row>
    <row r="353" spans="2:3" x14ac:dyDescent="0.25">
      <c r="B353">
        <v>6294</v>
      </c>
      <c r="C353">
        <f>12*B353</f>
        <v>75528</v>
      </c>
    </row>
    <row r="354" spans="2:3" x14ac:dyDescent="0.25">
      <c r="B354">
        <v>6306</v>
      </c>
      <c r="C354">
        <f>12*B354</f>
        <v>75672</v>
      </c>
    </row>
    <row r="355" spans="2:3" x14ac:dyDescent="0.25">
      <c r="B355">
        <v>6322</v>
      </c>
      <c r="C355">
        <f>12*B355</f>
        <v>75864</v>
      </c>
    </row>
    <row r="356" spans="2:3" x14ac:dyDescent="0.25">
      <c r="B356">
        <v>6323</v>
      </c>
      <c r="C356">
        <f>12*B356</f>
        <v>75876</v>
      </c>
    </row>
    <row r="357" spans="2:3" x14ac:dyDescent="0.25">
      <c r="B357">
        <v>6334</v>
      </c>
      <c r="C357">
        <f>12*B357</f>
        <v>76008</v>
      </c>
    </row>
    <row r="358" spans="2:3" x14ac:dyDescent="0.25">
      <c r="B358">
        <v>6347</v>
      </c>
      <c r="C358">
        <f>12*B358</f>
        <v>76164</v>
      </c>
    </row>
    <row r="359" spans="2:3" x14ac:dyDescent="0.25">
      <c r="B359">
        <v>6377</v>
      </c>
      <c r="C359">
        <f>12*B359</f>
        <v>76524</v>
      </c>
    </row>
    <row r="360" spans="2:3" x14ac:dyDescent="0.25">
      <c r="B360" s="15">
        <v>6380</v>
      </c>
      <c r="C360">
        <f>12*B360</f>
        <v>76560</v>
      </c>
    </row>
    <row r="361" spans="2:3" x14ac:dyDescent="0.25">
      <c r="B361">
        <v>6385</v>
      </c>
      <c r="C361">
        <f>12*B361</f>
        <v>76620</v>
      </c>
    </row>
    <row r="362" spans="2:3" x14ac:dyDescent="0.25">
      <c r="B362">
        <v>6392</v>
      </c>
      <c r="C362">
        <f>12*B362</f>
        <v>76704</v>
      </c>
    </row>
    <row r="363" spans="2:3" x14ac:dyDescent="0.25">
      <c r="B363">
        <v>6397</v>
      </c>
      <c r="C363">
        <f>12*B363</f>
        <v>76764</v>
      </c>
    </row>
    <row r="364" spans="2:3" x14ac:dyDescent="0.25">
      <c r="B364">
        <v>6465</v>
      </c>
      <c r="C364">
        <f>12*B364</f>
        <v>77580</v>
      </c>
    </row>
    <row r="365" spans="2:3" x14ac:dyDescent="0.25">
      <c r="B365">
        <v>6474</v>
      </c>
      <c r="C365">
        <f>12*B365</f>
        <v>77688</v>
      </c>
    </row>
    <row r="366" spans="2:3" x14ac:dyDescent="0.25">
      <c r="B366">
        <v>6499</v>
      </c>
      <c r="C366">
        <f>12*B366</f>
        <v>77988</v>
      </c>
    </row>
    <row r="367" spans="2:3" x14ac:dyDescent="0.25">
      <c r="B367">
        <v>6500</v>
      </c>
      <c r="C367">
        <f>12*B367</f>
        <v>78000</v>
      </c>
    </row>
    <row r="368" spans="2:3" x14ac:dyDescent="0.25">
      <c r="B368">
        <v>6500</v>
      </c>
      <c r="C368">
        <f>12*B368</f>
        <v>78000</v>
      </c>
    </row>
    <row r="369" spans="2:3" x14ac:dyDescent="0.25">
      <c r="B369">
        <v>6502</v>
      </c>
      <c r="C369">
        <f>12*B369</f>
        <v>78024</v>
      </c>
    </row>
    <row r="370" spans="2:3" x14ac:dyDescent="0.25">
      <c r="B370">
        <v>6513</v>
      </c>
      <c r="C370">
        <f>12*B370</f>
        <v>78156</v>
      </c>
    </row>
    <row r="371" spans="2:3" x14ac:dyDescent="0.25">
      <c r="B371">
        <v>6524</v>
      </c>
      <c r="C371">
        <f>12*B371</f>
        <v>78288</v>
      </c>
    </row>
    <row r="372" spans="2:3" x14ac:dyDescent="0.25">
      <c r="B372">
        <v>6538</v>
      </c>
      <c r="C372">
        <f>12*B372</f>
        <v>78456</v>
      </c>
    </row>
    <row r="373" spans="2:3" x14ac:dyDescent="0.25">
      <c r="B373">
        <v>6545</v>
      </c>
      <c r="C373">
        <f>12*B373</f>
        <v>78540</v>
      </c>
    </row>
    <row r="374" spans="2:3" x14ac:dyDescent="0.25">
      <c r="B374">
        <v>6553</v>
      </c>
      <c r="C374">
        <f>12*B374</f>
        <v>78636</v>
      </c>
    </row>
    <row r="375" spans="2:3" x14ac:dyDescent="0.25">
      <c r="B375">
        <v>6578</v>
      </c>
      <c r="C375">
        <f>12*B375</f>
        <v>78936</v>
      </c>
    </row>
    <row r="376" spans="2:3" x14ac:dyDescent="0.25">
      <c r="B376">
        <v>6582</v>
      </c>
      <c r="C376">
        <f>12*B376</f>
        <v>78984</v>
      </c>
    </row>
    <row r="377" spans="2:3" x14ac:dyDescent="0.25">
      <c r="B377">
        <v>6623</v>
      </c>
      <c r="C377">
        <f>12*B377</f>
        <v>79476</v>
      </c>
    </row>
    <row r="378" spans="2:3" x14ac:dyDescent="0.25">
      <c r="B378">
        <v>6632</v>
      </c>
      <c r="C378">
        <f>12*B378</f>
        <v>79584</v>
      </c>
    </row>
    <row r="379" spans="2:3" x14ac:dyDescent="0.25">
      <c r="B379">
        <v>6646</v>
      </c>
      <c r="C379">
        <f>12*B379</f>
        <v>79752</v>
      </c>
    </row>
    <row r="380" spans="2:3" x14ac:dyDescent="0.25">
      <c r="B380">
        <v>6651</v>
      </c>
      <c r="C380">
        <f>12*B380</f>
        <v>79812</v>
      </c>
    </row>
    <row r="381" spans="2:3" x14ac:dyDescent="0.25">
      <c r="B381">
        <v>6667</v>
      </c>
      <c r="C381">
        <f>12*B381</f>
        <v>80004</v>
      </c>
    </row>
    <row r="382" spans="2:3" x14ac:dyDescent="0.25">
      <c r="B382" s="15">
        <v>6673</v>
      </c>
      <c r="C382">
        <f>12*B382</f>
        <v>80076</v>
      </c>
    </row>
    <row r="383" spans="2:3" x14ac:dyDescent="0.25">
      <c r="B383">
        <v>6687</v>
      </c>
      <c r="C383">
        <f>12*B383</f>
        <v>80244</v>
      </c>
    </row>
    <row r="384" spans="2:3" x14ac:dyDescent="0.25">
      <c r="B384">
        <v>6694</v>
      </c>
      <c r="C384">
        <f>12*B384</f>
        <v>80328</v>
      </c>
    </row>
    <row r="385" spans="2:3" x14ac:dyDescent="0.25">
      <c r="B385">
        <v>6712</v>
      </c>
      <c r="C385">
        <f>12*B385</f>
        <v>80544</v>
      </c>
    </row>
    <row r="386" spans="2:3" x14ac:dyDescent="0.25">
      <c r="B386">
        <v>6725</v>
      </c>
      <c r="C386">
        <f>12*B386</f>
        <v>80700</v>
      </c>
    </row>
    <row r="387" spans="2:3" x14ac:dyDescent="0.25">
      <c r="B387" s="15">
        <v>6735</v>
      </c>
      <c r="C387">
        <f>12*B387</f>
        <v>80820</v>
      </c>
    </row>
    <row r="388" spans="2:3" x14ac:dyDescent="0.25">
      <c r="B388">
        <v>6781</v>
      </c>
      <c r="C388">
        <f>12*B388</f>
        <v>81372</v>
      </c>
    </row>
    <row r="389" spans="2:3" x14ac:dyDescent="0.25">
      <c r="B389">
        <v>6799</v>
      </c>
      <c r="C389">
        <f>12*B389</f>
        <v>81588</v>
      </c>
    </row>
    <row r="390" spans="2:3" x14ac:dyDescent="0.25">
      <c r="B390">
        <v>6804</v>
      </c>
      <c r="C390">
        <f>12*B390</f>
        <v>81648</v>
      </c>
    </row>
    <row r="391" spans="2:3" x14ac:dyDescent="0.25">
      <c r="B391">
        <v>6811</v>
      </c>
      <c r="C391">
        <f>12*B391</f>
        <v>81732</v>
      </c>
    </row>
    <row r="392" spans="2:3" x14ac:dyDescent="0.25">
      <c r="B392">
        <v>6815</v>
      </c>
      <c r="C392">
        <f>12*B392</f>
        <v>81780</v>
      </c>
    </row>
    <row r="393" spans="2:3" x14ac:dyDescent="0.25">
      <c r="B393">
        <v>6833</v>
      </c>
      <c r="C393">
        <f>12*B393</f>
        <v>81996</v>
      </c>
    </row>
    <row r="394" spans="2:3" x14ac:dyDescent="0.25">
      <c r="B394">
        <v>6834</v>
      </c>
      <c r="C394">
        <f>12*B394</f>
        <v>82008</v>
      </c>
    </row>
    <row r="395" spans="2:3" x14ac:dyDescent="0.25">
      <c r="B395">
        <v>6842</v>
      </c>
      <c r="C395">
        <f>12*B395</f>
        <v>82104</v>
      </c>
    </row>
    <row r="396" spans="2:3" x14ac:dyDescent="0.25">
      <c r="B396">
        <v>6854</v>
      </c>
      <c r="C396">
        <f>12*B396</f>
        <v>82248</v>
      </c>
    </row>
    <row r="397" spans="2:3" x14ac:dyDescent="0.25">
      <c r="B397">
        <v>6861</v>
      </c>
      <c r="C397">
        <f>12*B397</f>
        <v>82332</v>
      </c>
    </row>
    <row r="398" spans="2:3" x14ac:dyDescent="0.25">
      <c r="B398">
        <v>6870</v>
      </c>
      <c r="C398">
        <f>12*B398</f>
        <v>82440</v>
      </c>
    </row>
    <row r="399" spans="2:3" x14ac:dyDescent="0.25">
      <c r="B399">
        <v>6877</v>
      </c>
      <c r="C399">
        <f>12*B399</f>
        <v>82524</v>
      </c>
    </row>
    <row r="400" spans="2:3" x14ac:dyDescent="0.25">
      <c r="B400">
        <v>6883</v>
      </c>
      <c r="C400">
        <f>12*B400</f>
        <v>82596</v>
      </c>
    </row>
    <row r="401" spans="2:3" x14ac:dyDescent="0.25">
      <c r="B401">
        <v>6893</v>
      </c>
      <c r="C401">
        <f>12*B401</f>
        <v>82716</v>
      </c>
    </row>
    <row r="402" spans="2:3" x14ac:dyDescent="0.25">
      <c r="B402">
        <v>6929</v>
      </c>
      <c r="C402">
        <f>12*B402</f>
        <v>83148</v>
      </c>
    </row>
    <row r="403" spans="2:3" x14ac:dyDescent="0.25">
      <c r="B403">
        <v>6931</v>
      </c>
      <c r="C403">
        <f>12*B403</f>
        <v>83172</v>
      </c>
    </row>
    <row r="404" spans="2:3" x14ac:dyDescent="0.25">
      <c r="B404">
        <v>6932</v>
      </c>
      <c r="C404">
        <f>12*B404</f>
        <v>83184</v>
      </c>
    </row>
    <row r="405" spans="2:3" x14ac:dyDescent="0.25">
      <c r="B405">
        <v>6949</v>
      </c>
      <c r="C405">
        <f>12*B405</f>
        <v>83388</v>
      </c>
    </row>
    <row r="406" spans="2:3" x14ac:dyDescent="0.25">
      <c r="B406">
        <v>7083</v>
      </c>
      <c r="C406">
        <f>12*B406</f>
        <v>84996</v>
      </c>
    </row>
    <row r="407" spans="2:3" x14ac:dyDescent="0.25">
      <c r="B407">
        <v>7094</v>
      </c>
      <c r="C407">
        <f>12*B407</f>
        <v>85128</v>
      </c>
    </row>
    <row r="408" spans="2:3" x14ac:dyDescent="0.25">
      <c r="B408">
        <v>7104</v>
      </c>
      <c r="C408">
        <f>12*B408</f>
        <v>85248</v>
      </c>
    </row>
    <row r="409" spans="2:3" x14ac:dyDescent="0.25">
      <c r="B409">
        <v>7119</v>
      </c>
      <c r="C409">
        <f>12*B409</f>
        <v>85428</v>
      </c>
    </row>
    <row r="410" spans="2:3" x14ac:dyDescent="0.25">
      <c r="B410">
        <v>7143</v>
      </c>
      <c r="C410">
        <f>12*B410</f>
        <v>85716</v>
      </c>
    </row>
    <row r="411" spans="2:3" x14ac:dyDescent="0.25">
      <c r="B411">
        <v>7264</v>
      </c>
      <c r="C411">
        <f>12*B411</f>
        <v>87168</v>
      </c>
    </row>
    <row r="412" spans="2:3" x14ac:dyDescent="0.25">
      <c r="B412" s="15">
        <v>7314</v>
      </c>
      <c r="C412">
        <f>12*B412</f>
        <v>87768</v>
      </c>
    </row>
    <row r="413" spans="2:3" x14ac:dyDescent="0.25">
      <c r="B413" s="15">
        <v>7336</v>
      </c>
      <c r="C413">
        <f>12*B413</f>
        <v>88032</v>
      </c>
    </row>
    <row r="414" spans="2:3" x14ac:dyDescent="0.25">
      <c r="B414">
        <v>7351</v>
      </c>
      <c r="C414">
        <f>12*B414</f>
        <v>88212</v>
      </c>
    </row>
    <row r="415" spans="2:3" x14ac:dyDescent="0.25">
      <c r="B415">
        <v>7379</v>
      </c>
      <c r="C415">
        <f>12*B415</f>
        <v>88548</v>
      </c>
    </row>
    <row r="416" spans="2:3" x14ac:dyDescent="0.25">
      <c r="B416">
        <v>7403</v>
      </c>
      <c r="C416">
        <f>12*B416</f>
        <v>88836</v>
      </c>
    </row>
    <row r="417" spans="2:3" x14ac:dyDescent="0.25">
      <c r="B417">
        <v>7406</v>
      </c>
      <c r="C417">
        <f>12*B417</f>
        <v>88872</v>
      </c>
    </row>
    <row r="418" spans="2:3" x14ac:dyDescent="0.25">
      <c r="B418">
        <v>7412</v>
      </c>
      <c r="C418">
        <f>12*B418</f>
        <v>88944</v>
      </c>
    </row>
    <row r="419" spans="2:3" x14ac:dyDescent="0.25">
      <c r="B419">
        <v>7428</v>
      </c>
      <c r="C419">
        <f>12*B419</f>
        <v>89136</v>
      </c>
    </row>
    <row r="420" spans="2:3" x14ac:dyDescent="0.25">
      <c r="B420">
        <v>7525</v>
      </c>
      <c r="C420">
        <f>12*B420</f>
        <v>90300</v>
      </c>
    </row>
    <row r="421" spans="2:3" x14ac:dyDescent="0.25">
      <c r="B421">
        <v>7547</v>
      </c>
      <c r="C421">
        <f>12*B421</f>
        <v>90564</v>
      </c>
    </row>
    <row r="422" spans="2:3" x14ac:dyDescent="0.25">
      <c r="B422" s="15">
        <v>7553</v>
      </c>
      <c r="C422">
        <f>12*B422</f>
        <v>90636</v>
      </c>
    </row>
    <row r="423" spans="2:3" x14ac:dyDescent="0.25">
      <c r="B423">
        <v>7587</v>
      </c>
      <c r="C423">
        <f>12*B423</f>
        <v>91044</v>
      </c>
    </row>
    <row r="424" spans="2:3" x14ac:dyDescent="0.25">
      <c r="B424">
        <v>7625</v>
      </c>
      <c r="C424">
        <f>12*B424</f>
        <v>91500</v>
      </c>
    </row>
    <row r="425" spans="2:3" x14ac:dyDescent="0.25">
      <c r="B425">
        <v>7642</v>
      </c>
      <c r="C425">
        <f>12*B425</f>
        <v>91704</v>
      </c>
    </row>
    <row r="426" spans="2:3" x14ac:dyDescent="0.25">
      <c r="B426">
        <v>7655</v>
      </c>
      <c r="C426">
        <f>12*B426</f>
        <v>91860</v>
      </c>
    </row>
    <row r="427" spans="2:3" x14ac:dyDescent="0.25">
      <c r="B427">
        <v>7756</v>
      </c>
      <c r="C427">
        <f>12*B427</f>
        <v>93072</v>
      </c>
    </row>
    <row r="428" spans="2:3" x14ac:dyDescent="0.25">
      <c r="B428">
        <v>7756</v>
      </c>
      <c r="C428">
        <f>12*B428</f>
        <v>93072</v>
      </c>
    </row>
    <row r="429" spans="2:3" x14ac:dyDescent="0.25">
      <c r="B429">
        <v>7847</v>
      </c>
      <c r="C429">
        <f>12*B429</f>
        <v>94164</v>
      </c>
    </row>
    <row r="430" spans="2:3" x14ac:dyDescent="0.25">
      <c r="B430">
        <v>7898</v>
      </c>
      <c r="C430">
        <f>12*B430</f>
        <v>94776</v>
      </c>
    </row>
    <row r="431" spans="2:3" x14ac:dyDescent="0.25">
      <c r="B431">
        <v>7918</v>
      </c>
      <c r="C431">
        <f>12*B431</f>
        <v>95016</v>
      </c>
    </row>
    <row r="432" spans="2:3" x14ac:dyDescent="0.25">
      <c r="B432" s="15">
        <v>7978</v>
      </c>
      <c r="C432">
        <f>12*B432</f>
        <v>95736</v>
      </c>
    </row>
    <row r="433" spans="2:3" x14ac:dyDescent="0.25">
      <c r="B433">
        <v>7988</v>
      </c>
      <c r="C433">
        <f>12*B433</f>
        <v>95856</v>
      </c>
    </row>
    <row r="434" spans="2:3" x14ac:dyDescent="0.25">
      <c r="B434">
        <v>8008</v>
      </c>
      <c r="C434">
        <f>12*B434</f>
        <v>96096</v>
      </c>
    </row>
    <row r="435" spans="2:3" x14ac:dyDescent="0.25">
      <c r="B435">
        <v>8020</v>
      </c>
      <c r="C435">
        <f>12*B435</f>
        <v>96240</v>
      </c>
    </row>
    <row r="436" spans="2:3" x14ac:dyDescent="0.25">
      <c r="B436">
        <v>8120</v>
      </c>
      <c r="C436">
        <f>12*B436</f>
        <v>97440</v>
      </c>
    </row>
    <row r="437" spans="2:3" x14ac:dyDescent="0.25">
      <c r="B437" s="15">
        <v>8161</v>
      </c>
      <c r="C437">
        <f>12*B437</f>
        <v>97932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B771-FDA0-467A-B727-BFC82E2E45C8}">
  <dimension ref="A1:N28"/>
  <sheetViews>
    <sheetView workbookViewId="0">
      <selection activeCell="N15" sqref="N15"/>
    </sheetView>
  </sheetViews>
  <sheetFormatPr defaultRowHeight="22.5" customHeight="1" x14ac:dyDescent="0.2"/>
  <cols>
    <col min="1" max="1" width="20.7109375" style="5" bestFit="1" customWidth="1"/>
    <col min="2" max="3" width="11.28515625" style="5" bestFit="1" customWidth="1"/>
    <col min="4" max="4" width="5.7109375" style="5" bestFit="1" customWidth="1"/>
    <col min="5" max="5" width="7" style="5" bestFit="1" customWidth="1"/>
    <col min="6" max="6" width="7.85546875" style="5" bestFit="1" customWidth="1"/>
    <col min="7" max="7" width="8.7109375" style="5" bestFit="1" customWidth="1"/>
    <col min="8" max="8" width="6.5703125" style="5" bestFit="1" customWidth="1"/>
    <col min="9" max="9" width="9.42578125" style="5" bestFit="1" customWidth="1"/>
    <col min="10" max="10" width="10.140625" style="5" customWidth="1"/>
    <col min="11" max="16384" width="9.140625" style="5"/>
  </cols>
  <sheetData>
    <row r="1" spans="1:14" ht="22.5" customHeight="1" thickBot="1" x14ac:dyDescent="0.25">
      <c r="A1" s="8" t="s">
        <v>94</v>
      </c>
      <c r="B1" s="9" t="s">
        <v>86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9" t="s">
        <v>92</v>
      </c>
      <c r="I1" s="8" t="s">
        <v>93</v>
      </c>
      <c r="J1" s="8" t="s">
        <v>100</v>
      </c>
      <c r="K1" s="9" t="s">
        <v>95</v>
      </c>
      <c r="L1" s="9" t="s">
        <v>96</v>
      </c>
    </row>
    <row r="2" spans="1:14" ht="22.5" customHeight="1" thickBot="1" x14ac:dyDescent="0.25">
      <c r="A2" s="6" t="s">
        <v>37</v>
      </c>
      <c r="B2" s="7">
        <v>435.5</v>
      </c>
      <c r="C2" s="7">
        <v>251.29166319999999</v>
      </c>
      <c r="D2" s="7">
        <v>1</v>
      </c>
      <c r="E2" s="7">
        <v>218.25</v>
      </c>
      <c r="F2" s="7">
        <v>435.5</v>
      </c>
      <c r="G2" s="7">
        <v>652.75</v>
      </c>
      <c r="H2" s="7">
        <v>870</v>
      </c>
      <c r="I2" s="6" t="s">
        <v>38</v>
      </c>
      <c r="J2" s="11" t="s">
        <v>97</v>
      </c>
      <c r="K2" s="10">
        <v>0</v>
      </c>
      <c r="L2" s="10"/>
    </row>
    <row r="3" spans="1:14" ht="22.5" customHeight="1" thickBot="1" x14ac:dyDescent="0.25">
      <c r="A3" s="6" t="s">
        <v>39</v>
      </c>
      <c r="B3" s="7">
        <v>36.828735999999999</v>
      </c>
      <c r="C3" s="7">
        <v>8.9259503999999996</v>
      </c>
      <c r="D3" s="7">
        <v>18</v>
      </c>
      <c r="E3" s="7">
        <v>30</v>
      </c>
      <c r="F3" s="7">
        <v>35</v>
      </c>
      <c r="G3" s="7">
        <v>43</v>
      </c>
      <c r="H3" s="7">
        <v>60</v>
      </c>
      <c r="I3" s="6" t="s">
        <v>40</v>
      </c>
      <c r="J3" s="11" t="s">
        <v>99</v>
      </c>
      <c r="K3" s="10"/>
      <c r="L3" s="10"/>
    </row>
    <row r="4" spans="1:14" ht="22.5" customHeight="1" thickBot="1" x14ac:dyDescent="0.25">
      <c r="A4" s="6" t="s">
        <v>41</v>
      </c>
      <c r="B4" s="7">
        <v>815.22758599999997</v>
      </c>
      <c r="C4" s="7">
        <v>401.11628030000003</v>
      </c>
      <c r="D4" s="7">
        <v>103</v>
      </c>
      <c r="E4" s="7">
        <v>472.5</v>
      </c>
      <c r="F4" s="7">
        <v>817.5</v>
      </c>
      <c r="G4" s="7">
        <v>1165.75</v>
      </c>
      <c r="H4" s="7">
        <v>1499</v>
      </c>
      <c r="I4" s="6" t="s">
        <v>38</v>
      </c>
      <c r="J4" s="11" t="s">
        <v>97</v>
      </c>
      <c r="K4" s="10"/>
      <c r="L4" s="10"/>
    </row>
    <row r="5" spans="1:14" ht="22.5" customHeight="1" thickBot="1" x14ac:dyDescent="0.25">
      <c r="A5" s="6" t="s">
        <v>42</v>
      </c>
      <c r="B5" s="7">
        <v>9.3390799999999992</v>
      </c>
      <c r="C5" s="7">
        <v>8.1367039000000005</v>
      </c>
      <c r="D5" s="7">
        <v>1</v>
      </c>
      <c r="E5" s="7">
        <v>2</v>
      </c>
      <c r="F5" s="7">
        <v>7</v>
      </c>
      <c r="G5" s="7">
        <v>14</v>
      </c>
      <c r="H5" s="7">
        <v>29</v>
      </c>
      <c r="I5" s="6" t="s">
        <v>43</v>
      </c>
      <c r="J5" s="11" t="s">
        <v>98</v>
      </c>
      <c r="K5" s="10"/>
      <c r="L5" s="10"/>
    </row>
    <row r="6" spans="1:14" ht="22.5" customHeight="1" thickBot="1" x14ac:dyDescent="0.25">
      <c r="A6" s="6" t="s">
        <v>44</v>
      </c>
      <c r="B6" s="7">
        <v>2.9011490000000002</v>
      </c>
      <c r="C6" s="7">
        <v>1.0230366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6" t="s">
        <v>45</v>
      </c>
      <c r="J6" s="11" t="s">
        <v>99</v>
      </c>
      <c r="K6" s="10"/>
      <c r="L6" s="10"/>
    </row>
    <row r="7" spans="1:14" ht="22.5" customHeight="1" thickBot="1" x14ac:dyDescent="0.25">
      <c r="A7" s="6" t="s">
        <v>46</v>
      </c>
      <c r="B7" s="7">
        <v>1</v>
      </c>
      <c r="C7" s="7">
        <v>0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6" t="s">
        <v>47</v>
      </c>
      <c r="J7" s="11" t="s">
        <v>102</v>
      </c>
      <c r="K7" s="10">
        <v>0</v>
      </c>
      <c r="L7" s="10"/>
    </row>
    <row r="8" spans="1:14" ht="22.5" customHeight="1" thickBot="1" x14ac:dyDescent="0.25">
      <c r="A8" s="6" t="s">
        <v>48</v>
      </c>
      <c r="B8" s="7">
        <v>1029.8321840000001</v>
      </c>
      <c r="C8" s="7">
        <v>604.78929700000003</v>
      </c>
      <c r="D8" s="7">
        <v>1</v>
      </c>
      <c r="E8" s="7">
        <v>477.25</v>
      </c>
      <c r="F8" s="7">
        <v>1039</v>
      </c>
      <c r="G8" s="7">
        <v>1561.5</v>
      </c>
      <c r="H8" s="7">
        <v>2064</v>
      </c>
      <c r="I8" s="6" t="s">
        <v>38</v>
      </c>
      <c r="J8" s="11" t="s">
        <v>97</v>
      </c>
      <c r="K8" s="10">
        <v>0</v>
      </c>
      <c r="L8" s="10"/>
    </row>
    <row r="9" spans="1:14" ht="22.5" customHeight="1" thickBot="1" x14ac:dyDescent="0.25">
      <c r="A9" s="6" t="s">
        <v>49</v>
      </c>
      <c r="B9" s="7">
        <v>2.701149</v>
      </c>
      <c r="C9" s="7">
        <v>1.0993767999999999</v>
      </c>
      <c r="D9" s="7">
        <v>1</v>
      </c>
      <c r="E9" s="7">
        <v>2</v>
      </c>
      <c r="F9" s="7">
        <v>3</v>
      </c>
      <c r="G9" s="7">
        <v>4</v>
      </c>
      <c r="H9" s="7">
        <v>4</v>
      </c>
      <c r="I9" s="6" t="s">
        <v>50</v>
      </c>
      <c r="J9" s="11" t="s">
        <v>101</v>
      </c>
      <c r="K9" s="10"/>
      <c r="L9" s="10">
        <v>1</v>
      </c>
    </row>
    <row r="10" spans="1:14" ht="22.5" customHeight="1" thickBot="1" x14ac:dyDescent="0.25">
      <c r="A10" s="6" t="s">
        <v>51</v>
      </c>
      <c r="B10" s="7">
        <v>65.613793000000001</v>
      </c>
      <c r="C10" s="7">
        <v>20.127162899999998</v>
      </c>
      <c r="D10" s="7">
        <v>30</v>
      </c>
      <c r="E10" s="7">
        <v>48</v>
      </c>
      <c r="F10" s="7">
        <v>66</v>
      </c>
      <c r="G10" s="7">
        <v>83</v>
      </c>
      <c r="H10" s="7">
        <v>100</v>
      </c>
      <c r="I10" s="6" t="s">
        <v>52</v>
      </c>
      <c r="J10" s="11"/>
      <c r="K10" s="10"/>
      <c r="L10" s="10"/>
    </row>
    <row r="11" spans="1:14" ht="22.5" customHeight="1" thickBot="1" x14ac:dyDescent="0.25">
      <c r="A11" s="6" t="s">
        <v>53</v>
      </c>
      <c r="B11" s="7">
        <v>2.7229890000000001</v>
      </c>
      <c r="C11" s="7">
        <v>0.70363209999999998</v>
      </c>
      <c r="D11" s="7">
        <v>1</v>
      </c>
      <c r="E11" s="7">
        <v>2</v>
      </c>
      <c r="F11" s="7">
        <v>3</v>
      </c>
      <c r="G11" s="7">
        <v>3</v>
      </c>
      <c r="H11" s="7">
        <v>4</v>
      </c>
      <c r="I11" s="6" t="s">
        <v>54</v>
      </c>
      <c r="J11" s="11" t="s">
        <v>101</v>
      </c>
      <c r="K11" s="10"/>
      <c r="L11" s="10"/>
    </row>
    <row r="12" spans="1:14" ht="22.5" customHeight="1" thickBot="1" x14ac:dyDescent="0.25">
      <c r="A12" s="6" t="s">
        <v>55</v>
      </c>
      <c r="B12" s="7">
        <v>2.0390799999999998</v>
      </c>
      <c r="C12" s="7">
        <v>1.0901121</v>
      </c>
      <c r="D12" s="7">
        <v>1</v>
      </c>
      <c r="E12" s="7">
        <v>1</v>
      </c>
      <c r="F12" s="7">
        <v>2</v>
      </c>
      <c r="G12" s="7">
        <v>3</v>
      </c>
      <c r="H12" s="7">
        <v>5</v>
      </c>
      <c r="I12" s="6" t="s">
        <v>56</v>
      </c>
      <c r="J12" s="11" t="s">
        <v>98</v>
      </c>
      <c r="K12" s="10"/>
      <c r="L12" s="10"/>
    </row>
    <row r="13" spans="1:14" ht="22.5" customHeight="1" thickBot="1" x14ac:dyDescent="0.25">
      <c r="A13" s="6" t="s">
        <v>57</v>
      </c>
      <c r="B13" s="7">
        <v>2.7091949999999998</v>
      </c>
      <c r="C13" s="7">
        <v>1.1145168000000001</v>
      </c>
      <c r="D13" s="7">
        <v>1</v>
      </c>
      <c r="E13" s="7">
        <v>2</v>
      </c>
      <c r="F13" s="7">
        <v>3</v>
      </c>
      <c r="G13" s="7">
        <v>4</v>
      </c>
      <c r="H13" s="7">
        <v>4</v>
      </c>
      <c r="I13" s="6" t="s">
        <v>58</v>
      </c>
      <c r="J13" s="11"/>
      <c r="K13" s="10"/>
      <c r="L13" s="10"/>
    </row>
    <row r="14" spans="1:14" ht="22.5" customHeight="1" thickBot="1" x14ac:dyDescent="0.25">
      <c r="A14" s="6" t="s">
        <v>59</v>
      </c>
      <c r="B14" s="7">
        <v>6390.2643680000001</v>
      </c>
      <c r="C14" s="7">
        <v>4597.6959741000001</v>
      </c>
      <c r="D14" s="7">
        <v>1081</v>
      </c>
      <c r="E14" s="7">
        <v>2839.5</v>
      </c>
      <c r="F14" s="7">
        <v>4945.5</v>
      </c>
      <c r="G14" s="7">
        <v>8182</v>
      </c>
      <c r="H14" s="7">
        <v>19999</v>
      </c>
      <c r="I14" s="6" t="s">
        <v>60</v>
      </c>
      <c r="J14" s="11" t="s">
        <v>98</v>
      </c>
      <c r="K14" s="10"/>
      <c r="L14" s="10"/>
      <c r="N14" s="5" t="s">
        <v>140</v>
      </c>
    </row>
    <row r="15" spans="1:14" ht="22.5" customHeight="1" thickBot="1" x14ac:dyDescent="0.25">
      <c r="A15" s="6" t="s">
        <v>61</v>
      </c>
      <c r="B15" s="7">
        <v>14325.62069</v>
      </c>
      <c r="C15" s="7">
        <v>7108.3819276000004</v>
      </c>
      <c r="D15" s="7">
        <v>2094</v>
      </c>
      <c r="E15" s="7">
        <v>8092</v>
      </c>
      <c r="F15" s="7">
        <v>14074.5</v>
      </c>
      <c r="G15" s="7">
        <v>20456.25</v>
      </c>
      <c r="H15" s="7">
        <v>26997</v>
      </c>
      <c r="I15" s="6" t="s">
        <v>38</v>
      </c>
      <c r="J15" s="11" t="s">
        <v>97</v>
      </c>
      <c r="K15" s="10"/>
      <c r="L15" s="10"/>
      <c r="N15" s="5">
        <f>12*2839</f>
        <v>34068</v>
      </c>
    </row>
    <row r="16" spans="1:14" ht="22.5" customHeight="1" thickBot="1" x14ac:dyDescent="0.25">
      <c r="A16" s="6" t="s">
        <v>62</v>
      </c>
      <c r="B16" s="7">
        <v>2.7275860000000001</v>
      </c>
      <c r="C16" s="7">
        <v>2.5204430000000002</v>
      </c>
      <c r="D16" s="7">
        <v>0</v>
      </c>
      <c r="E16" s="7">
        <v>1</v>
      </c>
      <c r="F16" s="7">
        <v>2</v>
      </c>
      <c r="G16" s="7">
        <v>4</v>
      </c>
      <c r="H16" s="7">
        <v>9</v>
      </c>
      <c r="I16" s="6" t="s">
        <v>63</v>
      </c>
      <c r="J16" s="11" t="s">
        <v>98</v>
      </c>
      <c r="K16" s="10"/>
      <c r="L16" s="10">
        <v>1</v>
      </c>
      <c r="N16" s="5">
        <f>12*8182</f>
        <v>98184</v>
      </c>
    </row>
    <row r="17" spans="1:14" ht="22.5" customHeight="1" thickBot="1" x14ac:dyDescent="0.25">
      <c r="A17" s="6" t="s">
        <v>64</v>
      </c>
      <c r="B17" s="7">
        <v>15.2</v>
      </c>
      <c r="C17" s="7">
        <v>3.6754402000000002</v>
      </c>
      <c r="D17" s="7">
        <v>11</v>
      </c>
      <c r="E17" s="7">
        <v>12</v>
      </c>
      <c r="F17" s="7">
        <v>14</v>
      </c>
      <c r="G17" s="7">
        <v>18</v>
      </c>
      <c r="H17" s="7">
        <v>25</v>
      </c>
      <c r="I17" s="6" t="s">
        <v>65</v>
      </c>
      <c r="J17" s="11" t="s">
        <v>98</v>
      </c>
      <c r="K17" s="10"/>
      <c r="L17" s="10"/>
      <c r="N17" s="5" t="s">
        <v>141</v>
      </c>
    </row>
    <row r="18" spans="1:14" ht="22.5" customHeight="1" thickBot="1" x14ac:dyDescent="0.25">
      <c r="A18" s="6" t="s">
        <v>66</v>
      </c>
      <c r="B18" s="7">
        <v>3.1517240000000002</v>
      </c>
      <c r="C18" s="7">
        <v>0.35895959999999999</v>
      </c>
      <c r="D18" s="7">
        <v>3</v>
      </c>
      <c r="E18" s="7">
        <v>3</v>
      </c>
      <c r="F18" s="7">
        <v>3</v>
      </c>
      <c r="G18" s="7">
        <v>3</v>
      </c>
      <c r="H18" s="7">
        <v>4</v>
      </c>
      <c r="I18" s="6" t="s">
        <v>67</v>
      </c>
      <c r="J18" s="11" t="s">
        <v>98</v>
      </c>
      <c r="K18" s="10"/>
      <c r="L18" s="10"/>
    </row>
    <row r="19" spans="1:14" ht="22.5" customHeight="1" thickBot="1" x14ac:dyDescent="0.25">
      <c r="A19" s="6" t="s">
        <v>68</v>
      </c>
      <c r="B19" s="7">
        <v>2.7068970000000001</v>
      </c>
      <c r="C19" s="7">
        <v>1.1024915</v>
      </c>
      <c r="D19" s="7">
        <v>1</v>
      </c>
      <c r="E19" s="7">
        <v>2</v>
      </c>
      <c r="F19" s="7">
        <v>3</v>
      </c>
      <c r="G19" s="7">
        <v>4</v>
      </c>
      <c r="H19" s="7">
        <v>4</v>
      </c>
      <c r="I19" s="6" t="s">
        <v>58</v>
      </c>
      <c r="J19" s="11" t="s">
        <v>101</v>
      </c>
      <c r="K19" s="10"/>
      <c r="L19" s="10">
        <v>1</v>
      </c>
    </row>
    <row r="20" spans="1:14" ht="22.5" customHeight="1" thickBot="1" x14ac:dyDescent="0.25">
      <c r="A20" s="6" t="s">
        <v>69</v>
      </c>
      <c r="B20" s="7">
        <v>80</v>
      </c>
      <c r="C20" s="7">
        <v>0</v>
      </c>
      <c r="D20" s="7">
        <v>80</v>
      </c>
      <c r="E20" s="7">
        <v>80</v>
      </c>
      <c r="F20" s="7">
        <v>80</v>
      </c>
      <c r="G20" s="7">
        <v>80</v>
      </c>
      <c r="H20" s="7">
        <v>80</v>
      </c>
      <c r="I20" s="6" t="s">
        <v>47</v>
      </c>
      <c r="J20" s="11" t="s">
        <v>102</v>
      </c>
      <c r="K20" s="10">
        <v>0</v>
      </c>
      <c r="L20" s="10"/>
    </row>
    <row r="21" spans="1:14" ht="22.5" customHeight="1" thickBot="1" x14ac:dyDescent="0.25">
      <c r="A21" s="6" t="s">
        <v>70</v>
      </c>
      <c r="B21" s="7">
        <v>0.78390800000000005</v>
      </c>
      <c r="C21" s="7">
        <v>0.85776399999999997</v>
      </c>
      <c r="D21" s="7">
        <v>0</v>
      </c>
      <c r="E21" s="7">
        <v>0</v>
      </c>
      <c r="F21" s="7">
        <v>1</v>
      </c>
      <c r="G21" s="7">
        <v>1</v>
      </c>
      <c r="H21" s="7">
        <v>3</v>
      </c>
      <c r="I21" s="6" t="s">
        <v>71</v>
      </c>
      <c r="J21" s="11" t="s">
        <v>98</v>
      </c>
      <c r="K21" s="10"/>
      <c r="L21" s="10"/>
    </row>
    <row r="22" spans="1:14" ht="22.5" customHeight="1" thickBot="1" x14ac:dyDescent="0.25">
      <c r="A22" s="6" t="s">
        <v>72</v>
      </c>
      <c r="B22" s="7">
        <v>11.052873999999999</v>
      </c>
      <c r="C22" s="7">
        <v>7.5136675000000004</v>
      </c>
      <c r="D22" s="7">
        <v>0</v>
      </c>
      <c r="E22" s="7">
        <v>6</v>
      </c>
      <c r="F22" s="7">
        <v>10</v>
      </c>
      <c r="G22" s="7">
        <v>15</v>
      </c>
      <c r="H22" s="7">
        <v>40</v>
      </c>
      <c r="I22" s="6" t="s">
        <v>73</v>
      </c>
      <c r="J22" s="11" t="s">
        <v>98</v>
      </c>
      <c r="K22" s="10"/>
      <c r="L22" s="10"/>
    </row>
    <row r="23" spans="1:14" ht="22.5" customHeight="1" thickBot="1" x14ac:dyDescent="0.25">
      <c r="A23" s="6" t="s">
        <v>74</v>
      </c>
      <c r="B23" s="7">
        <v>2.8321839999999998</v>
      </c>
      <c r="C23" s="7">
        <v>1.2726651</v>
      </c>
      <c r="D23" s="7">
        <v>0</v>
      </c>
      <c r="E23" s="7">
        <v>2</v>
      </c>
      <c r="F23" s="7">
        <v>3</v>
      </c>
      <c r="G23" s="7">
        <v>3</v>
      </c>
      <c r="H23" s="7">
        <v>6</v>
      </c>
      <c r="I23" s="6" t="s">
        <v>75</v>
      </c>
      <c r="J23" s="11" t="s">
        <v>99</v>
      </c>
      <c r="K23" s="10"/>
      <c r="L23" s="10"/>
    </row>
    <row r="24" spans="1:14" ht="22.5" customHeight="1" thickBot="1" x14ac:dyDescent="0.25">
      <c r="A24" s="6" t="s">
        <v>76</v>
      </c>
      <c r="B24" s="7">
        <v>2.781609</v>
      </c>
      <c r="C24" s="7">
        <v>0.71197690000000002</v>
      </c>
      <c r="D24" s="7">
        <v>1</v>
      </c>
      <c r="E24" s="7">
        <v>2</v>
      </c>
      <c r="F24" s="7">
        <v>3</v>
      </c>
      <c r="G24" s="7">
        <v>3</v>
      </c>
      <c r="H24" s="7">
        <v>4</v>
      </c>
      <c r="I24" s="6" t="s">
        <v>77</v>
      </c>
      <c r="J24" s="11" t="s">
        <v>101</v>
      </c>
      <c r="K24" s="10"/>
      <c r="L24" s="10"/>
    </row>
    <row r="25" spans="1:14" ht="22.5" customHeight="1" thickBot="1" x14ac:dyDescent="0.25">
      <c r="A25" s="6" t="s">
        <v>78</v>
      </c>
      <c r="B25" s="7">
        <v>6.9620689999999996</v>
      </c>
      <c r="C25" s="7">
        <v>6.0210359999999996</v>
      </c>
      <c r="D25" s="7">
        <v>0</v>
      </c>
      <c r="E25" s="7">
        <v>3</v>
      </c>
      <c r="F25" s="7">
        <v>5</v>
      </c>
      <c r="G25" s="7">
        <v>10</v>
      </c>
      <c r="H25" s="7">
        <v>40</v>
      </c>
      <c r="I25" s="6" t="s">
        <v>79</v>
      </c>
      <c r="J25" s="11" t="s">
        <v>98</v>
      </c>
      <c r="K25" s="10"/>
      <c r="L25" s="10"/>
    </row>
    <row r="26" spans="1:14" ht="22.5" customHeight="1" thickBot="1" x14ac:dyDescent="0.25">
      <c r="A26" s="6" t="s">
        <v>80</v>
      </c>
      <c r="B26" s="7">
        <v>4.2045979999999998</v>
      </c>
      <c r="C26" s="7">
        <v>3.6393168999999999</v>
      </c>
      <c r="D26" s="7">
        <v>0</v>
      </c>
      <c r="E26" s="7">
        <v>2</v>
      </c>
      <c r="F26" s="7">
        <v>3</v>
      </c>
      <c r="G26" s="7">
        <v>7</v>
      </c>
      <c r="H26" s="7">
        <v>18</v>
      </c>
      <c r="I26" s="6" t="s">
        <v>81</v>
      </c>
      <c r="J26" s="11" t="s">
        <v>98</v>
      </c>
      <c r="K26" s="10"/>
      <c r="L26" s="10"/>
    </row>
    <row r="27" spans="1:14" ht="22.5" customHeight="1" thickBot="1" x14ac:dyDescent="0.25">
      <c r="A27" s="6" t="s">
        <v>82</v>
      </c>
      <c r="B27" s="7">
        <v>2.1689660000000002</v>
      </c>
      <c r="C27" s="7">
        <v>3.1858724999999999</v>
      </c>
      <c r="D27" s="7">
        <v>0</v>
      </c>
      <c r="E27" s="7">
        <v>0</v>
      </c>
      <c r="F27" s="7">
        <v>1</v>
      </c>
      <c r="G27" s="7">
        <v>3</v>
      </c>
      <c r="H27" s="7">
        <v>15</v>
      </c>
      <c r="I27" s="6" t="s">
        <v>83</v>
      </c>
      <c r="J27" s="11" t="s">
        <v>98</v>
      </c>
      <c r="K27" s="10"/>
      <c r="L27" s="10"/>
    </row>
    <row r="28" spans="1:14" ht="22.5" customHeight="1" x14ac:dyDescent="0.2">
      <c r="A28" s="6" t="s">
        <v>84</v>
      </c>
      <c r="B28" s="7">
        <v>4.1402299999999999</v>
      </c>
      <c r="C28" s="7">
        <v>3.5744413000000002</v>
      </c>
      <c r="D28" s="7">
        <v>0</v>
      </c>
      <c r="E28" s="7">
        <v>2</v>
      </c>
      <c r="F28" s="7">
        <v>3</v>
      </c>
      <c r="G28" s="7">
        <v>7</v>
      </c>
      <c r="H28" s="7">
        <v>17</v>
      </c>
      <c r="I28" s="6" t="s">
        <v>85</v>
      </c>
      <c r="J28" s="11" t="s">
        <v>101</v>
      </c>
      <c r="K28" s="10"/>
      <c r="L28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3EEB-021A-4103-87BF-E31EAD8FCDD9}">
  <dimension ref="A1:C3"/>
  <sheetViews>
    <sheetView workbookViewId="0">
      <selection activeCell="S12" sqref="S12"/>
    </sheetView>
  </sheetViews>
  <sheetFormatPr defaultRowHeight="15" x14ac:dyDescent="0.25"/>
  <sheetData>
    <row r="1" spans="1:3" x14ac:dyDescent="0.25">
      <c r="B1" t="s">
        <v>103</v>
      </c>
      <c r="C1" t="s">
        <v>104</v>
      </c>
    </row>
    <row r="2" spans="1:3" x14ac:dyDescent="0.25">
      <c r="A2" t="s">
        <v>105</v>
      </c>
      <c r="B2">
        <v>140</v>
      </c>
      <c r="C2">
        <v>730</v>
      </c>
    </row>
    <row r="3" spans="1:3" x14ac:dyDescent="0.25">
      <c r="A3" t="s">
        <v>106</v>
      </c>
      <c r="B3">
        <f>B2/(B2+C2)</f>
        <v>0.16091954022988506</v>
      </c>
      <c r="C3">
        <f>C2/(B2+C2)</f>
        <v>0.83908045977011492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8787-1D06-468F-83C6-2BEE4FBDE916}">
  <dimension ref="A1:B10"/>
  <sheetViews>
    <sheetView workbookViewId="0">
      <selection activeCell="S7" sqref="S7"/>
    </sheetView>
  </sheetViews>
  <sheetFormatPr defaultRowHeight="15" x14ac:dyDescent="0.25"/>
  <sheetData>
    <row r="1" spans="1:2" x14ac:dyDescent="0.25">
      <c r="A1" t="s">
        <v>120</v>
      </c>
      <c r="B1" t="s">
        <v>121</v>
      </c>
    </row>
    <row r="2" spans="1:2" x14ac:dyDescent="0.25">
      <c r="A2" t="s">
        <v>34</v>
      </c>
      <c r="B2">
        <v>76</v>
      </c>
    </row>
    <row r="3" spans="1:2" x14ac:dyDescent="0.25">
      <c r="A3" t="s">
        <v>20</v>
      </c>
      <c r="B3">
        <v>27</v>
      </c>
    </row>
    <row r="4" spans="1:2" x14ac:dyDescent="0.25">
      <c r="A4" t="s">
        <v>36</v>
      </c>
      <c r="B4">
        <v>153</v>
      </c>
    </row>
    <row r="5" spans="1:2" x14ac:dyDescent="0.25">
      <c r="A5" t="s">
        <v>35</v>
      </c>
      <c r="B5">
        <v>51</v>
      </c>
    </row>
    <row r="6" spans="1:2" x14ac:dyDescent="0.25">
      <c r="A6" t="s">
        <v>31</v>
      </c>
      <c r="B6">
        <v>87</v>
      </c>
    </row>
    <row r="7" spans="1:2" x14ac:dyDescent="0.25">
      <c r="A7" t="s">
        <v>30</v>
      </c>
      <c r="B7">
        <v>51</v>
      </c>
    </row>
    <row r="8" spans="1:2" x14ac:dyDescent="0.25">
      <c r="A8" t="s">
        <v>32</v>
      </c>
      <c r="B8">
        <v>172</v>
      </c>
    </row>
    <row r="9" spans="1:2" x14ac:dyDescent="0.25">
      <c r="A9" t="s">
        <v>25</v>
      </c>
      <c r="B9">
        <v>200</v>
      </c>
    </row>
    <row r="10" spans="1:2" x14ac:dyDescent="0.25">
      <c r="A10" t="s">
        <v>33</v>
      </c>
      <c r="B10">
        <v>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908A-FF9D-4E5A-8494-67B6C6874B72}">
  <dimension ref="A1:G871"/>
  <sheetViews>
    <sheetView workbookViewId="0">
      <selection activeCell="G5" sqref="G5"/>
    </sheetView>
  </sheetViews>
  <sheetFormatPr defaultRowHeight="15" x14ac:dyDescent="0.25"/>
  <cols>
    <col min="6" max="6" width="23.85546875" bestFit="1" customWidth="1"/>
    <col min="7" max="7" width="20" bestFit="1" customWidth="1"/>
  </cols>
  <sheetData>
    <row r="1" spans="1:7" x14ac:dyDescent="0.25">
      <c r="A1" t="s">
        <v>117</v>
      </c>
      <c r="B1" t="s">
        <v>108</v>
      </c>
    </row>
    <row r="2" spans="1:7" x14ac:dyDescent="0.25">
      <c r="A2" t="s">
        <v>9</v>
      </c>
      <c r="B2" t="s">
        <v>118</v>
      </c>
    </row>
    <row r="3" spans="1:7" x14ac:dyDescent="0.25">
      <c r="A3" t="s">
        <v>9</v>
      </c>
      <c r="B3" t="s">
        <v>119</v>
      </c>
    </row>
    <row r="4" spans="1:7" x14ac:dyDescent="0.25">
      <c r="A4" t="s">
        <v>9</v>
      </c>
      <c r="B4" t="s">
        <v>119</v>
      </c>
    </row>
    <row r="5" spans="1:7" x14ac:dyDescent="0.25">
      <c r="A5" t="s">
        <v>9</v>
      </c>
      <c r="B5" t="s">
        <v>118</v>
      </c>
    </row>
    <row r="6" spans="1:7" x14ac:dyDescent="0.25">
      <c r="A6" t="s">
        <v>9</v>
      </c>
      <c r="B6" t="s">
        <v>119</v>
      </c>
    </row>
    <row r="7" spans="1:7" x14ac:dyDescent="0.25">
      <c r="A7" t="s">
        <v>9</v>
      </c>
      <c r="B7" t="s">
        <v>119</v>
      </c>
    </row>
    <row r="8" spans="1:7" x14ac:dyDescent="0.25">
      <c r="A8" t="s">
        <v>9</v>
      </c>
      <c r="B8" t="s">
        <v>119</v>
      </c>
    </row>
    <row r="9" spans="1:7" x14ac:dyDescent="0.25">
      <c r="A9" t="s">
        <v>9</v>
      </c>
      <c r="B9" t="s">
        <v>118</v>
      </c>
      <c r="F9" t="s">
        <v>20</v>
      </c>
      <c r="G9">
        <v>35</v>
      </c>
    </row>
    <row r="10" spans="1:7" x14ac:dyDescent="0.25">
      <c r="A10" t="s">
        <v>9</v>
      </c>
      <c r="B10" t="s">
        <v>118</v>
      </c>
      <c r="F10" t="s">
        <v>119</v>
      </c>
      <c r="G10">
        <v>562</v>
      </c>
    </row>
    <row r="11" spans="1:7" x14ac:dyDescent="0.25">
      <c r="A11" t="s">
        <v>9</v>
      </c>
      <c r="B11" t="s">
        <v>119</v>
      </c>
      <c r="F11" t="s">
        <v>118</v>
      </c>
      <c r="G11">
        <v>273</v>
      </c>
    </row>
    <row r="12" spans="1:7" x14ac:dyDescent="0.25">
      <c r="A12" t="s">
        <v>9</v>
      </c>
      <c r="B12" t="s">
        <v>119</v>
      </c>
    </row>
    <row r="13" spans="1:7" x14ac:dyDescent="0.25">
      <c r="A13" t="s">
        <v>9</v>
      </c>
      <c r="B13" t="s">
        <v>20</v>
      </c>
    </row>
    <row r="14" spans="1:7" x14ac:dyDescent="0.25">
      <c r="A14" t="s">
        <v>9</v>
      </c>
      <c r="B14" t="s">
        <v>119</v>
      </c>
    </row>
    <row r="15" spans="1:7" x14ac:dyDescent="0.25">
      <c r="A15" t="s">
        <v>9</v>
      </c>
      <c r="B15" t="s">
        <v>118</v>
      </c>
    </row>
    <row r="16" spans="1:7" x14ac:dyDescent="0.25">
      <c r="A16" t="s">
        <v>9</v>
      </c>
      <c r="B16" t="s">
        <v>20</v>
      </c>
    </row>
    <row r="17" spans="1:2" x14ac:dyDescent="0.25">
      <c r="A17" t="s">
        <v>9</v>
      </c>
      <c r="B17" t="s">
        <v>118</v>
      </c>
    </row>
    <row r="18" spans="1:2" x14ac:dyDescent="0.25">
      <c r="A18" t="s">
        <v>9</v>
      </c>
      <c r="B18" t="s">
        <v>119</v>
      </c>
    </row>
    <row r="19" spans="1:2" x14ac:dyDescent="0.25">
      <c r="A19" t="s">
        <v>9</v>
      </c>
      <c r="B19" t="s">
        <v>119</v>
      </c>
    </row>
    <row r="20" spans="1:2" x14ac:dyDescent="0.25">
      <c r="A20" t="s">
        <v>9</v>
      </c>
      <c r="B20" t="s">
        <v>119</v>
      </c>
    </row>
    <row r="21" spans="1:2" x14ac:dyDescent="0.25">
      <c r="A21" t="s">
        <v>9</v>
      </c>
      <c r="B21" t="s">
        <v>119</v>
      </c>
    </row>
    <row r="22" spans="1:2" x14ac:dyDescent="0.25">
      <c r="A22" t="s">
        <v>9</v>
      </c>
      <c r="B22" t="s">
        <v>119</v>
      </c>
    </row>
    <row r="23" spans="1:2" x14ac:dyDescent="0.25">
      <c r="A23" t="s">
        <v>9</v>
      </c>
      <c r="B23" t="s">
        <v>118</v>
      </c>
    </row>
    <row r="24" spans="1:2" x14ac:dyDescent="0.25">
      <c r="A24" t="s">
        <v>9</v>
      </c>
      <c r="B24" t="s">
        <v>119</v>
      </c>
    </row>
    <row r="25" spans="1:2" x14ac:dyDescent="0.25">
      <c r="A25" t="s">
        <v>9</v>
      </c>
      <c r="B25" t="s">
        <v>118</v>
      </c>
    </row>
    <row r="26" spans="1:2" x14ac:dyDescent="0.25">
      <c r="A26" t="s">
        <v>9</v>
      </c>
      <c r="B26" t="s">
        <v>119</v>
      </c>
    </row>
    <row r="27" spans="1:2" x14ac:dyDescent="0.25">
      <c r="A27" t="s">
        <v>9</v>
      </c>
      <c r="B27" t="s">
        <v>118</v>
      </c>
    </row>
    <row r="28" spans="1:2" x14ac:dyDescent="0.25">
      <c r="A28" t="s">
        <v>9</v>
      </c>
      <c r="B28" t="s">
        <v>118</v>
      </c>
    </row>
    <row r="29" spans="1:2" x14ac:dyDescent="0.25">
      <c r="A29" t="s">
        <v>10</v>
      </c>
      <c r="B29" t="s">
        <v>118</v>
      </c>
    </row>
    <row r="30" spans="1:2" x14ac:dyDescent="0.25">
      <c r="A30" t="s">
        <v>10</v>
      </c>
      <c r="B30" t="s">
        <v>118</v>
      </c>
    </row>
    <row r="31" spans="1:2" x14ac:dyDescent="0.25">
      <c r="A31" t="s">
        <v>9</v>
      </c>
      <c r="B31" t="s">
        <v>119</v>
      </c>
    </row>
    <row r="32" spans="1:2" x14ac:dyDescent="0.25">
      <c r="A32" t="s">
        <v>9</v>
      </c>
      <c r="B32" t="s">
        <v>118</v>
      </c>
    </row>
    <row r="33" spans="1:2" x14ac:dyDescent="0.25">
      <c r="A33" t="s">
        <v>9</v>
      </c>
      <c r="B33" t="s">
        <v>119</v>
      </c>
    </row>
    <row r="34" spans="1:2" x14ac:dyDescent="0.25">
      <c r="A34" t="s">
        <v>9</v>
      </c>
      <c r="B34" t="s">
        <v>118</v>
      </c>
    </row>
    <row r="35" spans="1:2" x14ac:dyDescent="0.25">
      <c r="A35" t="s">
        <v>9</v>
      </c>
      <c r="B35" t="s">
        <v>119</v>
      </c>
    </row>
    <row r="36" spans="1:2" x14ac:dyDescent="0.25">
      <c r="A36" t="s">
        <v>9</v>
      </c>
      <c r="B36" t="s">
        <v>119</v>
      </c>
    </row>
    <row r="37" spans="1:2" x14ac:dyDescent="0.25">
      <c r="A37" t="s">
        <v>9</v>
      </c>
      <c r="B37" t="s">
        <v>119</v>
      </c>
    </row>
    <row r="38" spans="1:2" x14ac:dyDescent="0.25">
      <c r="A38" t="s">
        <v>10</v>
      </c>
      <c r="B38" t="s">
        <v>118</v>
      </c>
    </row>
    <row r="39" spans="1:2" x14ac:dyDescent="0.25">
      <c r="A39" t="s">
        <v>10</v>
      </c>
      <c r="B39" t="s">
        <v>118</v>
      </c>
    </row>
    <row r="40" spans="1:2" x14ac:dyDescent="0.25">
      <c r="A40" t="s">
        <v>9</v>
      </c>
      <c r="B40" t="s">
        <v>20</v>
      </c>
    </row>
    <row r="41" spans="1:2" x14ac:dyDescent="0.25">
      <c r="A41" t="s">
        <v>9</v>
      </c>
      <c r="B41" t="s">
        <v>118</v>
      </c>
    </row>
    <row r="42" spans="1:2" x14ac:dyDescent="0.25">
      <c r="A42" t="s">
        <v>9</v>
      </c>
      <c r="B42" t="s">
        <v>118</v>
      </c>
    </row>
    <row r="43" spans="1:2" x14ac:dyDescent="0.25">
      <c r="A43" t="s">
        <v>9</v>
      </c>
      <c r="B43" t="s">
        <v>118</v>
      </c>
    </row>
    <row r="44" spans="1:2" x14ac:dyDescent="0.25">
      <c r="A44" t="s">
        <v>9</v>
      </c>
      <c r="B44" t="s">
        <v>119</v>
      </c>
    </row>
    <row r="45" spans="1:2" x14ac:dyDescent="0.25">
      <c r="A45" t="s">
        <v>9</v>
      </c>
      <c r="B45" t="s">
        <v>119</v>
      </c>
    </row>
    <row r="46" spans="1:2" x14ac:dyDescent="0.25">
      <c r="A46" t="s">
        <v>9</v>
      </c>
      <c r="B46" t="s">
        <v>119</v>
      </c>
    </row>
    <row r="47" spans="1:2" x14ac:dyDescent="0.25">
      <c r="A47" t="s">
        <v>9</v>
      </c>
      <c r="B47" t="s">
        <v>119</v>
      </c>
    </row>
    <row r="48" spans="1:2" x14ac:dyDescent="0.25">
      <c r="A48" t="s">
        <v>10</v>
      </c>
      <c r="B48" t="s">
        <v>118</v>
      </c>
    </row>
    <row r="49" spans="1:2" x14ac:dyDescent="0.25">
      <c r="A49" t="s">
        <v>9</v>
      </c>
      <c r="B49" t="s">
        <v>118</v>
      </c>
    </row>
    <row r="50" spans="1:2" x14ac:dyDescent="0.25">
      <c r="A50" t="s">
        <v>10</v>
      </c>
      <c r="B50" t="s">
        <v>118</v>
      </c>
    </row>
    <row r="51" spans="1:2" x14ac:dyDescent="0.25">
      <c r="A51" t="s">
        <v>9</v>
      </c>
      <c r="B51" t="s">
        <v>119</v>
      </c>
    </row>
    <row r="52" spans="1:2" x14ac:dyDescent="0.25">
      <c r="A52" t="s">
        <v>9</v>
      </c>
      <c r="B52" t="s">
        <v>119</v>
      </c>
    </row>
    <row r="53" spans="1:2" x14ac:dyDescent="0.25">
      <c r="A53" t="s">
        <v>9</v>
      </c>
      <c r="B53" t="s">
        <v>119</v>
      </c>
    </row>
    <row r="54" spans="1:2" x14ac:dyDescent="0.25">
      <c r="A54" t="s">
        <v>9</v>
      </c>
      <c r="B54" t="s">
        <v>119</v>
      </c>
    </row>
    <row r="55" spans="1:2" x14ac:dyDescent="0.25">
      <c r="A55" t="s">
        <v>9</v>
      </c>
      <c r="B55" t="s">
        <v>119</v>
      </c>
    </row>
    <row r="56" spans="1:2" x14ac:dyDescent="0.25">
      <c r="A56" t="s">
        <v>9</v>
      </c>
      <c r="B56" t="s">
        <v>119</v>
      </c>
    </row>
    <row r="57" spans="1:2" x14ac:dyDescent="0.25">
      <c r="A57" t="s">
        <v>9</v>
      </c>
      <c r="B57" t="s">
        <v>119</v>
      </c>
    </row>
    <row r="58" spans="1:2" x14ac:dyDescent="0.25">
      <c r="A58" t="s">
        <v>10</v>
      </c>
      <c r="B58" t="s">
        <v>119</v>
      </c>
    </row>
    <row r="59" spans="1:2" x14ac:dyDescent="0.25">
      <c r="A59" t="s">
        <v>9</v>
      </c>
      <c r="B59" t="s">
        <v>119</v>
      </c>
    </row>
    <row r="60" spans="1:2" x14ac:dyDescent="0.25">
      <c r="A60" t="s">
        <v>9</v>
      </c>
      <c r="B60" t="s">
        <v>119</v>
      </c>
    </row>
    <row r="61" spans="1:2" x14ac:dyDescent="0.25">
      <c r="A61" t="s">
        <v>10</v>
      </c>
      <c r="B61" t="s">
        <v>118</v>
      </c>
    </row>
    <row r="62" spans="1:2" x14ac:dyDescent="0.25">
      <c r="A62" t="s">
        <v>10</v>
      </c>
      <c r="B62" t="s">
        <v>118</v>
      </c>
    </row>
    <row r="63" spans="1:2" x14ac:dyDescent="0.25">
      <c r="A63" t="s">
        <v>9</v>
      </c>
      <c r="B63" t="s">
        <v>119</v>
      </c>
    </row>
    <row r="64" spans="1:2" x14ac:dyDescent="0.25">
      <c r="A64" t="s">
        <v>9</v>
      </c>
      <c r="B64" t="s">
        <v>118</v>
      </c>
    </row>
    <row r="65" spans="1:2" x14ac:dyDescent="0.25">
      <c r="A65" t="s">
        <v>9</v>
      </c>
      <c r="B65" t="s">
        <v>119</v>
      </c>
    </row>
    <row r="66" spans="1:2" x14ac:dyDescent="0.25">
      <c r="A66" t="s">
        <v>10</v>
      </c>
      <c r="B66" t="s">
        <v>119</v>
      </c>
    </row>
    <row r="67" spans="1:2" x14ac:dyDescent="0.25">
      <c r="A67" t="s">
        <v>9</v>
      </c>
      <c r="B67" t="s">
        <v>119</v>
      </c>
    </row>
    <row r="68" spans="1:2" x14ac:dyDescent="0.25">
      <c r="A68" t="s">
        <v>9</v>
      </c>
      <c r="B68" t="s">
        <v>119</v>
      </c>
    </row>
    <row r="69" spans="1:2" x14ac:dyDescent="0.25">
      <c r="A69" t="s">
        <v>9</v>
      </c>
      <c r="B69" t="s">
        <v>119</v>
      </c>
    </row>
    <row r="70" spans="1:2" x14ac:dyDescent="0.25">
      <c r="A70" t="s">
        <v>9</v>
      </c>
      <c r="B70" t="s">
        <v>119</v>
      </c>
    </row>
    <row r="71" spans="1:2" x14ac:dyDescent="0.25">
      <c r="A71" t="s">
        <v>9</v>
      </c>
      <c r="B71" t="s">
        <v>119</v>
      </c>
    </row>
    <row r="72" spans="1:2" x14ac:dyDescent="0.25">
      <c r="A72" t="s">
        <v>9</v>
      </c>
      <c r="B72" t="s">
        <v>119</v>
      </c>
    </row>
    <row r="73" spans="1:2" x14ac:dyDescent="0.25">
      <c r="A73" t="s">
        <v>9</v>
      </c>
      <c r="B73" t="s">
        <v>118</v>
      </c>
    </row>
    <row r="74" spans="1:2" x14ac:dyDescent="0.25">
      <c r="A74" t="s">
        <v>10</v>
      </c>
      <c r="B74" t="s">
        <v>119</v>
      </c>
    </row>
    <row r="75" spans="1:2" x14ac:dyDescent="0.25">
      <c r="A75" t="s">
        <v>9</v>
      </c>
      <c r="B75" t="s">
        <v>119</v>
      </c>
    </row>
    <row r="76" spans="1:2" x14ac:dyDescent="0.25">
      <c r="A76" t="s">
        <v>10</v>
      </c>
      <c r="B76" t="s">
        <v>118</v>
      </c>
    </row>
    <row r="77" spans="1:2" x14ac:dyDescent="0.25">
      <c r="A77" t="s">
        <v>9</v>
      </c>
      <c r="B77" t="s">
        <v>119</v>
      </c>
    </row>
    <row r="78" spans="1:2" x14ac:dyDescent="0.25">
      <c r="A78" t="s">
        <v>9</v>
      </c>
      <c r="B78" t="s">
        <v>118</v>
      </c>
    </row>
    <row r="79" spans="1:2" x14ac:dyDescent="0.25">
      <c r="A79" t="s">
        <v>9</v>
      </c>
      <c r="B79" t="s">
        <v>118</v>
      </c>
    </row>
    <row r="80" spans="1:2" x14ac:dyDescent="0.25">
      <c r="A80" t="s">
        <v>9</v>
      </c>
      <c r="B80" t="s">
        <v>118</v>
      </c>
    </row>
    <row r="81" spans="1:2" x14ac:dyDescent="0.25">
      <c r="A81" t="s">
        <v>9</v>
      </c>
      <c r="B81" t="s">
        <v>119</v>
      </c>
    </row>
    <row r="82" spans="1:2" x14ac:dyDescent="0.25">
      <c r="A82" t="s">
        <v>10</v>
      </c>
      <c r="B82" t="s">
        <v>119</v>
      </c>
    </row>
    <row r="83" spans="1:2" x14ac:dyDescent="0.25">
      <c r="A83" t="s">
        <v>9</v>
      </c>
      <c r="B83" t="s">
        <v>119</v>
      </c>
    </row>
    <row r="84" spans="1:2" x14ac:dyDescent="0.25">
      <c r="A84" t="s">
        <v>9</v>
      </c>
      <c r="B84" t="s">
        <v>119</v>
      </c>
    </row>
    <row r="85" spans="1:2" x14ac:dyDescent="0.25">
      <c r="A85" t="s">
        <v>9</v>
      </c>
      <c r="B85" t="s">
        <v>119</v>
      </c>
    </row>
    <row r="86" spans="1:2" x14ac:dyDescent="0.25">
      <c r="A86" t="s">
        <v>9</v>
      </c>
      <c r="B86" t="s">
        <v>119</v>
      </c>
    </row>
    <row r="87" spans="1:2" x14ac:dyDescent="0.25">
      <c r="A87" t="s">
        <v>9</v>
      </c>
      <c r="B87" t="s">
        <v>119</v>
      </c>
    </row>
    <row r="88" spans="1:2" x14ac:dyDescent="0.25">
      <c r="A88" t="s">
        <v>9</v>
      </c>
      <c r="B88" t="s">
        <v>118</v>
      </c>
    </row>
    <row r="89" spans="1:2" x14ac:dyDescent="0.25">
      <c r="A89" t="s">
        <v>10</v>
      </c>
      <c r="B89" t="s">
        <v>119</v>
      </c>
    </row>
    <row r="90" spans="1:2" x14ac:dyDescent="0.25">
      <c r="A90" t="s">
        <v>9</v>
      </c>
      <c r="B90" t="s">
        <v>118</v>
      </c>
    </row>
    <row r="91" spans="1:2" x14ac:dyDescent="0.25">
      <c r="A91" t="s">
        <v>9</v>
      </c>
      <c r="B91" t="s">
        <v>118</v>
      </c>
    </row>
    <row r="92" spans="1:2" x14ac:dyDescent="0.25">
      <c r="A92" t="s">
        <v>9</v>
      </c>
      <c r="B92" t="s">
        <v>119</v>
      </c>
    </row>
    <row r="93" spans="1:2" x14ac:dyDescent="0.25">
      <c r="A93" t="s">
        <v>10</v>
      </c>
      <c r="B93" t="s">
        <v>118</v>
      </c>
    </row>
    <row r="94" spans="1:2" x14ac:dyDescent="0.25">
      <c r="A94" t="s">
        <v>10</v>
      </c>
      <c r="B94" t="s">
        <v>119</v>
      </c>
    </row>
    <row r="95" spans="1:2" x14ac:dyDescent="0.25">
      <c r="A95" t="s">
        <v>9</v>
      </c>
      <c r="B95" t="s">
        <v>119</v>
      </c>
    </row>
    <row r="96" spans="1:2" x14ac:dyDescent="0.25">
      <c r="A96" t="s">
        <v>9</v>
      </c>
      <c r="B96" t="s">
        <v>119</v>
      </c>
    </row>
    <row r="97" spans="1:2" x14ac:dyDescent="0.25">
      <c r="A97" t="s">
        <v>9</v>
      </c>
      <c r="B97" t="s">
        <v>118</v>
      </c>
    </row>
    <row r="98" spans="1:2" x14ac:dyDescent="0.25">
      <c r="A98" t="s">
        <v>9</v>
      </c>
      <c r="B98" t="s">
        <v>118</v>
      </c>
    </row>
    <row r="99" spans="1:2" x14ac:dyDescent="0.25">
      <c r="A99" t="s">
        <v>9</v>
      </c>
      <c r="B99" t="s">
        <v>119</v>
      </c>
    </row>
    <row r="100" spans="1:2" x14ac:dyDescent="0.25">
      <c r="A100" t="s">
        <v>9</v>
      </c>
      <c r="B100" t="s">
        <v>119</v>
      </c>
    </row>
    <row r="101" spans="1:2" x14ac:dyDescent="0.25">
      <c r="A101" t="s">
        <v>9</v>
      </c>
      <c r="B101" t="s">
        <v>119</v>
      </c>
    </row>
    <row r="102" spans="1:2" x14ac:dyDescent="0.25">
      <c r="A102" t="s">
        <v>9</v>
      </c>
      <c r="B102" t="s">
        <v>119</v>
      </c>
    </row>
    <row r="103" spans="1:2" x14ac:dyDescent="0.25">
      <c r="A103" t="s">
        <v>9</v>
      </c>
      <c r="B103" t="s">
        <v>118</v>
      </c>
    </row>
    <row r="104" spans="1:2" x14ac:dyDescent="0.25">
      <c r="A104" t="s">
        <v>9</v>
      </c>
      <c r="B104" t="s">
        <v>118</v>
      </c>
    </row>
    <row r="105" spans="1:2" x14ac:dyDescent="0.25">
      <c r="A105" t="s">
        <v>9</v>
      </c>
      <c r="B105" t="s">
        <v>119</v>
      </c>
    </row>
    <row r="106" spans="1:2" x14ac:dyDescent="0.25">
      <c r="A106" t="s">
        <v>9</v>
      </c>
      <c r="B106" t="s">
        <v>119</v>
      </c>
    </row>
    <row r="107" spans="1:2" x14ac:dyDescent="0.25">
      <c r="A107" t="s">
        <v>9</v>
      </c>
      <c r="B107" t="s">
        <v>119</v>
      </c>
    </row>
    <row r="108" spans="1:2" x14ac:dyDescent="0.25">
      <c r="A108" t="s">
        <v>9</v>
      </c>
      <c r="B108" t="s">
        <v>119</v>
      </c>
    </row>
    <row r="109" spans="1:2" x14ac:dyDescent="0.25">
      <c r="A109" t="s">
        <v>9</v>
      </c>
      <c r="B109" t="s">
        <v>20</v>
      </c>
    </row>
    <row r="110" spans="1:2" x14ac:dyDescent="0.25">
      <c r="A110" t="s">
        <v>10</v>
      </c>
      <c r="B110" t="s">
        <v>119</v>
      </c>
    </row>
    <row r="111" spans="1:2" x14ac:dyDescent="0.25">
      <c r="A111" t="s">
        <v>9</v>
      </c>
      <c r="B111" t="s">
        <v>119</v>
      </c>
    </row>
    <row r="112" spans="1:2" x14ac:dyDescent="0.25">
      <c r="A112" t="s">
        <v>9</v>
      </c>
      <c r="B112" t="s">
        <v>119</v>
      </c>
    </row>
    <row r="113" spans="1:2" x14ac:dyDescent="0.25">
      <c r="A113" t="s">
        <v>9</v>
      </c>
      <c r="B113" t="s">
        <v>119</v>
      </c>
    </row>
    <row r="114" spans="1:2" x14ac:dyDescent="0.25">
      <c r="A114" t="s">
        <v>9</v>
      </c>
      <c r="B114" t="s">
        <v>119</v>
      </c>
    </row>
    <row r="115" spans="1:2" x14ac:dyDescent="0.25">
      <c r="A115" t="s">
        <v>9</v>
      </c>
      <c r="B115" t="s">
        <v>119</v>
      </c>
    </row>
    <row r="116" spans="1:2" x14ac:dyDescent="0.25">
      <c r="A116" t="s">
        <v>9</v>
      </c>
      <c r="B116" t="s">
        <v>118</v>
      </c>
    </row>
    <row r="117" spans="1:2" x14ac:dyDescent="0.25">
      <c r="A117" t="s">
        <v>9</v>
      </c>
      <c r="B117" t="s">
        <v>118</v>
      </c>
    </row>
    <row r="118" spans="1:2" x14ac:dyDescent="0.25">
      <c r="A118" t="s">
        <v>9</v>
      </c>
      <c r="B118" t="s">
        <v>118</v>
      </c>
    </row>
    <row r="119" spans="1:2" x14ac:dyDescent="0.25">
      <c r="A119" t="s">
        <v>9</v>
      </c>
      <c r="B119" t="s">
        <v>119</v>
      </c>
    </row>
    <row r="120" spans="1:2" x14ac:dyDescent="0.25">
      <c r="A120" t="s">
        <v>9</v>
      </c>
      <c r="B120" t="s">
        <v>119</v>
      </c>
    </row>
    <row r="121" spans="1:2" x14ac:dyDescent="0.25">
      <c r="A121" t="s">
        <v>9</v>
      </c>
      <c r="B121" t="s">
        <v>119</v>
      </c>
    </row>
    <row r="122" spans="1:2" x14ac:dyDescent="0.25">
      <c r="A122" t="s">
        <v>9</v>
      </c>
      <c r="B122" t="s">
        <v>119</v>
      </c>
    </row>
    <row r="123" spans="1:2" x14ac:dyDescent="0.25">
      <c r="A123" t="s">
        <v>9</v>
      </c>
      <c r="B123" t="s">
        <v>118</v>
      </c>
    </row>
    <row r="124" spans="1:2" x14ac:dyDescent="0.25">
      <c r="A124" t="s">
        <v>9</v>
      </c>
      <c r="B124" t="s">
        <v>118</v>
      </c>
    </row>
    <row r="125" spans="1:2" x14ac:dyDescent="0.25">
      <c r="A125" t="s">
        <v>9</v>
      </c>
      <c r="B125" t="s">
        <v>118</v>
      </c>
    </row>
    <row r="126" spans="1:2" x14ac:dyDescent="0.25">
      <c r="A126" t="s">
        <v>9</v>
      </c>
      <c r="B126" t="s">
        <v>118</v>
      </c>
    </row>
    <row r="127" spans="1:2" x14ac:dyDescent="0.25">
      <c r="A127" t="s">
        <v>9</v>
      </c>
      <c r="B127" t="s">
        <v>118</v>
      </c>
    </row>
    <row r="128" spans="1:2" x14ac:dyDescent="0.25">
      <c r="A128" t="s">
        <v>10</v>
      </c>
      <c r="B128" t="s">
        <v>119</v>
      </c>
    </row>
    <row r="129" spans="1:2" x14ac:dyDescent="0.25">
      <c r="A129" t="s">
        <v>9</v>
      </c>
      <c r="B129" t="s">
        <v>119</v>
      </c>
    </row>
    <row r="130" spans="1:2" x14ac:dyDescent="0.25">
      <c r="A130" t="s">
        <v>9</v>
      </c>
      <c r="B130" t="s">
        <v>119</v>
      </c>
    </row>
    <row r="131" spans="1:2" x14ac:dyDescent="0.25">
      <c r="A131" t="s">
        <v>9</v>
      </c>
      <c r="B131" t="s">
        <v>118</v>
      </c>
    </row>
    <row r="132" spans="1:2" x14ac:dyDescent="0.25">
      <c r="A132" t="s">
        <v>9</v>
      </c>
      <c r="B132" t="s">
        <v>118</v>
      </c>
    </row>
    <row r="133" spans="1:2" x14ac:dyDescent="0.25">
      <c r="A133" t="s">
        <v>9</v>
      </c>
      <c r="B133" t="s">
        <v>118</v>
      </c>
    </row>
    <row r="134" spans="1:2" x14ac:dyDescent="0.25">
      <c r="A134" t="s">
        <v>9</v>
      </c>
      <c r="B134" t="s">
        <v>119</v>
      </c>
    </row>
    <row r="135" spans="1:2" x14ac:dyDescent="0.25">
      <c r="A135" t="s">
        <v>9</v>
      </c>
      <c r="B135" t="s">
        <v>119</v>
      </c>
    </row>
    <row r="136" spans="1:2" x14ac:dyDescent="0.25">
      <c r="A136" t="s">
        <v>9</v>
      </c>
      <c r="B136" t="s">
        <v>119</v>
      </c>
    </row>
    <row r="137" spans="1:2" x14ac:dyDescent="0.25">
      <c r="A137" t="s">
        <v>9</v>
      </c>
      <c r="B137" t="s">
        <v>119</v>
      </c>
    </row>
    <row r="138" spans="1:2" x14ac:dyDescent="0.25">
      <c r="A138" t="s">
        <v>10</v>
      </c>
      <c r="B138" t="s">
        <v>119</v>
      </c>
    </row>
    <row r="139" spans="1:2" x14ac:dyDescent="0.25">
      <c r="A139" t="s">
        <v>9</v>
      </c>
      <c r="B139" t="s">
        <v>119</v>
      </c>
    </row>
    <row r="140" spans="1:2" x14ac:dyDescent="0.25">
      <c r="A140" t="s">
        <v>10</v>
      </c>
      <c r="B140" t="s">
        <v>119</v>
      </c>
    </row>
    <row r="141" spans="1:2" x14ac:dyDescent="0.25">
      <c r="A141" t="s">
        <v>9</v>
      </c>
      <c r="B141" t="s">
        <v>118</v>
      </c>
    </row>
    <row r="142" spans="1:2" x14ac:dyDescent="0.25">
      <c r="A142" t="s">
        <v>9</v>
      </c>
      <c r="B142" t="s">
        <v>119</v>
      </c>
    </row>
    <row r="143" spans="1:2" x14ac:dyDescent="0.25">
      <c r="A143" t="s">
        <v>9</v>
      </c>
      <c r="B143" t="s">
        <v>119</v>
      </c>
    </row>
    <row r="144" spans="1:2" x14ac:dyDescent="0.25">
      <c r="A144" t="s">
        <v>9</v>
      </c>
      <c r="B144" t="s">
        <v>119</v>
      </c>
    </row>
    <row r="145" spans="1:2" x14ac:dyDescent="0.25">
      <c r="A145" t="s">
        <v>9</v>
      </c>
      <c r="B145" t="s">
        <v>118</v>
      </c>
    </row>
    <row r="146" spans="1:2" x14ac:dyDescent="0.25">
      <c r="A146" t="s">
        <v>9</v>
      </c>
      <c r="B146" t="s">
        <v>119</v>
      </c>
    </row>
    <row r="147" spans="1:2" x14ac:dyDescent="0.25">
      <c r="A147" t="s">
        <v>9</v>
      </c>
      <c r="B147" t="s">
        <v>118</v>
      </c>
    </row>
    <row r="148" spans="1:2" x14ac:dyDescent="0.25">
      <c r="A148" t="s">
        <v>9</v>
      </c>
      <c r="B148" t="s">
        <v>119</v>
      </c>
    </row>
    <row r="149" spans="1:2" x14ac:dyDescent="0.25">
      <c r="A149" t="s">
        <v>9</v>
      </c>
      <c r="B149" t="s">
        <v>118</v>
      </c>
    </row>
    <row r="150" spans="1:2" x14ac:dyDescent="0.25">
      <c r="A150" t="s">
        <v>9</v>
      </c>
      <c r="B150" t="s">
        <v>119</v>
      </c>
    </row>
    <row r="151" spans="1:2" x14ac:dyDescent="0.25">
      <c r="A151" t="s">
        <v>9</v>
      </c>
      <c r="B151" t="s">
        <v>119</v>
      </c>
    </row>
    <row r="152" spans="1:2" x14ac:dyDescent="0.25">
      <c r="A152" t="s">
        <v>10</v>
      </c>
      <c r="B152" t="s">
        <v>118</v>
      </c>
    </row>
    <row r="153" spans="1:2" x14ac:dyDescent="0.25">
      <c r="A153" t="s">
        <v>9</v>
      </c>
      <c r="B153" t="s">
        <v>118</v>
      </c>
    </row>
    <row r="154" spans="1:2" x14ac:dyDescent="0.25">
      <c r="A154" t="s">
        <v>9</v>
      </c>
      <c r="B154" t="s">
        <v>118</v>
      </c>
    </row>
    <row r="155" spans="1:2" x14ac:dyDescent="0.25">
      <c r="A155" t="s">
        <v>9</v>
      </c>
      <c r="B155" t="s">
        <v>119</v>
      </c>
    </row>
    <row r="156" spans="1:2" x14ac:dyDescent="0.25">
      <c r="A156" t="s">
        <v>9</v>
      </c>
      <c r="B156" t="s">
        <v>119</v>
      </c>
    </row>
    <row r="157" spans="1:2" x14ac:dyDescent="0.25">
      <c r="A157" t="s">
        <v>9</v>
      </c>
      <c r="B157" t="s">
        <v>118</v>
      </c>
    </row>
    <row r="158" spans="1:2" x14ac:dyDescent="0.25">
      <c r="A158" t="s">
        <v>9</v>
      </c>
      <c r="B158" t="s">
        <v>118</v>
      </c>
    </row>
    <row r="159" spans="1:2" x14ac:dyDescent="0.25">
      <c r="A159" t="s">
        <v>10</v>
      </c>
      <c r="B159" t="s">
        <v>119</v>
      </c>
    </row>
    <row r="160" spans="1:2" x14ac:dyDescent="0.25">
      <c r="A160" t="s">
        <v>9</v>
      </c>
      <c r="B160" t="s">
        <v>119</v>
      </c>
    </row>
    <row r="161" spans="1:2" x14ac:dyDescent="0.25">
      <c r="A161" t="s">
        <v>9</v>
      </c>
      <c r="B161" t="s">
        <v>119</v>
      </c>
    </row>
    <row r="162" spans="1:2" x14ac:dyDescent="0.25">
      <c r="A162" t="s">
        <v>9</v>
      </c>
      <c r="B162" t="s">
        <v>119</v>
      </c>
    </row>
    <row r="163" spans="1:2" x14ac:dyDescent="0.25">
      <c r="A163" t="s">
        <v>10</v>
      </c>
      <c r="B163" t="s">
        <v>119</v>
      </c>
    </row>
    <row r="164" spans="1:2" x14ac:dyDescent="0.25">
      <c r="A164" t="s">
        <v>9</v>
      </c>
      <c r="B164" t="s">
        <v>118</v>
      </c>
    </row>
    <row r="165" spans="1:2" x14ac:dyDescent="0.25">
      <c r="A165" t="s">
        <v>9</v>
      </c>
      <c r="B165" t="s">
        <v>119</v>
      </c>
    </row>
    <row r="166" spans="1:2" x14ac:dyDescent="0.25">
      <c r="A166" t="s">
        <v>9</v>
      </c>
      <c r="B166" t="s">
        <v>118</v>
      </c>
    </row>
    <row r="167" spans="1:2" x14ac:dyDescent="0.25">
      <c r="A167" t="s">
        <v>10</v>
      </c>
      <c r="B167" t="s">
        <v>118</v>
      </c>
    </row>
    <row r="168" spans="1:2" x14ac:dyDescent="0.25">
      <c r="A168" t="s">
        <v>9</v>
      </c>
      <c r="B168" t="s">
        <v>119</v>
      </c>
    </row>
    <row r="169" spans="1:2" x14ac:dyDescent="0.25">
      <c r="A169" t="s">
        <v>9</v>
      </c>
      <c r="B169" t="s">
        <v>119</v>
      </c>
    </row>
    <row r="170" spans="1:2" x14ac:dyDescent="0.25">
      <c r="A170" t="s">
        <v>9</v>
      </c>
      <c r="B170" t="s">
        <v>119</v>
      </c>
    </row>
    <row r="171" spans="1:2" x14ac:dyDescent="0.25">
      <c r="A171" t="s">
        <v>9</v>
      </c>
      <c r="B171" t="s">
        <v>119</v>
      </c>
    </row>
    <row r="172" spans="1:2" x14ac:dyDescent="0.25">
      <c r="A172" t="s">
        <v>9</v>
      </c>
      <c r="B172" t="s">
        <v>118</v>
      </c>
    </row>
    <row r="173" spans="1:2" x14ac:dyDescent="0.25">
      <c r="A173" t="s">
        <v>9</v>
      </c>
      <c r="B173" t="s">
        <v>119</v>
      </c>
    </row>
    <row r="174" spans="1:2" x14ac:dyDescent="0.25">
      <c r="A174" t="s">
        <v>9</v>
      </c>
      <c r="B174" t="s">
        <v>119</v>
      </c>
    </row>
    <row r="175" spans="1:2" x14ac:dyDescent="0.25">
      <c r="A175" t="s">
        <v>9</v>
      </c>
      <c r="B175" t="s">
        <v>118</v>
      </c>
    </row>
    <row r="176" spans="1:2" x14ac:dyDescent="0.25">
      <c r="A176" t="s">
        <v>9</v>
      </c>
      <c r="B176" t="s">
        <v>118</v>
      </c>
    </row>
    <row r="177" spans="1:2" x14ac:dyDescent="0.25">
      <c r="A177" t="s">
        <v>9</v>
      </c>
      <c r="B177" t="s">
        <v>119</v>
      </c>
    </row>
    <row r="178" spans="1:2" x14ac:dyDescent="0.25">
      <c r="A178" t="s">
        <v>10</v>
      </c>
      <c r="B178" t="s">
        <v>119</v>
      </c>
    </row>
    <row r="179" spans="1:2" x14ac:dyDescent="0.25">
      <c r="A179" t="s">
        <v>10</v>
      </c>
      <c r="B179" t="s">
        <v>119</v>
      </c>
    </row>
    <row r="180" spans="1:2" x14ac:dyDescent="0.25">
      <c r="A180" t="s">
        <v>9</v>
      </c>
      <c r="B180" t="s">
        <v>118</v>
      </c>
    </row>
    <row r="181" spans="1:2" x14ac:dyDescent="0.25">
      <c r="A181" t="s">
        <v>9</v>
      </c>
      <c r="B181" t="s">
        <v>118</v>
      </c>
    </row>
    <row r="182" spans="1:2" x14ac:dyDescent="0.25">
      <c r="A182" t="s">
        <v>9</v>
      </c>
      <c r="B182" t="s">
        <v>119</v>
      </c>
    </row>
    <row r="183" spans="1:2" x14ac:dyDescent="0.25">
      <c r="A183" t="s">
        <v>9</v>
      </c>
      <c r="B183" t="s">
        <v>118</v>
      </c>
    </row>
    <row r="184" spans="1:2" x14ac:dyDescent="0.25">
      <c r="A184" t="s">
        <v>9</v>
      </c>
      <c r="B184" t="s">
        <v>119</v>
      </c>
    </row>
    <row r="185" spans="1:2" x14ac:dyDescent="0.25">
      <c r="A185" t="s">
        <v>9</v>
      </c>
      <c r="B185" t="s">
        <v>119</v>
      </c>
    </row>
    <row r="186" spans="1:2" x14ac:dyDescent="0.25">
      <c r="A186" t="s">
        <v>9</v>
      </c>
      <c r="B186" t="s">
        <v>119</v>
      </c>
    </row>
    <row r="187" spans="1:2" x14ac:dyDescent="0.25">
      <c r="A187" t="s">
        <v>9</v>
      </c>
      <c r="B187" t="s">
        <v>119</v>
      </c>
    </row>
    <row r="188" spans="1:2" x14ac:dyDescent="0.25">
      <c r="A188" t="s">
        <v>9</v>
      </c>
      <c r="B188" t="s">
        <v>119</v>
      </c>
    </row>
    <row r="189" spans="1:2" x14ac:dyDescent="0.25">
      <c r="A189" t="s">
        <v>9</v>
      </c>
      <c r="B189" t="s">
        <v>118</v>
      </c>
    </row>
    <row r="190" spans="1:2" x14ac:dyDescent="0.25">
      <c r="A190" t="s">
        <v>9</v>
      </c>
      <c r="B190" t="s">
        <v>119</v>
      </c>
    </row>
    <row r="191" spans="1:2" x14ac:dyDescent="0.25">
      <c r="A191" t="s">
        <v>9</v>
      </c>
      <c r="B191" t="s">
        <v>118</v>
      </c>
    </row>
    <row r="192" spans="1:2" x14ac:dyDescent="0.25">
      <c r="A192" t="s">
        <v>9</v>
      </c>
      <c r="B192" t="s">
        <v>119</v>
      </c>
    </row>
    <row r="193" spans="1:2" x14ac:dyDescent="0.25">
      <c r="A193" t="s">
        <v>9</v>
      </c>
      <c r="B193" t="s">
        <v>118</v>
      </c>
    </row>
    <row r="194" spans="1:2" x14ac:dyDescent="0.25">
      <c r="A194" t="s">
        <v>9</v>
      </c>
      <c r="B194" t="s">
        <v>119</v>
      </c>
    </row>
    <row r="195" spans="1:2" x14ac:dyDescent="0.25">
      <c r="A195" t="s">
        <v>9</v>
      </c>
      <c r="B195" t="s">
        <v>118</v>
      </c>
    </row>
    <row r="196" spans="1:2" x14ac:dyDescent="0.25">
      <c r="A196" t="s">
        <v>9</v>
      </c>
      <c r="B196" t="s">
        <v>119</v>
      </c>
    </row>
    <row r="197" spans="1:2" x14ac:dyDescent="0.25">
      <c r="A197" t="s">
        <v>9</v>
      </c>
      <c r="B197" t="s">
        <v>119</v>
      </c>
    </row>
    <row r="198" spans="1:2" x14ac:dyDescent="0.25">
      <c r="A198" t="s">
        <v>9</v>
      </c>
      <c r="B198" t="s">
        <v>119</v>
      </c>
    </row>
    <row r="199" spans="1:2" x14ac:dyDescent="0.25">
      <c r="A199" t="s">
        <v>9</v>
      </c>
      <c r="B199" t="s">
        <v>118</v>
      </c>
    </row>
    <row r="200" spans="1:2" x14ac:dyDescent="0.25">
      <c r="A200" t="s">
        <v>9</v>
      </c>
      <c r="B200" t="s">
        <v>119</v>
      </c>
    </row>
    <row r="201" spans="1:2" x14ac:dyDescent="0.25">
      <c r="A201" t="s">
        <v>9</v>
      </c>
      <c r="B201" t="s">
        <v>119</v>
      </c>
    </row>
    <row r="202" spans="1:2" x14ac:dyDescent="0.25">
      <c r="A202" t="s">
        <v>10</v>
      </c>
      <c r="B202" t="s">
        <v>118</v>
      </c>
    </row>
    <row r="203" spans="1:2" x14ac:dyDescent="0.25">
      <c r="A203" t="s">
        <v>9</v>
      </c>
      <c r="B203" t="s">
        <v>119</v>
      </c>
    </row>
    <row r="204" spans="1:2" x14ac:dyDescent="0.25">
      <c r="A204" t="s">
        <v>9</v>
      </c>
      <c r="B204" t="s">
        <v>119</v>
      </c>
    </row>
    <row r="205" spans="1:2" x14ac:dyDescent="0.25">
      <c r="A205" t="s">
        <v>10</v>
      </c>
      <c r="B205" t="s">
        <v>119</v>
      </c>
    </row>
    <row r="206" spans="1:2" x14ac:dyDescent="0.25">
      <c r="A206" t="s">
        <v>9</v>
      </c>
      <c r="B206" t="s">
        <v>118</v>
      </c>
    </row>
    <row r="207" spans="1:2" x14ac:dyDescent="0.25">
      <c r="A207" t="s">
        <v>9</v>
      </c>
      <c r="B207" t="s">
        <v>119</v>
      </c>
    </row>
    <row r="208" spans="1:2" x14ac:dyDescent="0.25">
      <c r="A208" t="s">
        <v>10</v>
      </c>
      <c r="B208" t="s">
        <v>118</v>
      </c>
    </row>
    <row r="209" spans="1:2" x14ac:dyDescent="0.25">
      <c r="A209" t="s">
        <v>10</v>
      </c>
      <c r="B209" t="s">
        <v>119</v>
      </c>
    </row>
    <row r="210" spans="1:2" x14ac:dyDescent="0.25">
      <c r="A210" t="s">
        <v>9</v>
      </c>
      <c r="B210" t="s">
        <v>119</v>
      </c>
    </row>
    <row r="211" spans="1:2" x14ac:dyDescent="0.25">
      <c r="A211" t="s">
        <v>9</v>
      </c>
      <c r="B211" t="s">
        <v>118</v>
      </c>
    </row>
    <row r="212" spans="1:2" x14ac:dyDescent="0.25">
      <c r="A212" t="s">
        <v>9</v>
      </c>
      <c r="B212" t="s">
        <v>119</v>
      </c>
    </row>
    <row r="213" spans="1:2" x14ac:dyDescent="0.25">
      <c r="A213" t="s">
        <v>9</v>
      </c>
      <c r="B213" t="s">
        <v>118</v>
      </c>
    </row>
    <row r="214" spans="1:2" x14ac:dyDescent="0.25">
      <c r="A214" t="s">
        <v>9</v>
      </c>
      <c r="B214" t="s">
        <v>119</v>
      </c>
    </row>
    <row r="215" spans="1:2" x14ac:dyDescent="0.25">
      <c r="A215" t="s">
        <v>9</v>
      </c>
      <c r="B215" t="s">
        <v>119</v>
      </c>
    </row>
    <row r="216" spans="1:2" x14ac:dyDescent="0.25">
      <c r="A216" t="s">
        <v>9</v>
      </c>
      <c r="B216" t="s">
        <v>119</v>
      </c>
    </row>
    <row r="217" spans="1:2" x14ac:dyDescent="0.25">
      <c r="A217" t="s">
        <v>9</v>
      </c>
      <c r="B217" t="s">
        <v>119</v>
      </c>
    </row>
    <row r="218" spans="1:2" x14ac:dyDescent="0.25">
      <c r="A218" t="s">
        <v>9</v>
      </c>
      <c r="B218" t="s">
        <v>119</v>
      </c>
    </row>
    <row r="219" spans="1:2" x14ac:dyDescent="0.25">
      <c r="A219" t="s">
        <v>9</v>
      </c>
      <c r="B219" t="s">
        <v>119</v>
      </c>
    </row>
    <row r="220" spans="1:2" x14ac:dyDescent="0.25">
      <c r="A220" t="s">
        <v>9</v>
      </c>
      <c r="B220" t="s">
        <v>119</v>
      </c>
    </row>
    <row r="221" spans="1:2" x14ac:dyDescent="0.25">
      <c r="A221" t="s">
        <v>9</v>
      </c>
      <c r="B221" t="s">
        <v>119</v>
      </c>
    </row>
    <row r="222" spans="1:2" x14ac:dyDescent="0.25">
      <c r="A222" t="s">
        <v>9</v>
      </c>
      <c r="B222" t="s">
        <v>118</v>
      </c>
    </row>
    <row r="223" spans="1:2" x14ac:dyDescent="0.25">
      <c r="A223" t="s">
        <v>10</v>
      </c>
      <c r="B223" t="s">
        <v>118</v>
      </c>
    </row>
    <row r="224" spans="1:2" x14ac:dyDescent="0.25">
      <c r="A224" t="s">
        <v>9</v>
      </c>
      <c r="B224" t="s">
        <v>118</v>
      </c>
    </row>
    <row r="225" spans="1:2" x14ac:dyDescent="0.25">
      <c r="A225" t="s">
        <v>9</v>
      </c>
      <c r="B225" t="s">
        <v>119</v>
      </c>
    </row>
    <row r="226" spans="1:2" x14ac:dyDescent="0.25">
      <c r="A226" t="s">
        <v>9</v>
      </c>
      <c r="B226" t="s">
        <v>119</v>
      </c>
    </row>
    <row r="227" spans="1:2" x14ac:dyDescent="0.25">
      <c r="A227" t="s">
        <v>9</v>
      </c>
      <c r="B227" t="s">
        <v>119</v>
      </c>
    </row>
    <row r="228" spans="1:2" x14ac:dyDescent="0.25">
      <c r="A228" t="s">
        <v>9</v>
      </c>
      <c r="B228" t="s">
        <v>119</v>
      </c>
    </row>
    <row r="229" spans="1:2" x14ac:dyDescent="0.25">
      <c r="A229" t="s">
        <v>9</v>
      </c>
      <c r="B229" t="s">
        <v>119</v>
      </c>
    </row>
    <row r="230" spans="1:2" x14ac:dyDescent="0.25">
      <c r="A230" t="s">
        <v>9</v>
      </c>
      <c r="B230" t="s">
        <v>118</v>
      </c>
    </row>
    <row r="231" spans="1:2" x14ac:dyDescent="0.25">
      <c r="A231" t="s">
        <v>9</v>
      </c>
      <c r="B231" t="s">
        <v>119</v>
      </c>
    </row>
    <row r="232" spans="1:2" x14ac:dyDescent="0.25">
      <c r="A232" t="s">
        <v>9</v>
      </c>
      <c r="B232" t="s">
        <v>119</v>
      </c>
    </row>
    <row r="233" spans="1:2" x14ac:dyDescent="0.25">
      <c r="A233" t="s">
        <v>9</v>
      </c>
      <c r="B233" t="s">
        <v>118</v>
      </c>
    </row>
    <row r="234" spans="1:2" x14ac:dyDescent="0.25">
      <c r="A234" t="s">
        <v>10</v>
      </c>
      <c r="B234" t="s">
        <v>118</v>
      </c>
    </row>
    <row r="235" spans="1:2" x14ac:dyDescent="0.25">
      <c r="A235" t="s">
        <v>9</v>
      </c>
      <c r="B235" t="s">
        <v>118</v>
      </c>
    </row>
    <row r="236" spans="1:2" x14ac:dyDescent="0.25">
      <c r="A236" t="s">
        <v>9</v>
      </c>
      <c r="B236" t="s">
        <v>118</v>
      </c>
    </row>
    <row r="237" spans="1:2" x14ac:dyDescent="0.25">
      <c r="A237" t="s">
        <v>10</v>
      </c>
      <c r="B237" t="s">
        <v>118</v>
      </c>
    </row>
    <row r="238" spans="1:2" x14ac:dyDescent="0.25">
      <c r="A238" t="s">
        <v>9</v>
      </c>
      <c r="B238" t="s">
        <v>119</v>
      </c>
    </row>
    <row r="239" spans="1:2" x14ac:dyDescent="0.25">
      <c r="A239" t="s">
        <v>9</v>
      </c>
      <c r="B239" t="s">
        <v>119</v>
      </c>
    </row>
    <row r="240" spans="1:2" x14ac:dyDescent="0.25">
      <c r="A240" t="s">
        <v>9</v>
      </c>
      <c r="B240" t="s">
        <v>20</v>
      </c>
    </row>
    <row r="241" spans="1:2" x14ac:dyDescent="0.25">
      <c r="A241" t="s">
        <v>9</v>
      </c>
      <c r="B241" t="s">
        <v>119</v>
      </c>
    </row>
    <row r="242" spans="1:2" x14ac:dyDescent="0.25">
      <c r="A242" t="s">
        <v>9</v>
      </c>
      <c r="B242" t="s">
        <v>119</v>
      </c>
    </row>
    <row r="243" spans="1:2" x14ac:dyDescent="0.25">
      <c r="A243" t="s">
        <v>9</v>
      </c>
      <c r="B243" t="s">
        <v>119</v>
      </c>
    </row>
    <row r="244" spans="1:2" x14ac:dyDescent="0.25">
      <c r="A244" t="s">
        <v>9</v>
      </c>
      <c r="B244" t="s">
        <v>119</v>
      </c>
    </row>
    <row r="245" spans="1:2" x14ac:dyDescent="0.25">
      <c r="A245" t="s">
        <v>10</v>
      </c>
      <c r="B245" t="s">
        <v>118</v>
      </c>
    </row>
    <row r="246" spans="1:2" x14ac:dyDescent="0.25">
      <c r="A246" t="s">
        <v>9</v>
      </c>
      <c r="B246" t="s">
        <v>119</v>
      </c>
    </row>
    <row r="247" spans="1:2" x14ac:dyDescent="0.25">
      <c r="A247" t="s">
        <v>9</v>
      </c>
      <c r="B247" t="s">
        <v>119</v>
      </c>
    </row>
    <row r="248" spans="1:2" x14ac:dyDescent="0.25">
      <c r="A248" t="s">
        <v>9</v>
      </c>
      <c r="B248" t="s">
        <v>119</v>
      </c>
    </row>
    <row r="249" spans="1:2" x14ac:dyDescent="0.25">
      <c r="A249" t="s">
        <v>9</v>
      </c>
      <c r="B249" t="s">
        <v>118</v>
      </c>
    </row>
    <row r="250" spans="1:2" x14ac:dyDescent="0.25">
      <c r="A250" t="s">
        <v>9</v>
      </c>
      <c r="B250" t="s">
        <v>119</v>
      </c>
    </row>
    <row r="251" spans="1:2" x14ac:dyDescent="0.25">
      <c r="A251" t="s">
        <v>9</v>
      </c>
      <c r="B251" t="s">
        <v>118</v>
      </c>
    </row>
    <row r="252" spans="1:2" x14ac:dyDescent="0.25">
      <c r="A252" t="s">
        <v>9</v>
      </c>
      <c r="B252" t="s">
        <v>119</v>
      </c>
    </row>
    <row r="253" spans="1:2" x14ac:dyDescent="0.25">
      <c r="A253" t="s">
        <v>9</v>
      </c>
      <c r="B253" t="s">
        <v>118</v>
      </c>
    </row>
    <row r="254" spans="1:2" x14ac:dyDescent="0.25">
      <c r="A254" t="s">
        <v>9</v>
      </c>
      <c r="B254" t="s">
        <v>119</v>
      </c>
    </row>
    <row r="255" spans="1:2" x14ac:dyDescent="0.25">
      <c r="A255" t="s">
        <v>10</v>
      </c>
      <c r="B255" t="s">
        <v>20</v>
      </c>
    </row>
    <row r="256" spans="1:2" x14ac:dyDescent="0.25">
      <c r="A256" t="s">
        <v>9</v>
      </c>
      <c r="B256" t="s">
        <v>119</v>
      </c>
    </row>
    <row r="257" spans="1:2" x14ac:dyDescent="0.25">
      <c r="A257" t="s">
        <v>9</v>
      </c>
      <c r="B257" t="s">
        <v>119</v>
      </c>
    </row>
    <row r="258" spans="1:2" x14ac:dyDescent="0.25">
      <c r="A258" t="s">
        <v>9</v>
      </c>
      <c r="B258" t="s">
        <v>118</v>
      </c>
    </row>
    <row r="259" spans="1:2" x14ac:dyDescent="0.25">
      <c r="A259" t="s">
        <v>9</v>
      </c>
      <c r="B259" t="s">
        <v>118</v>
      </c>
    </row>
    <row r="260" spans="1:2" x14ac:dyDescent="0.25">
      <c r="A260" t="s">
        <v>9</v>
      </c>
      <c r="B260" t="s">
        <v>118</v>
      </c>
    </row>
    <row r="261" spans="1:2" x14ac:dyDescent="0.25">
      <c r="A261" t="s">
        <v>9</v>
      </c>
      <c r="B261" t="s">
        <v>119</v>
      </c>
    </row>
    <row r="262" spans="1:2" x14ac:dyDescent="0.25">
      <c r="A262" t="s">
        <v>10</v>
      </c>
      <c r="B262" t="s">
        <v>118</v>
      </c>
    </row>
    <row r="263" spans="1:2" x14ac:dyDescent="0.25">
      <c r="A263" t="s">
        <v>10</v>
      </c>
      <c r="B263" t="s">
        <v>119</v>
      </c>
    </row>
    <row r="264" spans="1:2" x14ac:dyDescent="0.25">
      <c r="A264" t="s">
        <v>10</v>
      </c>
      <c r="B264" t="s">
        <v>119</v>
      </c>
    </row>
    <row r="265" spans="1:2" x14ac:dyDescent="0.25">
      <c r="A265" t="s">
        <v>9</v>
      </c>
      <c r="B265" t="s">
        <v>118</v>
      </c>
    </row>
    <row r="266" spans="1:2" x14ac:dyDescent="0.25">
      <c r="A266" t="s">
        <v>9</v>
      </c>
      <c r="B266" t="s">
        <v>119</v>
      </c>
    </row>
    <row r="267" spans="1:2" x14ac:dyDescent="0.25">
      <c r="A267" t="s">
        <v>9</v>
      </c>
      <c r="B267" t="s">
        <v>119</v>
      </c>
    </row>
    <row r="268" spans="1:2" x14ac:dyDescent="0.25">
      <c r="A268" t="s">
        <v>9</v>
      </c>
      <c r="B268" t="s">
        <v>119</v>
      </c>
    </row>
    <row r="269" spans="1:2" x14ac:dyDescent="0.25">
      <c r="A269" t="s">
        <v>10</v>
      </c>
      <c r="B269" t="s">
        <v>119</v>
      </c>
    </row>
    <row r="270" spans="1:2" x14ac:dyDescent="0.25">
      <c r="A270" t="s">
        <v>9</v>
      </c>
      <c r="B270" t="s">
        <v>119</v>
      </c>
    </row>
    <row r="271" spans="1:2" x14ac:dyDescent="0.25">
      <c r="A271" t="s">
        <v>9</v>
      </c>
      <c r="B271" t="s">
        <v>119</v>
      </c>
    </row>
    <row r="272" spans="1:2" x14ac:dyDescent="0.25">
      <c r="A272" t="s">
        <v>9</v>
      </c>
      <c r="B272" t="s">
        <v>118</v>
      </c>
    </row>
    <row r="273" spans="1:2" x14ac:dyDescent="0.25">
      <c r="A273" t="s">
        <v>9</v>
      </c>
      <c r="B273" t="s">
        <v>119</v>
      </c>
    </row>
    <row r="274" spans="1:2" x14ac:dyDescent="0.25">
      <c r="A274" t="s">
        <v>9</v>
      </c>
      <c r="B274" t="s">
        <v>118</v>
      </c>
    </row>
    <row r="275" spans="1:2" x14ac:dyDescent="0.25">
      <c r="A275" t="s">
        <v>9</v>
      </c>
      <c r="B275" t="s">
        <v>118</v>
      </c>
    </row>
    <row r="276" spans="1:2" x14ac:dyDescent="0.25">
      <c r="A276" t="s">
        <v>9</v>
      </c>
      <c r="B276" t="s">
        <v>119</v>
      </c>
    </row>
    <row r="277" spans="1:2" x14ac:dyDescent="0.25">
      <c r="A277" t="s">
        <v>9</v>
      </c>
      <c r="B277" t="s">
        <v>119</v>
      </c>
    </row>
    <row r="278" spans="1:2" x14ac:dyDescent="0.25">
      <c r="A278" t="s">
        <v>9</v>
      </c>
      <c r="B278" t="s">
        <v>119</v>
      </c>
    </row>
    <row r="279" spans="1:2" x14ac:dyDescent="0.25">
      <c r="A279" t="s">
        <v>9</v>
      </c>
      <c r="B279" t="s">
        <v>119</v>
      </c>
    </row>
    <row r="280" spans="1:2" x14ac:dyDescent="0.25">
      <c r="A280" t="s">
        <v>10</v>
      </c>
      <c r="B280" t="s">
        <v>118</v>
      </c>
    </row>
    <row r="281" spans="1:2" x14ac:dyDescent="0.25">
      <c r="A281" t="s">
        <v>9</v>
      </c>
      <c r="B281" t="s">
        <v>119</v>
      </c>
    </row>
    <row r="282" spans="1:2" x14ac:dyDescent="0.25">
      <c r="A282" t="s">
        <v>9</v>
      </c>
      <c r="B282" t="s">
        <v>118</v>
      </c>
    </row>
    <row r="283" spans="1:2" x14ac:dyDescent="0.25">
      <c r="A283" t="s">
        <v>9</v>
      </c>
      <c r="B283" t="s">
        <v>119</v>
      </c>
    </row>
    <row r="284" spans="1:2" x14ac:dyDescent="0.25">
      <c r="A284" t="s">
        <v>9</v>
      </c>
      <c r="B284" t="s">
        <v>119</v>
      </c>
    </row>
    <row r="285" spans="1:2" x14ac:dyDescent="0.25">
      <c r="A285" t="s">
        <v>9</v>
      </c>
      <c r="B285" t="s">
        <v>118</v>
      </c>
    </row>
    <row r="286" spans="1:2" x14ac:dyDescent="0.25">
      <c r="A286" t="s">
        <v>9</v>
      </c>
      <c r="B286" t="s">
        <v>20</v>
      </c>
    </row>
    <row r="287" spans="1:2" x14ac:dyDescent="0.25">
      <c r="A287" t="s">
        <v>9</v>
      </c>
      <c r="B287" t="s">
        <v>119</v>
      </c>
    </row>
    <row r="288" spans="1:2" x14ac:dyDescent="0.25">
      <c r="A288" t="s">
        <v>10</v>
      </c>
      <c r="B288" t="s">
        <v>119</v>
      </c>
    </row>
    <row r="289" spans="1:2" x14ac:dyDescent="0.25">
      <c r="A289" t="s">
        <v>9</v>
      </c>
      <c r="B289" t="s">
        <v>119</v>
      </c>
    </row>
    <row r="290" spans="1:2" x14ac:dyDescent="0.25">
      <c r="A290" t="s">
        <v>9</v>
      </c>
      <c r="B290" t="s">
        <v>118</v>
      </c>
    </row>
    <row r="291" spans="1:2" x14ac:dyDescent="0.25">
      <c r="A291" t="s">
        <v>9</v>
      </c>
      <c r="B291" t="s">
        <v>118</v>
      </c>
    </row>
    <row r="292" spans="1:2" x14ac:dyDescent="0.25">
      <c r="A292" t="s">
        <v>9</v>
      </c>
      <c r="B292" t="s">
        <v>119</v>
      </c>
    </row>
    <row r="293" spans="1:2" x14ac:dyDescent="0.25">
      <c r="A293" t="s">
        <v>9</v>
      </c>
      <c r="B293" t="s">
        <v>119</v>
      </c>
    </row>
    <row r="294" spans="1:2" x14ac:dyDescent="0.25">
      <c r="A294" t="s">
        <v>9</v>
      </c>
      <c r="B294" t="s">
        <v>119</v>
      </c>
    </row>
    <row r="295" spans="1:2" x14ac:dyDescent="0.25">
      <c r="A295" t="s">
        <v>9</v>
      </c>
      <c r="B295" t="s">
        <v>119</v>
      </c>
    </row>
    <row r="296" spans="1:2" x14ac:dyDescent="0.25">
      <c r="A296" t="s">
        <v>9</v>
      </c>
      <c r="B296" t="s">
        <v>20</v>
      </c>
    </row>
    <row r="297" spans="1:2" x14ac:dyDescent="0.25">
      <c r="A297" t="s">
        <v>9</v>
      </c>
      <c r="B297" t="s">
        <v>119</v>
      </c>
    </row>
    <row r="298" spans="1:2" x14ac:dyDescent="0.25">
      <c r="A298" t="s">
        <v>9</v>
      </c>
      <c r="B298" t="s">
        <v>119</v>
      </c>
    </row>
    <row r="299" spans="1:2" x14ac:dyDescent="0.25">
      <c r="A299" t="s">
        <v>10</v>
      </c>
      <c r="B299" t="s">
        <v>119</v>
      </c>
    </row>
    <row r="300" spans="1:2" x14ac:dyDescent="0.25">
      <c r="A300" t="s">
        <v>10</v>
      </c>
      <c r="B300" t="s">
        <v>119</v>
      </c>
    </row>
    <row r="301" spans="1:2" x14ac:dyDescent="0.25">
      <c r="A301" t="s">
        <v>10</v>
      </c>
      <c r="B301" t="s">
        <v>119</v>
      </c>
    </row>
    <row r="302" spans="1:2" x14ac:dyDescent="0.25">
      <c r="A302" t="s">
        <v>9</v>
      </c>
      <c r="B302" t="s">
        <v>118</v>
      </c>
    </row>
    <row r="303" spans="1:2" x14ac:dyDescent="0.25">
      <c r="A303" t="s">
        <v>9</v>
      </c>
      <c r="B303" t="s">
        <v>118</v>
      </c>
    </row>
    <row r="304" spans="1:2" x14ac:dyDescent="0.25">
      <c r="A304" t="s">
        <v>9</v>
      </c>
      <c r="B304" t="s">
        <v>119</v>
      </c>
    </row>
    <row r="305" spans="1:2" x14ac:dyDescent="0.25">
      <c r="A305" t="s">
        <v>9</v>
      </c>
      <c r="B305" t="s">
        <v>119</v>
      </c>
    </row>
    <row r="306" spans="1:2" x14ac:dyDescent="0.25">
      <c r="A306" t="s">
        <v>10</v>
      </c>
      <c r="B306" t="s">
        <v>119</v>
      </c>
    </row>
    <row r="307" spans="1:2" x14ac:dyDescent="0.25">
      <c r="A307" t="s">
        <v>9</v>
      </c>
      <c r="B307" t="s">
        <v>119</v>
      </c>
    </row>
    <row r="308" spans="1:2" x14ac:dyDescent="0.25">
      <c r="A308" t="s">
        <v>9</v>
      </c>
      <c r="B308" t="s">
        <v>119</v>
      </c>
    </row>
    <row r="309" spans="1:2" x14ac:dyDescent="0.25">
      <c r="A309" t="s">
        <v>9</v>
      </c>
      <c r="B309" t="s">
        <v>119</v>
      </c>
    </row>
    <row r="310" spans="1:2" x14ac:dyDescent="0.25">
      <c r="A310" t="s">
        <v>9</v>
      </c>
      <c r="B310" t="s">
        <v>119</v>
      </c>
    </row>
    <row r="311" spans="1:2" x14ac:dyDescent="0.25">
      <c r="A311" t="s">
        <v>9</v>
      </c>
      <c r="B311" t="s">
        <v>118</v>
      </c>
    </row>
    <row r="312" spans="1:2" x14ac:dyDescent="0.25">
      <c r="A312" t="s">
        <v>9</v>
      </c>
      <c r="B312" t="s">
        <v>119</v>
      </c>
    </row>
    <row r="313" spans="1:2" x14ac:dyDescent="0.25">
      <c r="A313" t="s">
        <v>9</v>
      </c>
      <c r="B313" t="s">
        <v>119</v>
      </c>
    </row>
    <row r="314" spans="1:2" x14ac:dyDescent="0.25">
      <c r="A314" t="s">
        <v>10</v>
      </c>
      <c r="B314" t="s">
        <v>119</v>
      </c>
    </row>
    <row r="315" spans="1:2" x14ac:dyDescent="0.25">
      <c r="A315" t="s">
        <v>9</v>
      </c>
      <c r="B315" t="s">
        <v>119</v>
      </c>
    </row>
    <row r="316" spans="1:2" x14ac:dyDescent="0.25">
      <c r="A316" t="s">
        <v>9</v>
      </c>
      <c r="B316" t="s">
        <v>118</v>
      </c>
    </row>
    <row r="317" spans="1:2" x14ac:dyDescent="0.25">
      <c r="A317" t="s">
        <v>9</v>
      </c>
      <c r="B317" t="s">
        <v>118</v>
      </c>
    </row>
    <row r="318" spans="1:2" x14ac:dyDescent="0.25">
      <c r="A318" t="s">
        <v>9</v>
      </c>
      <c r="B318" t="s">
        <v>118</v>
      </c>
    </row>
    <row r="319" spans="1:2" x14ac:dyDescent="0.25">
      <c r="A319" t="s">
        <v>9</v>
      </c>
      <c r="B319" t="s">
        <v>119</v>
      </c>
    </row>
    <row r="320" spans="1:2" x14ac:dyDescent="0.25">
      <c r="A320" t="s">
        <v>9</v>
      </c>
      <c r="B320" t="s">
        <v>118</v>
      </c>
    </row>
    <row r="321" spans="1:2" x14ac:dyDescent="0.25">
      <c r="A321" t="s">
        <v>9</v>
      </c>
      <c r="B321" t="s">
        <v>119</v>
      </c>
    </row>
    <row r="322" spans="1:2" x14ac:dyDescent="0.25">
      <c r="A322" t="s">
        <v>9</v>
      </c>
      <c r="B322" t="s">
        <v>119</v>
      </c>
    </row>
    <row r="323" spans="1:2" x14ac:dyDescent="0.25">
      <c r="A323" t="s">
        <v>9</v>
      </c>
      <c r="B323" t="s">
        <v>119</v>
      </c>
    </row>
    <row r="324" spans="1:2" x14ac:dyDescent="0.25">
      <c r="A324" t="s">
        <v>9</v>
      </c>
      <c r="B324" t="s">
        <v>119</v>
      </c>
    </row>
    <row r="325" spans="1:2" x14ac:dyDescent="0.25">
      <c r="A325" t="s">
        <v>9</v>
      </c>
      <c r="B325" t="s">
        <v>119</v>
      </c>
    </row>
    <row r="326" spans="1:2" x14ac:dyDescent="0.25">
      <c r="A326" t="s">
        <v>9</v>
      </c>
      <c r="B326" t="s">
        <v>119</v>
      </c>
    </row>
    <row r="327" spans="1:2" x14ac:dyDescent="0.25">
      <c r="A327" t="s">
        <v>9</v>
      </c>
      <c r="B327" t="s">
        <v>119</v>
      </c>
    </row>
    <row r="328" spans="1:2" x14ac:dyDescent="0.25">
      <c r="A328" t="s">
        <v>9</v>
      </c>
      <c r="B328" t="s">
        <v>119</v>
      </c>
    </row>
    <row r="329" spans="1:2" x14ac:dyDescent="0.25">
      <c r="A329" t="s">
        <v>9</v>
      </c>
      <c r="B329" t="s">
        <v>119</v>
      </c>
    </row>
    <row r="330" spans="1:2" x14ac:dyDescent="0.25">
      <c r="A330" t="s">
        <v>9</v>
      </c>
      <c r="B330" t="s">
        <v>119</v>
      </c>
    </row>
    <row r="331" spans="1:2" x14ac:dyDescent="0.25">
      <c r="A331" t="s">
        <v>9</v>
      </c>
      <c r="B331" t="s">
        <v>20</v>
      </c>
    </row>
    <row r="332" spans="1:2" x14ac:dyDescent="0.25">
      <c r="A332" t="s">
        <v>9</v>
      </c>
      <c r="B332" t="s">
        <v>119</v>
      </c>
    </row>
    <row r="333" spans="1:2" x14ac:dyDescent="0.25">
      <c r="A333" t="s">
        <v>10</v>
      </c>
      <c r="B333" t="s">
        <v>118</v>
      </c>
    </row>
    <row r="334" spans="1:2" x14ac:dyDescent="0.25">
      <c r="A334" t="s">
        <v>10</v>
      </c>
      <c r="B334" t="s">
        <v>119</v>
      </c>
    </row>
    <row r="335" spans="1:2" x14ac:dyDescent="0.25">
      <c r="A335" t="s">
        <v>9</v>
      </c>
      <c r="B335" t="s">
        <v>119</v>
      </c>
    </row>
    <row r="336" spans="1:2" x14ac:dyDescent="0.25">
      <c r="A336" t="s">
        <v>9</v>
      </c>
      <c r="B336" t="s">
        <v>20</v>
      </c>
    </row>
    <row r="337" spans="1:2" x14ac:dyDescent="0.25">
      <c r="A337" t="s">
        <v>10</v>
      </c>
      <c r="B337" t="s">
        <v>119</v>
      </c>
    </row>
    <row r="338" spans="1:2" x14ac:dyDescent="0.25">
      <c r="A338" t="s">
        <v>9</v>
      </c>
      <c r="B338" t="s">
        <v>118</v>
      </c>
    </row>
    <row r="339" spans="1:2" x14ac:dyDescent="0.25">
      <c r="A339" t="s">
        <v>9</v>
      </c>
      <c r="B339" t="s">
        <v>119</v>
      </c>
    </row>
    <row r="340" spans="1:2" x14ac:dyDescent="0.25">
      <c r="A340" t="s">
        <v>10</v>
      </c>
      <c r="B340" t="s">
        <v>118</v>
      </c>
    </row>
    <row r="341" spans="1:2" x14ac:dyDescent="0.25">
      <c r="A341" t="s">
        <v>9</v>
      </c>
      <c r="B341" t="s">
        <v>119</v>
      </c>
    </row>
    <row r="342" spans="1:2" x14ac:dyDescent="0.25">
      <c r="A342" t="s">
        <v>9</v>
      </c>
      <c r="B342" t="s">
        <v>119</v>
      </c>
    </row>
    <row r="343" spans="1:2" x14ac:dyDescent="0.25">
      <c r="A343" t="s">
        <v>9</v>
      </c>
      <c r="B343" t="s">
        <v>119</v>
      </c>
    </row>
    <row r="344" spans="1:2" x14ac:dyDescent="0.25">
      <c r="A344" t="s">
        <v>9</v>
      </c>
      <c r="B344" t="s">
        <v>119</v>
      </c>
    </row>
    <row r="345" spans="1:2" x14ac:dyDescent="0.25">
      <c r="A345" t="s">
        <v>9</v>
      </c>
      <c r="B345" t="s">
        <v>119</v>
      </c>
    </row>
    <row r="346" spans="1:2" x14ac:dyDescent="0.25">
      <c r="A346" t="s">
        <v>9</v>
      </c>
      <c r="B346" t="s">
        <v>118</v>
      </c>
    </row>
    <row r="347" spans="1:2" x14ac:dyDescent="0.25">
      <c r="A347" t="s">
        <v>9</v>
      </c>
      <c r="B347" t="s">
        <v>118</v>
      </c>
    </row>
    <row r="348" spans="1:2" x14ac:dyDescent="0.25">
      <c r="A348" t="s">
        <v>9</v>
      </c>
      <c r="B348" t="s">
        <v>119</v>
      </c>
    </row>
    <row r="349" spans="1:2" x14ac:dyDescent="0.25">
      <c r="A349" t="s">
        <v>9</v>
      </c>
      <c r="B349" t="s">
        <v>119</v>
      </c>
    </row>
    <row r="350" spans="1:2" x14ac:dyDescent="0.25">
      <c r="A350" t="s">
        <v>9</v>
      </c>
      <c r="B350" t="s">
        <v>119</v>
      </c>
    </row>
    <row r="351" spans="1:2" x14ac:dyDescent="0.25">
      <c r="A351" t="s">
        <v>9</v>
      </c>
      <c r="B351" t="s">
        <v>119</v>
      </c>
    </row>
    <row r="352" spans="1:2" x14ac:dyDescent="0.25">
      <c r="A352" t="s">
        <v>9</v>
      </c>
      <c r="B352" t="s">
        <v>119</v>
      </c>
    </row>
    <row r="353" spans="1:2" x14ac:dyDescent="0.25">
      <c r="A353" t="s">
        <v>9</v>
      </c>
      <c r="B353" t="s">
        <v>118</v>
      </c>
    </row>
    <row r="354" spans="1:2" x14ac:dyDescent="0.25">
      <c r="A354" t="s">
        <v>9</v>
      </c>
      <c r="B354" t="s">
        <v>119</v>
      </c>
    </row>
    <row r="355" spans="1:2" x14ac:dyDescent="0.25">
      <c r="A355" t="s">
        <v>9</v>
      </c>
      <c r="B355" t="s">
        <v>119</v>
      </c>
    </row>
    <row r="356" spans="1:2" x14ac:dyDescent="0.25">
      <c r="A356" t="s">
        <v>9</v>
      </c>
      <c r="B356" t="s">
        <v>118</v>
      </c>
    </row>
    <row r="357" spans="1:2" x14ac:dyDescent="0.25">
      <c r="A357" t="s">
        <v>9</v>
      </c>
      <c r="B357" t="s">
        <v>118</v>
      </c>
    </row>
    <row r="358" spans="1:2" x14ac:dyDescent="0.25">
      <c r="A358" t="s">
        <v>9</v>
      </c>
      <c r="B358" t="s">
        <v>119</v>
      </c>
    </row>
    <row r="359" spans="1:2" x14ac:dyDescent="0.25">
      <c r="A359" t="s">
        <v>10</v>
      </c>
      <c r="B359" t="s">
        <v>119</v>
      </c>
    </row>
    <row r="360" spans="1:2" x14ac:dyDescent="0.25">
      <c r="A360" t="s">
        <v>9</v>
      </c>
      <c r="B360" t="s">
        <v>119</v>
      </c>
    </row>
    <row r="361" spans="1:2" x14ac:dyDescent="0.25">
      <c r="A361" t="s">
        <v>9</v>
      </c>
      <c r="B361" t="s">
        <v>119</v>
      </c>
    </row>
    <row r="362" spans="1:2" x14ac:dyDescent="0.25">
      <c r="A362" t="s">
        <v>9</v>
      </c>
      <c r="B362" t="s">
        <v>119</v>
      </c>
    </row>
    <row r="363" spans="1:2" x14ac:dyDescent="0.25">
      <c r="A363" t="s">
        <v>10</v>
      </c>
      <c r="B363" t="s">
        <v>118</v>
      </c>
    </row>
    <row r="364" spans="1:2" x14ac:dyDescent="0.25">
      <c r="A364" t="s">
        <v>10</v>
      </c>
      <c r="B364" t="s">
        <v>118</v>
      </c>
    </row>
    <row r="365" spans="1:2" x14ac:dyDescent="0.25">
      <c r="A365" t="s">
        <v>9</v>
      </c>
      <c r="B365" t="s">
        <v>119</v>
      </c>
    </row>
    <row r="366" spans="1:2" x14ac:dyDescent="0.25">
      <c r="A366" t="s">
        <v>9</v>
      </c>
      <c r="B366" t="s">
        <v>119</v>
      </c>
    </row>
    <row r="367" spans="1:2" x14ac:dyDescent="0.25">
      <c r="A367" t="s">
        <v>9</v>
      </c>
      <c r="B367" t="s">
        <v>118</v>
      </c>
    </row>
    <row r="368" spans="1:2" x14ac:dyDescent="0.25">
      <c r="A368" t="s">
        <v>9</v>
      </c>
      <c r="B368" t="s">
        <v>119</v>
      </c>
    </row>
    <row r="369" spans="1:2" x14ac:dyDescent="0.25">
      <c r="A369" t="s">
        <v>9</v>
      </c>
      <c r="B369" t="s">
        <v>118</v>
      </c>
    </row>
    <row r="370" spans="1:2" x14ac:dyDescent="0.25">
      <c r="A370" t="s">
        <v>9</v>
      </c>
      <c r="B370" t="s">
        <v>119</v>
      </c>
    </row>
    <row r="371" spans="1:2" x14ac:dyDescent="0.25">
      <c r="A371" t="s">
        <v>9</v>
      </c>
      <c r="B371" t="s">
        <v>119</v>
      </c>
    </row>
    <row r="372" spans="1:2" x14ac:dyDescent="0.25">
      <c r="A372" t="s">
        <v>9</v>
      </c>
      <c r="B372" t="s">
        <v>119</v>
      </c>
    </row>
    <row r="373" spans="1:2" x14ac:dyDescent="0.25">
      <c r="A373" t="s">
        <v>9</v>
      </c>
      <c r="B373" t="s">
        <v>118</v>
      </c>
    </row>
    <row r="374" spans="1:2" x14ac:dyDescent="0.25">
      <c r="A374" t="s">
        <v>9</v>
      </c>
      <c r="B374" t="s">
        <v>119</v>
      </c>
    </row>
    <row r="375" spans="1:2" x14ac:dyDescent="0.25">
      <c r="A375" t="s">
        <v>9</v>
      </c>
      <c r="B375" t="s">
        <v>119</v>
      </c>
    </row>
    <row r="376" spans="1:2" x14ac:dyDescent="0.25">
      <c r="A376" t="s">
        <v>9</v>
      </c>
      <c r="B376" t="s">
        <v>118</v>
      </c>
    </row>
    <row r="377" spans="1:2" x14ac:dyDescent="0.25">
      <c r="A377" t="s">
        <v>9</v>
      </c>
      <c r="B377" t="s">
        <v>119</v>
      </c>
    </row>
    <row r="378" spans="1:2" x14ac:dyDescent="0.25">
      <c r="A378" t="s">
        <v>10</v>
      </c>
      <c r="B378" t="s">
        <v>119</v>
      </c>
    </row>
    <row r="379" spans="1:2" x14ac:dyDescent="0.25">
      <c r="A379" t="s">
        <v>9</v>
      </c>
      <c r="B379" t="s">
        <v>118</v>
      </c>
    </row>
    <row r="380" spans="1:2" x14ac:dyDescent="0.25">
      <c r="A380" t="s">
        <v>9</v>
      </c>
      <c r="B380" t="s">
        <v>119</v>
      </c>
    </row>
    <row r="381" spans="1:2" x14ac:dyDescent="0.25">
      <c r="A381" t="s">
        <v>10</v>
      </c>
      <c r="B381" t="s">
        <v>119</v>
      </c>
    </row>
    <row r="382" spans="1:2" x14ac:dyDescent="0.25">
      <c r="A382" t="s">
        <v>9</v>
      </c>
      <c r="B382" t="s">
        <v>119</v>
      </c>
    </row>
    <row r="383" spans="1:2" x14ac:dyDescent="0.25">
      <c r="A383" t="s">
        <v>9</v>
      </c>
      <c r="B383" t="s">
        <v>20</v>
      </c>
    </row>
    <row r="384" spans="1:2" x14ac:dyDescent="0.25">
      <c r="A384" t="s">
        <v>9</v>
      </c>
      <c r="B384" t="s">
        <v>118</v>
      </c>
    </row>
    <row r="385" spans="1:2" x14ac:dyDescent="0.25">
      <c r="A385" t="s">
        <v>9</v>
      </c>
      <c r="B385" t="s">
        <v>118</v>
      </c>
    </row>
    <row r="386" spans="1:2" x14ac:dyDescent="0.25">
      <c r="A386" t="s">
        <v>10</v>
      </c>
      <c r="B386" t="s">
        <v>119</v>
      </c>
    </row>
    <row r="387" spans="1:2" x14ac:dyDescent="0.25">
      <c r="A387" t="s">
        <v>9</v>
      </c>
      <c r="B387" t="s">
        <v>119</v>
      </c>
    </row>
    <row r="388" spans="1:2" x14ac:dyDescent="0.25">
      <c r="A388" t="s">
        <v>9</v>
      </c>
      <c r="B388" t="s">
        <v>118</v>
      </c>
    </row>
    <row r="389" spans="1:2" x14ac:dyDescent="0.25">
      <c r="A389" t="s">
        <v>9</v>
      </c>
      <c r="B389" t="s">
        <v>119</v>
      </c>
    </row>
    <row r="390" spans="1:2" x14ac:dyDescent="0.25">
      <c r="A390" t="s">
        <v>9</v>
      </c>
      <c r="B390" t="s">
        <v>118</v>
      </c>
    </row>
    <row r="391" spans="1:2" x14ac:dyDescent="0.25">
      <c r="A391" t="s">
        <v>10</v>
      </c>
      <c r="B391" t="s">
        <v>118</v>
      </c>
    </row>
    <row r="392" spans="1:2" x14ac:dyDescent="0.25">
      <c r="A392" t="s">
        <v>9</v>
      </c>
      <c r="B392" t="s">
        <v>118</v>
      </c>
    </row>
    <row r="393" spans="1:2" x14ac:dyDescent="0.25">
      <c r="A393" t="s">
        <v>9</v>
      </c>
      <c r="B393" t="s">
        <v>118</v>
      </c>
    </row>
    <row r="394" spans="1:2" x14ac:dyDescent="0.25">
      <c r="A394" t="s">
        <v>9</v>
      </c>
      <c r="B394" t="s">
        <v>119</v>
      </c>
    </row>
    <row r="395" spans="1:2" x14ac:dyDescent="0.25">
      <c r="A395" t="s">
        <v>9</v>
      </c>
      <c r="B395" t="s">
        <v>118</v>
      </c>
    </row>
    <row r="396" spans="1:2" x14ac:dyDescent="0.25">
      <c r="A396" t="s">
        <v>9</v>
      </c>
      <c r="B396" t="s">
        <v>119</v>
      </c>
    </row>
    <row r="397" spans="1:2" x14ac:dyDescent="0.25">
      <c r="A397" t="s">
        <v>9</v>
      </c>
      <c r="B397" t="s">
        <v>119</v>
      </c>
    </row>
    <row r="398" spans="1:2" x14ac:dyDescent="0.25">
      <c r="A398" t="s">
        <v>9</v>
      </c>
      <c r="B398" t="s">
        <v>119</v>
      </c>
    </row>
    <row r="399" spans="1:2" x14ac:dyDescent="0.25">
      <c r="A399" t="s">
        <v>10</v>
      </c>
      <c r="B399" t="s">
        <v>20</v>
      </c>
    </row>
    <row r="400" spans="1:2" x14ac:dyDescent="0.25">
      <c r="A400" t="s">
        <v>9</v>
      </c>
      <c r="B400" t="s">
        <v>119</v>
      </c>
    </row>
    <row r="401" spans="1:2" x14ac:dyDescent="0.25">
      <c r="A401" t="s">
        <v>9</v>
      </c>
      <c r="B401" t="s">
        <v>119</v>
      </c>
    </row>
    <row r="402" spans="1:2" x14ac:dyDescent="0.25">
      <c r="A402" t="s">
        <v>9</v>
      </c>
      <c r="B402" t="s">
        <v>119</v>
      </c>
    </row>
    <row r="403" spans="1:2" x14ac:dyDescent="0.25">
      <c r="A403" t="s">
        <v>9</v>
      </c>
      <c r="B403" t="s">
        <v>119</v>
      </c>
    </row>
    <row r="404" spans="1:2" x14ac:dyDescent="0.25">
      <c r="A404" t="s">
        <v>9</v>
      </c>
      <c r="B404" t="s">
        <v>119</v>
      </c>
    </row>
    <row r="405" spans="1:2" x14ac:dyDescent="0.25">
      <c r="A405" t="s">
        <v>9</v>
      </c>
      <c r="B405" t="s">
        <v>119</v>
      </c>
    </row>
    <row r="406" spans="1:2" x14ac:dyDescent="0.25">
      <c r="A406" t="s">
        <v>9</v>
      </c>
      <c r="B406" t="s">
        <v>119</v>
      </c>
    </row>
    <row r="407" spans="1:2" x14ac:dyDescent="0.25">
      <c r="A407" t="s">
        <v>9</v>
      </c>
      <c r="B407" t="s">
        <v>119</v>
      </c>
    </row>
    <row r="408" spans="1:2" x14ac:dyDescent="0.25">
      <c r="A408" t="s">
        <v>9</v>
      </c>
      <c r="B408" t="s">
        <v>118</v>
      </c>
    </row>
    <row r="409" spans="1:2" x14ac:dyDescent="0.25">
      <c r="A409" t="s">
        <v>9</v>
      </c>
      <c r="B409" t="s">
        <v>119</v>
      </c>
    </row>
    <row r="410" spans="1:2" x14ac:dyDescent="0.25">
      <c r="A410" t="s">
        <v>9</v>
      </c>
      <c r="B410" t="s">
        <v>118</v>
      </c>
    </row>
    <row r="411" spans="1:2" x14ac:dyDescent="0.25">
      <c r="A411" t="s">
        <v>9</v>
      </c>
      <c r="B411" t="s">
        <v>119</v>
      </c>
    </row>
    <row r="412" spans="1:2" x14ac:dyDescent="0.25">
      <c r="A412" t="s">
        <v>9</v>
      </c>
      <c r="B412" t="s">
        <v>20</v>
      </c>
    </row>
    <row r="413" spans="1:2" x14ac:dyDescent="0.25">
      <c r="A413" t="s">
        <v>9</v>
      </c>
      <c r="B413" t="s">
        <v>118</v>
      </c>
    </row>
    <row r="414" spans="1:2" x14ac:dyDescent="0.25">
      <c r="A414" t="s">
        <v>9</v>
      </c>
      <c r="B414" t="s">
        <v>119</v>
      </c>
    </row>
    <row r="415" spans="1:2" x14ac:dyDescent="0.25">
      <c r="A415" t="s">
        <v>9</v>
      </c>
      <c r="B415" t="s">
        <v>118</v>
      </c>
    </row>
    <row r="416" spans="1:2" x14ac:dyDescent="0.25">
      <c r="A416" t="s">
        <v>10</v>
      </c>
      <c r="B416" t="s">
        <v>118</v>
      </c>
    </row>
    <row r="417" spans="1:2" x14ac:dyDescent="0.25">
      <c r="A417" t="s">
        <v>9</v>
      </c>
      <c r="B417" t="s">
        <v>119</v>
      </c>
    </row>
    <row r="418" spans="1:2" x14ac:dyDescent="0.25">
      <c r="A418" t="s">
        <v>9</v>
      </c>
      <c r="B418" t="s">
        <v>119</v>
      </c>
    </row>
    <row r="419" spans="1:2" x14ac:dyDescent="0.25">
      <c r="A419" t="s">
        <v>9</v>
      </c>
      <c r="B419" t="s">
        <v>119</v>
      </c>
    </row>
    <row r="420" spans="1:2" x14ac:dyDescent="0.25">
      <c r="A420" t="s">
        <v>9</v>
      </c>
      <c r="B420" t="s">
        <v>119</v>
      </c>
    </row>
    <row r="421" spans="1:2" x14ac:dyDescent="0.25">
      <c r="A421" t="s">
        <v>9</v>
      </c>
      <c r="B421" t="s">
        <v>119</v>
      </c>
    </row>
    <row r="422" spans="1:2" x14ac:dyDescent="0.25">
      <c r="A422" t="s">
        <v>9</v>
      </c>
      <c r="B422" t="s">
        <v>119</v>
      </c>
    </row>
    <row r="423" spans="1:2" x14ac:dyDescent="0.25">
      <c r="A423" t="s">
        <v>9</v>
      </c>
      <c r="B423" t="s">
        <v>119</v>
      </c>
    </row>
    <row r="424" spans="1:2" x14ac:dyDescent="0.25">
      <c r="A424" t="s">
        <v>10</v>
      </c>
      <c r="B424" t="s">
        <v>118</v>
      </c>
    </row>
    <row r="425" spans="1:2" x14ac:dyDescent="0.25">
      <c r="A425" t="s">
        <v>9</v>
      </c>
      <c r="B425" t="s">
        <v>119</v>
      </c>
    </row>
    <row r="426" spans="1:2" x14ac:dyDescent="0.25">
      <c r="A426" t="s">
        <v>9</v>
      </c>
      <c r="B426" t="s">
        <v>118</v>
      </c>
    </row>
    <row r="427" spans="1:2" x14ac:dyDescent="0.25">
      <c r="A427" t="s">
        <v>9</v>
      </c>
      <c r="B427" t="s">
        <v>118</v>
      </c>
    </row>
    <row r="428" spans="1:2" x14ac:dyDescent="0.25">
      <c r="A428" t="s">
        <v>9</v>
      </c>
      <c r="B428" t="s">
        <v>119</v>
      </c>
    </row>
    <row r="429" spans="1:2" x14ac:dyDescent="0.25">
      <c r="A429" t="s">
        <v>9</v>
      </c>
      <c r="B429" t="s">
        <v>119</v>
      </c>
    </row>
    <row r="430" spans="1:2" x14ac:dyDescent="0.25">
      <c r="A430" t="s">
        <v>10</v>
      </c>
      <c r="B430" t="s">
        <v>119</v>
      </c>
    </row>
    <row r="431" spans="1:2" x14ac:dyDescent="0.25">
      <c r="A431" t="s">
        <v>9</v>
      </c>
      <c r="B431" t="s">
        <v>119</v>
      </c>
    </row>
    <row r="432" spans="1:2" x14ac:dyDescent="0.25">
      <c r="A432" t="s">
        <v>9</v>
      </c>
      <c r="B432" t="s">
        <v>118</v>
      </c>
    </row>
    <row r="433" spans="1:2" x14ac:dyDescent="0.25">
      <c r="A433" t="s">
        <v>9</v>
      </c>
      <c r="B433" t="s">
        <v>119</v>
      </c>
    </row>
    <row r="434" spans="1:2" x14ac:dyDescent="0.25">
      <c r="A434" t="s">
        <v>10</v>
      </c>
      <c r="B434" t="s">
        <v>119</v>
      </c>
    </row>
    <row r="435" spans="1:2" x14ac:dyDescent="0.25">
      <c r="A435" t="s">
        <v>9</v>
      </c>
      <c r="B435" t="s">
        <v>119</v>
      </c>
    </row>
    <row r="436" spans="1:2" x14ac:dyDescent="0.25">
      <c r="A436" t="s">
        <v>9</v>
      </c>
      <c r="B436" t="s">
        <v>118</v>
      </c>
    </row>
    <row r="437" spans="1:2" x14ac:dyDescent="0.25">
      <c r="A437" t="s">
        <v>9</v>
      </c>
      <c r="B437" t="s">
        <v>118</v>
      </c>
    </row>
    <row r="438" spans="1:2" x14ac:dyDescent="0.25">
      <c r="A438" t="s">
        <v>10</v>
      </c>
      <c r="B438" t="s">
        <v>119</v>
      </c>
    </row>
    <row r="439" spans="1:2" x14ac:dyDescent="0.25">
      <c r="A439" t="s">
        <v>9</v>
      </c>
      <c r="B439" t="s">
        <v>119</v>
      </c>
    </row>
    <row r="440" spans="1:2" x14ac:dyDescent="0.25">
      <c r="A440" t="s">
        <v>10</v>
      </c>
      <c r="B440" t="s">
        <v>118</v>
      </c>
    </row>
    <row r="441" spans="1:2" x14ac:dyDescent="0.25">
      <c r="A441" t="s">
        <v>9</v>
      </c>
      <c r="B441" t="s">
        <v>119</v>
      </c>
    </row>
    <row r="442" spans="1:2" x14ac:dyDescent="0.25">
      <c r="A442" t="s">
        <v>9</v>
      </c>
      <c r="B442" t="s">
        <v>119</v>
      </c>
    </row>
    <row r="443" spans="1:2" x14ac:dyDescent="0.25">
      <c r="A443" t="s">
        <v>9</v>
      </c>
      <c r="B443" t="s">
        <v>119</v>
      </c>
    </row>
    <row r="444" spans="1:2" x14ac:dyDescent="0.25">
      <c r="A444" t="s">
        <v>10</v>
      </c>
      <c r="B444" t="s">
        <v>119</v>
      </c>
    </row>
    <row r="445" spans="1:2" x14ac:dyDescent="0.25">
      <c r="A445" t="s">
        <v>9</v>
      </c>
      <c r="B445" t="s">
        <v>20</v>
      </c>
    </row>
    <row r="446" spans="1:2" x14ac:dyDescent="0.25">
      <c r="A446" t="s">
        <v>9</v>
      </c>
      <c r="B446" t="s">
        <v>119</v>
      </c>
    </row>
    <row r="447" spans="1:2" x14ac:dyDescent="0.25">
      <c r="A447" t="s">
        <v>9</v>
      </c>
      <c r="B447" t="s">
        <v>119</v>
      </c>
    </row>
    <row r="448" spans="1:2" x14ac:dyDescent="0.25">
      <c r="A448" t="s">
        <v>9</v>
      </c>
      <c r="B448" t="s">
        <v>119</v>
      </c>
    </row>
    <row r="449" spans="1:2" x14ac:dyDescent="0.25">
      <c r="A449" t="s">
        <v>9</v>
      </c>
      <c r="B449" t="s">
        <v>119</v>
      </c>
    </row>
    <row r="450" spans="1:2" x14ac:dyDescent="0.25">
      <c r="A450" t="s">
        <v>9</v>
      </c>
      <c r="B450" t="s">
        <v>119</v>
      </c>
    </row>
    <row r="451" spans="1:2" x14ac:dyDescent="0.25">
      <c r="A451" t="s">
        <v>9</v>
      </c>
      <c r="B451" t="s">
        <v>118</v>
      </c>
    </row>
    <row r="452" spans="1:2" x14ac:dyDescent="0.25">
      <c r="A452" t="s">
        <v>9</v>
      </c>
      <c r="B452" t="s">
        <v>119</v>
      </c>
    </row>
    <row r="453" spans="1:2" x14ac:dyDescent="0.25">
      <c r="A453" t="s">
        <v>9</v>
      </c>
      <c r="B453" t="s">
        <v>119</v>
      </c>
    </row>
    <row r="454" spans="1:2" x14ac:dyDescent="0.25">
      <c r="A454" t="s">
        <v>10</v>
      </c>
      <c r="B454" t="s">
        <v>118</v>
      </c>
    </row>
    <row r="455" spans="1:2" x14ac:dyDescent="0.25">
      <c r="A455" t="s">
        <v>9</v>
      </c>
      <c r="B455" t="s">
        <v>118</v>
      </c>
    </row>
    <row r="456" spans="1:2" x14ac:dyDescent="0.25">
      <c r="A456" t="s">
        <v>9</v>
      </c>
      <c r="B456" t="s">
        <v>119</v>
      </c>
    </row>
    <row r="457" spans="1:2" x14ac:dyDescent="0.25">
      <c r="A457" t="s">
        <v>9</v>
      </c>
      <c r="B457" t="s">
        <v>118</v>
      </c>
    </row>
    <row r="458" spans="1:2" x14ac:dyDescent="0.25">
      <c r="A458" t="s">
        <v>9</v>
      </c>
      <c r="B458" t="s">
        <v>118</v>
      </c>
    </row>
    <row r="459" spans="1:2" x14ac:dyDescent="0.25">
      <c r="A459" t="s">
        <v>9</v>
      </c>
      <c r="B459" t="s">
        <v>118</v>
      </c>
    </row>
    <row r="460" spans="1:2" x14ac:dyDescent="0.25">
      <c r="A460" t="s">
        <v>9</v>
      </c>
      <c r="B460" t="s">
        <v>119</v>
      </c>
    </row>
    <row r="461" spans="1:2" x14ac:dyDescent="0.25">
      <c r="A461" t="s">
        <v>9</v>
      </c>
      <c r="B461" t="s">
        <v>119</v>
      </c>
    </row>
    <row r="462" spans="1:2" x14ac:dyDescent="0.25">
      <c r="A462" t="s">
        <v>9</v>
      </c>
      <c r="B462" t="s">
        <v>119</v>
      </c>
    </row>
    <row r="463" spans="1:2" x14ac:dyDescent="0.25">
      <c r="A463" t="s">
        <v>9</v>
      </c>
      <c r="B463" t="s">
        <v>119</v>
      </c>
    </row>
    <row r="464" spans="1:2" x14ac:dyDescent="0.25">
      <c r="A464" t="s">
        <v>9</v>
      </c>
      <c r="B464" t="s">
        <v>118</v>
      </c>
    </row>
    <row r="465" spans="1:2" x14ac:dyDescent="0.25">
      <c r="A465" t="s">
        <v>9</v>
      </c>
      <c r="B465" t="s">
        <v>119</v>
      </c>
    </row>
    <row r="466" spans="1:2" x14ac:dyDescent="0.25">
      <c r="A466" t="s">
        <v>10</v>
      </c>
      <c r="B466" t="s">
        <v>119</v>
      </c>
    </row>
    <row r="467" spans="1:2" x14ac:dyDescent="0.25">
      <c r="A467" t="s">
        <v>9</v>
      </c>
      <c r="B467" t="s">
        <v>119</v>
      </c>
    </row>
    <row r="468" spans="1:2" x14ac:dyDescent="0.25">
      <c r="A468" t="s">
        <v>9</v>
      </c>
      <c r="B468" t="s">
        <v>118</v>
      </c>
    </row>
    <row r="469" spans="1:2" x14ac:dyDescent="0.25">
      <c r="A469" t="s">
        <v>9</v>
      </c>
      <c r="B469" t="s">
        <v>119</v>
      </c>
    </row>
    <row r="470" spans="1:2" x14ac:dyDescent="0.25">
      <c r="A470" t="s">
        <v>10</v>
      </c>
      <c r="B470" t="s">
        <v>118</v>
      </c>
    </row>
    <row r="471" spans="1:2" x14ac:dyDescent="0.25">
      <c r="A471" t="s">
        <v>9</v>
      </c>
      <c r="B471" t="s">
        <v>119</v>
      </c>
    </row>
    <row r="472" spans="1:2" x14ac:dyDescent="0.25">
      <c r="A472" t="s">
        <v>9</v>
      </c>
      <c r="B472" t="s">
        <v>119</v>
      </c>
    </row>
    <row r="473" spans="1:2" x14ac:dyDescent="0.25">
      <c r="A473" t="s">
        <v>10</v>
      </c>
      <c r="B473" t="s">
        <v>119</v>
      </c>
    </row>
    <row r="474" spans="1:2" x14ac:dyDescent="0.25">
      <c r="A474" t="s">
        <v>9</v>
      </c>
      <c r="B474" t="s">
        <v>119</v>
      </c>
    </row>
    <row r="475" spans="1:2" x14ac:dyDescent="0.25">
      <c r="A475" t="s">
        <v>9</v>
      </c>
      <c r="B475" t="s">
        <v>119</v>
      </c>
    </row>
    <row r="476" spans="1:2" x14ac:dyDescent="0.25">
      <c r="A476" t="s">
        <v>9</v>
      </c>
      <c r="B476" t="s">
        <v>119</v>
      </c>
    </row>
    <row r="477" spans="1:2" x14ac:dyDescent="0.25">
      <c r="A477" t="s">
        <v>9</v>
      </c>
      <c r="B477" t="s">
        <v>118</v>
      </c>
    </row>
    <row r="478" spans="1:2" x14ac:dyDescent="0.25">
      <c r="A478" t="s">
        <v>9</v>
      </c>
      <c r="B478" t="s">
        <v>118</v>
      </c>
    </row>
    <row r="479" spans="1:2" x14ac:dyDescent="0.25">
      <c r="A479" t="s">
        <v>9</v>
      </c>
      <c r="B479" t="s">
        <v>118</v>
      </c>
    </row>
    <row r="480" spans="1:2" x14ac:dyDescent="0.25">
      <c r="A480" t="s">
        <v>9</v>
      </c>
      <c r="B480" t="s">
        <v>119</v>
      </c>
    </row>
    <row r="481" spans="1:2" x14ac:dyDescent="0.25">
      <c r="A481" t="s">
        <v>9</v>
      </c>
      <c r="B481" t="s">
        <v>119</v>
      </c>
    </row>
    <row r="482" spans="1:2" x14ac:dyDescent="0.25">
      <c r="A482" t="s">
        <v>9</v>
      </c>
      <c r="B482" t="s">
        <v>119</v>
      </c>
    </row>
    <row r="483" spans="1:2" x14ac:dyDescent="0.25">
      <c r="A483" t="s">
        <v>9</v>
      </c>
      <c r="B483" t="s">
        <v>119</v>
      </c>
    </row>
    <row r="484" spans="1:2" x14ac:dyDescent="0.25">
      <c r="A484" t="s">
        <v>9</v>
      </c>
      <c r="B484" t="s">
        <v>119</v>
      </c>
    </row>
    <row r="485" spans="1:2" x14ac:dyDescent="0.25">
      <c r="A485" t="s">
        <v>9</v>
      </c>
      <c r="B485" t="s">
        <v>119</v>
      </c>
    </row>
    <row r="486" spans="1:2" x14ac:dyDescent="0.25">
      <c r="A486" t="s">
        <v>10</v>
      </c>
      <c r="B486" t="s">
        <v>119</v>
      </c>
    </row>
    <row r="487" spans="1:2" x14ac:dyDescent="0.25">
      <c r="A487" t="s">
        <v>10</v>
      </c>
      <c r="B487" t="s">
        <v>118</v>
      </c>
    </row>
    <row r="488" spans="1:2" x14ac:dyDescent="0.25">
      <c r="A488" t="s">
        <v>10</v>
      </c>
      <c r="B488" t="s">
        <v>118</v>
      </c>
    </row>
    <row r="489" spans="1:2" x14ac:dyDescent="0.25">
      <c r="A489" t="s">
        <v>9</v>
      </c>
      <c r="B489" t="s">
        <v>119</v>
      </c>
    </row>
    <row r="490" spans="1:2" x14ac:dyDescent="0.25">
      <c r="A490" t="s">
        <v>10</v>
      </c>
      <c r="B490" t="s">
        <v>119</v>
      </c>
    </row>
    <row r="491" spans="1:2" x14ac:dyDescent="0.25">
      <c r="A491" t="s">
        <v>9</v>
      </c>
      <c r="B491" t="s">
        <v>119</v>
      </c>
    </row>
    <row r="492" spans="1:2" x14ac:dyDescent="0.25">
      <c r="A492" t="s">
        <v>9</v>
      </c>
      <c r="B492" t="s">
        <v>119</v>
      </c>
    </row>
    <row r="493" spans="1:2" x14ac:dyDescent="0.25">
      <c r="A493" t="s">
        <v>9</v>
      </c>
      <c r="B493" t="s">
        <v>119</v>
      </c>
    </row>
    <row r="494" spans="1:2" x14ac:dyDescent="0.25">
      <c r="A494" t="s">
        <v>9</v>
      </c>
      <c r="B494" t="s">
        <v>118</v>
      </c>
    </row>
    <row r="495" spans="1:2" x14ac:dyDescent="0.25">
      <c r="A495" t="s">
        <v>9</v>
      </c>
      <c r="B495" t="s">
        <v>119</v>
      </c>
    </row>
    <row r="496" spans="1:2" x14ac:dyDescent="0.25">
      <c r="A496" t="s">
        <v>9</v>
      </c>
      <c r="B496" t="s">
        <v>118</v>
      </c>
    </row>
    <row r="497" spans="1:2" x14ac:dyDescent="0.25">
      <c r="A497" t="s">
        <v>9</v>
      </c>
      <c r="B497" t="s">
        <v>118</v>
      </c>
    </row>
    <row r="498" spans="1:2" x14ac:dyDescent="0.25">
      <c r="A498" t="s">
        <v>9</v>
      </c>
      <c r="B498" t="s">
        <v>119</v>
      </c>
    </row>
    <row r="499" spans="1:2" x14ac:dyDescent="0.25">
      <c r="A499" t="s">
        <v>9</v>
      </c>
      <c r="B499" t="s">
        <v>119</v>
      </c>
    </row>
    <row r="500" spans="1:2" x14ac:dyDescent="0.25">
      <c r="A500" t="s">
        <v>9</v>
      </c>
      <c r="B500" t="s">
        <v>119</v>
      </c>
    </row>
    <row r="501" spans="1:2" x14ac:dyDescent="0.25">
      <c r="A501" t="s">
        <v>9</v>
      </c>
      <c r="B501" t="s">
        <v>118</v>
      </c>
    </row>
    <row r="502" spans="1:2" x14ac:dyDescent="0.25">
      <c r="A502" t="s">
        <v>10</v>
      </c>
      <c r="B502" t="s">
        <v>119</v>
      </c>
    </row>
    <row r="503" spans="1:2" x14ac:dyDescent="0.25">
      <c r="A503" t="s">
        <v>10</v>
      </c>
      <c r="B503" t="s">
        <v>119</v>
      </c>
    </row>
    <row r="504" spans="1:2" x14ac:dyDescent="0.25">
      <c r="A504" t="s">
        <v>10</v>
      </c>
      <c r="B504" t="s">
        <v>118</v>
      </c>
    </row>
    <row r="505" spans="1:2" x14ac:dyDescent="0.25">
      <c r="A505" t="s">
        <v>9</v>
      </c>
      <c r="B505" t="s">
        <v>119</v>
      </c>
    </row>
    <row r="506" spans="1:2" x14ac:dyDescent="0.25">
      <c r="A506" t="s">
        <v>9</v>
      </c>
      <c r="B506" t="s">
        <v>119</v>
      </c>
    </row>
    <row r="507" spans="1:2" x14ac:dyDescent="0.25">
      <c r="A507" t="s">
        <v>9</v>
      </c>
      <c r="B507" t="s">
        <v>119</v>
      </c>
    </row>
    <row r="508" spans="1:2" x14ac:dyDescent="0.25">
      <c r="A508" t="s">
        <v>10</v>
      </c>
      <c r="B508" t="s">
        <v>118</v>
      </c>
    </row>
    <row r="509" spans="1:2" x14ac:dyDescent="0.25">
      <c r="A509" t="s">
        <v>9</v>
      </c>
      <c r="B509" t="s">
        <v>118</v>
      </c>
    </row>
    <row r="510" spans="1:2" x14ac:dyDescent="0.25">
      <c r="A510" t="s">
        <v>9</v>
      </c>
      <c r="B510" t="s">
        <v>118</v>
      </c>
    </row>
    <row r="511" spans="1:2" x14ac:dyDescent="0.25">
      <c r="A511" t="s">
        <v>10</v>
      </c>
      <c r="B511" t="s">
        <v>119</v>
      </c>
    </row>
    <row r="512" spans="1:2" x14ac:dyDescent="0.25">
      <c r="A512" t="s">
        <v>9</v>
      </c>
      <c r="B512" t="s">
        <v>118</v>
      </c>
    </row>
    <row r="513" spans="1:2" x14ac:dyDescent="0.25">
      <c r="A513" t="s">
        <v>9</v>
      </c>
      <c r="B513" t="s">
        <v>119</v>
      </c>
    </row>
    <row r="514" spans="1:2" x14ac:dyDescent="0.25">
      <c r="A514" t="s">
        <v>9</v>
      </c>
      <c r="B514" t="s">
        <v>119</v>
      </c>
    </row>
    <row r="515" spans="1:2" x14ac:dyDescent="0.25">
      <c r="A515" t="s">
        <v>9</v>
      </c>
      <c r="B515" t="s">
        <v>119</v>
      </c>
    </row>
    <row r="516" spans="1:2" x14ac:dyDescent="0.25">
      <c r="A516" t="s">
        <v>9</v>
      </c>
      <c r="B516" t="s">
        <v>118</v>
      </c>
    </row>
    <row r="517" spans="1:2" x14ac:dyDescent="0.25">
      <c r="A517" t="s">
        <v>9</v>
      </c>
      <c r="B517" t="s">
        <v>119</v>
      </c>
    </row>
    <row r="518" spans="1:2" x14ac:dyDescent="0.25">
      <c r="A518" t="s">
        <v>10</v>
      </c>
      <c r="B518" t="s">
        <v>118</v>
      </c>
    </row>
    <row r="519" spans="1:2" x14ac:dyDescent="0.25">
      <c r="A519" t="s">
        <v>9</v>
      </c>
      <c r="B519" t="s">
        <v>119</v>
      </c>
    </row>
    <row r="520" spans="1:2" x14ac:dyDescent="0.25">
      <c r="A520" t="s">
        <v>9</v>
      </c>
      <c r="B520" t="s">
        <v>119</v>
      </c>
    </row>
    <row r="521" spans="1:2" x14ac:dyDescent="0.25">
      <c r="A521" t="s">
        <v>10</v>
      </c>
      <c r="B521" t="s">
        <v>119</v>
      </c>
    </row>
    <row r="522" spans="1:2" x14ac:dyDescent="0.25">
      <c r="A522" t="s">
        <v>9</v>
      </c>
      <c r="B522" t="s">
        <v>119</v>
      </c>
    </row>
    <row r="523" spans="1:2" x14ac:dyDescent="0.25">
      <c r="A523" t="s">
        <v>10</v>
      </c>
      <c r="B523" t="s">
        <v>119</v>
      </c>
    </row>
    <row r="524" spans="1:2" x14ac:dyDescent="0.25">
      <c r="A524" t="s">
        <v>9</v>
      </c>
      <c r="B524" t="s">
        <v>119</v>
      </c>
    </row>
    <row r="525" spans="1:2" x14ac:dyDescent="0.25">
      <c r="A525" t="s">
        <v>9</v>
      </c>
      <c r="B525" t="s">
        <v>119</v>
      </c>
    </row>
    <row r="526" spans="1:2" x14ac:dyDescent="0.25">
      <c r="A526" t="s">
        <v>9</v>
      </c>
      <c r="B526" t="s">
        <v>119</v>
      </c>
    </row>
    <row r="527" spans="1:2" x14ac:dyDescent="0.25">
      <c r="A527" t="s">
        <v>9</v>
      </c>
      <c r="B527" t="s">
        <v>118</v>
      </c>
    </row>
    <row r="528" spans="1:2" x14ac:dyDescent="0.25">
      <c r="A528" t="s">
        <v>9</v>
      </c>
      <c r="B528" t="s">
        <v>118</v>
      </c>
    </row>
    <row r="529" spans="1:2" x14ac:dyDescent="0.25">
      <c r="A529" t="s">
        <v>9</v>
      </c>
      <c r="B529" t="s">
        <v>119</v>
      </c>
    </row>
    <row r="530" spans="1:2" x14ac:dyDescent="0.25">
      <c r="A530" t="s">
        <v>9</v>
      </c>
      <c r="B530" t="s">
        <v>119</v>
      </c>
    </row>
    <row r="531" spans="1:2" x14ac:dyDescent="0.25">
      <c r="A531" t="s">
        <v>10</v>
      </c>
      <c r="B531" t="s">
        <v>119</v>
      </c>
    </row>
    <row r="532" spans="1:2" x14ac:dyDescent="0.25">
      <c r="A532" t="s">
        <v>9</v>
      </c>
      <c r="B532" t="s">
        <v>119</v>
      </c>
    </row>
    <row r="533" spans="1:2" x14ac:dyDescent="0.25">
      <c r="A533" t="s">
        <v>9</v>
      </c>
      <c r="B533" t="s">
        <v>118</v>
      </c>
    </row>
    <row r="534" spans="1:2" x14ac:dyDescent="0.25">
      <c r="A534" t="s">
        <v>9</v>
      </c>
      <c r="B534" t="s">
        <v>119</v>
      </c>
    </row>
    <row r="535" spans="1:2" x14ac:dyDescent="0.25">
      <c r="A535" t="s">
        <v>9</v>
      </c>
      <c r="B535" t="s">
        <v>119</v>
      </c>
    </row>
    <row r="536" spans="1:2" x14ac:dyDescent="0.25">
      <c r="A536" t="s">
        <v>10</v>
      </c>
      <c r="B536" t="s">
        <v>119</v>
      </c>
    </row>
    <row r="537" spans="1:2" x14ac:dyDescent="0.25">
      <c r="A537" t="s">
        <v>9</v>
      </c>
      <c r="B537" t="s">
        <v>119</v>
      </c>
    </row>
    <row r="538" spans="1:2" x14ac:dyDescent="0.25">
      <c r="A538" t="s">
        <v>9</v>
      </c>
      <c r="B538" t="s">
        <v>118</v>
      </c>
    </row>
    <row r="539" spans="1:2" x14ac:dyDescent="0.25">
      <c r="A539" t="s">
        <v>9</v>
      </c>
      <c r="B539" t="s">
        <v>20</v>
      </c>
    </row>
    <row r="540" spans="1:2" x14ac:dyDescent="0.25">
      <c r="A540" t="s">
        <v>10</v>
      </c>
      <c r="B540" t="s">
        <v>118</v>
      </c>
    </row>
    <row r="541" spans="1:2" x14ac:dyDescent="0.25">
      <c r="A541" t="s">
        <v>9</v>
      </c>
      <c r="B541" t="s">
        <v>118</v>
      </c>
    </row>
    <row r="542" spans="1:2" x14ac:dyDescent="0.25">
      <c r="A542" t="s">
        <v>9</v>
      </c>
      <c r="B542" t="s">
        <v>119</v>
      </c>
    </row>
    <row r="543" spans="1:2" x14ac:dyDescent="0.25">
      <c r="A543" t="s">
        <v>9</v>
      </c>
      <c r="B543" t="s">
        <v>119</v>
      </c>
    </row>
    <row r="544" spans="1:2" x14ac:dyDescent="0.25">
      <c r="A544" t="s">
        <v>9</v>
      </c>
      <c r="B544" t="s">
        <v>119</v>
      </c>
    </row>
    <row r="545" spans="1:2" x14ac:dyDescent="0.25">
      <c r="A545" t="s">
        <v>9</v>
      </c>
      <c r="B545" t="s">
        <v>119</v>
      </c>
    </row>
    <row r="546" spans="1:2" x14ac:dyDescent="0.25">
      <c r="A546" t="s">
        <v>9</v>
      </c>
      <c r="B546" t="s">
        <v>119</v>
      </c>
    </row>
    <row r="547" spans="1:2" x14ac:dyDescent="0.25">
      <c r="A547" t="s">
        <v>9</v>
      </c>
      <c r="B547" t="s">
        <v>119</v>
      </c>
    </row>
    <row r="548" spans="1:2" x14ac:dyDescent="0.25">
      <c r="A548" t="s">
        <v>9</v>
      </c>
      <c r="B548" t="s">
        <v>119</v>
      </c>
    </row>
    <row r="549" spans="1:2" x14ac:dyDescent="0.25">
      <c r="A549" t="s">
        <v>9</v>
      </c>
      <c r="B549" t="s">
        <v>119</v>
      </c>
    </row>
    <row r="550" spans="1:2" x14ac:dyDescent="0.25">
      <c r="A550" t="s">
        <v>9</v>
      </c>
      <c r="B550" t="s">
        <v>119</v>
      </c>
    </row>
    <row r="551" spans="1:2" x14ac:dyDescent="0.25">
      <c r="A551" t="s">
        <v>9</v>
      </c>
      <c r="B551" t="s">
        <v>20</v>
      </c>
    </row>
    <row r="552" spans="1:2" x14ac:dyDescent="0.25">
      <c r="A552" t="s">
        <v>9</v>
      </c>
      <c r="B552" t="s">
        <v>20</v>
      </c>
    </row>
    <row r="553" spans="1:2" x14ac:dyDescent="0.25">
      <c r="A553" t="s">
        <v>9</v>
      </c>
      <c r="B553" t="s">
        <v>20</v>
      </c>
    </row>
    <row r="554" spans="1:2" x14ac:dyDescent="0.25">
      <c r="A554" t="s">
        <v>9</v>
      </c>
      <c r="B554" t="s">
        <v>20</v>
      </c>
    </row>
    <row r="555" spans="1:2" x14ac:dyDescent="0.25">
      <c r="A555" t="s">
        <v>9</v>
      </c>
      <c r="B555" t="s">
        <v>119</v>
      </c>
    </row>
    <row r="556" spans="1:2" x14ac:dyDescent="0.25">
      <c r="A556" t="s">
        <v>9</v>
      </c>
      <c r="B556" t="s">
        <v>119</v>
      </c>
    </row>
    <row r="557" spans="1:2" x14ac:dyDescent="0.25">
      <c r="A557" t="s">
        <v>9</v>
      </c>
      <c r="B557" t="s">
        <v>118</v>
      </c>
    </row>
    <row r="558" spans="1:2" x14ac:dyDescent="0.25">
      <c r="A558" t="s">
        <v>9</v>
      </c>
      <c r="B558" t="s">
        <v>119</v>
      </c>
    </row>
    <row r="559" spans="1:2" x14ac:dyDescent="0.25">
      <c r="A559" t="s">
        <v>9</v>
      </c>
      <c r="B559" t="s">
        <v>119</v>
      </c>
    </row>
    <row r="560" spans="1:2" x14ac:dyDescent="0.25">
      <c r="A560" t="s">
        <v>9</v>
      </c>
      <c r="B560" t="s">
        <v>119</v>
      </c>
    </row>
    <row r="561" spans="1:2" x14ac:dyDescent="0.25">
      <c r="A561" t="s">
        <v>9</v>
      </c>
      <c r="B561" t="s">
        <v>118</v>
      </c>
    </row>
    <row r="562" spans="1:2" x14ac:dyDescent="0.25">
      <c r="A562" t="s">
        <v>9</v>
      </c>
      <c r="B562" t="s">
        <v>119</v>
      </c>
    </row>
    <row r="563" spans="1:2" x14ac:dyDescent="0.25">
      <c r="A563" t="s">
        <v>9</v>
      </c>
      <c r="B563" t="s">
        <v>119</v>
      </c>
    </row>
    <row r="564" spans="1:2" x14ac:dyDescent="0.25">
      <c r="A564" t="s">
        <v>9</v>
      </c>
      <c r="B564" t="s">
        <v>119</v>
      </c>
    </row>
    <row r="565" spans="1:2" x14ac:dyDescent="0.25">
      <c r="A565" t="s">
        <v>9</v>
      </c>
      <c r="B565" t="s">
        <v>119</v>
      </c>
    </row>
    <row r="566" spans="1:2" x14ac:dyDescent="0.25">
      <c r="A566" t="s">
        <v>9</v>
      </c>
      <c r="B566" t="s">
        <v>119</v>
      </c>
    </row>
    <row r="567" spans="1:2" x14ac:dyDescent="0.25">
      <c r="A567" t="s">
        <v>9</v>
      </c>
      <c r="B567" t="s">
        <v>119</v>
      </c>
    </row>
    <row r="568" spans="1:2" x14ac:dyDescent="0.25">
      <c r="A568" t="s">
        <v>9</v>
      </c>
      <c r="B568" t="s">
        <v>119</v>
      </c>
    </row>
    <row r="569" spans="1:2" x14ac:dyDescent="0.25">
      <c r="A569" t="s">
        <v>10</v>
      </c>
      <c r="B569" t="s">
        <v>118</v>
      </c>
    </row>
    <row r="570" spans="1:2" x14ac:dyDescent="0.25">
      <c r="A570" t="s">
        <v>9</v>
      </c>
      <c r="B570" t="s">
        <v>118</v>
      </c>
    </row>
    <row r="571" spans="1:2" x14ac:dyDescent="0.25">
      <c r="A571" t="s">
        <v>9</v>
      </c>
      <c r="B571" t="s">
        <v>119</v>
      </c>
    </row>
    <row r="572" spans="1:2" x14ac:dyDescent="0.25">
      <c r="A572" t="s">
        <v>9</v>
      </c>
      <c r="B572" t="s">
        <v>118</v>
      </c>
    </row>
    <row r="573" spans="1:2" x14ac:dyDescent="0.25">
      <c r="A573" t="s">
        <v>10</v>
      </c>
      <c r="B573" t="s">
        <v>119</v>
      </c>
    </row>
    <row r="574" spans="1:2" x14ac:dyDescent="0.25">
      <c r="A574" t="s">
        <v>9</v>
      </c>
      <c r="B574" t="s">
        <v>118</v>
      </c>
    </row>
    <row r="575" spans="1:2" x14ac:dyDescent="0.25">
      <c r="A575" t="s">
        <v>9</v>
      </c>
      <c r="B575" t="s">
        <v>118</v>
      </c>
    </row>
    <row r="576" spans="1:2" x14ac:dyDescent="0.25">
      <c r="A576" t="s">
        <v>9</v>
      </c>
      <c r="B576" t="s">
        <v>118</v>
      </c>
    </row>
    <row r="577" spans="1:2" x14ac:dyDescent="0.25">
      <c r="A577" t="s">
        <v>9</v>
      </c>
      <c r="B577" t="s">
        <v>119</v>
      </c>
    </row>
    <row r="578" spans="1:2" x14ac:dyDescent="0.25">
      <c r="A578" t="s">
        <v>9</v>
      </c>
      <c r="B578" t="s">
        <v>118</v>
      </c>
    </row>
    <row r="579" spans="1:2" x14ac:dyDescent="0.25">
      <c r="A579" t="s">
        <v>9</v>
      </c>
      <c r="B579" t="s">
        <v>119</v>
      </c>
    </row>
    <row r="580" spans="1:2" x14ac:dyDescent="0.25">
      <c r="A580" t="s">
        <v>9</v>
      </c>
      <c r="B580" t="s">
        <v>119</v>
      </c>
    </row>
    <row r="581" spans="1:2" x14ac:dyDescent="0.25">
      <c r="A581" t="s">
        <v>9</v>
      </c>
      <c r="B581" t="s">
        <v>119</v>
      </c>
    </row>
    <row r="582" spans="1:2" x14ac:dyDescent="0.25">
      <c r="A582" t="s">
        <v>9</v>
      </c>
      <c r="B582" t="s">
        <v>119</v>
      </c>
    </row>
    <row r="583" spans="1:2" x14ac:dyDescent="0.25">
      <c r="A583" t="s">
        <v>9</v>
      </c>
      <c r="B583" t="s">
        <v>119</v>
      </c>
    </row>
    <row r="584" spans="1:2" x14ac:dyDescent="0.25">
      <c r="A584" t="s">
        <v>9</v>
      </c>
      <c r="B584" t="s">
        <v>119</v>
      </c>
    </row>
    <row r="585" spans="1:2" x14ac:dyDescent="0.25">
      <c r="A585" t="s">
        <v>9</v>
      </c>
      <c r="B585" t="s">
        <v>118</v>
      </c>
    </row>
    <row r="586" spans="1:2" x14ac:dyDescent="0.25">
      <c r="A586" t="s">
        <v>9</v>
      </c>
      <c r="B586" t="s">
        <v>119</v>
      </c>
    </row>
    <row r="587" spans="1:2" x14ac:dyDescent="0.25">
      <c r="A587" t="s">
        <v>9</v>
      </c>
      <c r="B587" t="s">
        <v>119</v>
      </c>
    </row>
    <row r="588" spans="1:2" x14ac:dyDescent="0.25">
      <c r="A588" t="s">
        <v>9</v>
      </c>
      <c r="B588" t="s">
        <v>119</v>
      </c>
    </row>
    <row r="589" spans="1:2" x14ac:dyDescent="0.25">
      <c r="A589" t="s">
        <v>10</v>
      </c>
      <c r="B589" t="s">
        <v>118</v>
      </c>
    </row>
    <row r="590" spans="1:2" x14ac:dyDescent="0.25">
      <c r="A590" t="s">
        <v>9</v>
      </c>
      <c r="B590" t="s">
        <v>119</v>
      </c>
    </row>
    <row r="591" spans="1:2" x14ac:dyDescent="0.25">
      <c r="A591" t="s">
        <v>9</v>
      </c>
      <c r="B591" t="s">
        <v>119</v>
      </c>
    </row>
    <row r="592" spans="1:2" x14ac:dyDescent="0.25">
      <c r="A592" t="s">
        <v>9</v>
      </c>
      <c r="B592" t="s">
        <v>119</v>
      </c>
    </row>
    <row r="593" spans="1:2" x14ac:dyDescent="0.25">
      <c r="A593" t="s">
        <v>10</v>
      </c>
      <c r="B593" t="s">
        <v>118</v>
      </c>
    </row>
    <row r="594" spans="1:2" x14ac:dyDescent="0.25">
      <c r="A594" t="s">
        <v>10</v>
      </c>
      <c r="B594" t="s">
        <v>118</v>
      </c>
    </row>
    <row r="595" spans="1:2" x14ac:dyDescent="0.25">
      <c r="A595" t="s">
        <v>9</v>
      </c>
      <c r="B595" t="s">
        <v>119</v>
      </c>
    </row>
    <row r="596" spans="1:2" x14ac:dyDescent="0.25">
      <c r="A596" t="s">
        <v>9</v>
      </c>
      <c r="B596" t="s">
        <v>119</v>
      </c>
    </row>
    <row r="597" spans="1:2" x14ac:dyDescent="0.25">
      <c r="A597" t="s">
        <v>9</v>
      </c>
      <c r="B597" t="s">
        <v>118</v>
      </c>
    </row>
    <row r="598" spans="1:2" x14ac:dyDescent="0.25">
      <c r="A598" t="s">
        <v>9</v>
      </c>
      <c r="B598" t="s">
        <v>119</v>
      </c>
    </row>
    <row r="599" spans="1:2" x14ac:dyDescent="0.25">
      <c r="A599" t="s">
        <v>9</v>
      </c>
      <c r="B599" t="s">
        <v>119</v>
      </c>
    </row>
    <row r="600" spans="1:2" x14ac:dyDescent="0.25">
      <c r="A600" t="s">
        <v>9</v>
      </c>
      <c r="B600" t="s">
        <v>119</v>
      </c>
    </row>
    <row r="601" spans="1:2" x14ac:dyDescent="0.25">
      <c r="A601" t="s">
        <v>10</v>
      </c>
      <c r="B601" t="s">
        <v>119</v>
      </c>
    </row>
    <row r="602" spans="1:2" x14ac:dyDescent="0.25">
      <c r="A602" t="s">
        <v>9</v>
      </c>
      <c r="B602" t="s">
        <v>118</v>
      </c>
    </row>
    <row r="603" spans="1:2" x14ac:dyDescent="0.25">
      <c r="A603" t="s">
        <v>9</v>
      </c>
      <c r="B603" t="s">
        <v>119</v>
      </c>
    </row>
    <row r="604" spans="1:2" x14ac:dyDescent="0.25">
      <c r="A604" t="s">
        <v>9</v>
      </c>
      <c r="B604" t="s">
        <v>119</v>
      </c>
    </row>
    <row r="605" spans="1:2" x14ac:dyDescent="0.25">
      <c r="A605" t="s">
        <v>9</v>
      </c>
      <c r="B605" t="s">
        <v>119</v>
      </c>
    </row>
    <row r="606" spans="1:2" x14ac:dyDescent="0.25">
      <c r="A606" t="s">
        <v>10</v>
      </c>
      <c r="B606" t="s">
        <v>118</v>
      </c>
    </row>
    <row r="607" spans="1:2" x14ac:dyDescent="0.25">
      <c r="A607" t="s">
        <v>9</v>
      </c>
      <c r="B607" t="s">
        <v>119</v>
      </c>
    </row>
    <row r="608" spans="1:2" x14ac:dyDescent="0.25">
      <c r="A608" t="s">
        <v>9</v>
      </c>
      <c r="B608" t="s">
        <v>118</v>
      </c>
    </row>
    <row r="609" spans="1:2" x14ac:dyDescent="0.25">
      <c r="A609" t="s">
        <v>9</v>
      </c>
      <c r="B609" t="s">
        <v>118</v>
      </c>
    </row>
    <row r="610" spans="1:2" x14ac:dyDescent="0.25">
      <c r="A610" t="s">
        <v>9</v>
      </c>
      <c r="B610" t="s">
        <v>119</v>
      </c>
    </row>
    <row r="611" spans="1:2" x14ac:dyDescent="0.25">
      <c r="A611" t="s">
        <v>9</v>
      </c>
      <c r="B611" t="s">
        <v>118</v>
      </c>
    </row>
    <row r="612" spans="1:2" x14ac:dyDescent="0.25">
      <c r="A612" t="s">
        <v>9</v>
      </c>
      <c r="B612" t="s">
        <v>119</v>
      </c>
    </row>
    <row r="613" spans="1:2" x14ac:dyDescent="0.25">
      <c r="A613" t="s">
        <v>9</v>
      </c>
      <c r="B613" t="s">
        <v>119</v>
      </c>
    </row>
    <row r="614" spans="1:2" x14ac:dyDescent="0.25">
      <c r="A614" t="s">
        <v>10</v>
      </c>
      <c r="B614" t="s">
        <v>119</v>
      </c>
    </row>
    <row r="615" spans="1:2" x14ac:dyDescent="0.25">
      <c r="A615" t="s">
        <v>10</v>
      </c>
      <c r="B615" t="s">
        <v>118</v>
      </c>
    </row>
    <row r="616" spans="1:2" x14ac:dyDescent="0.25">
      <c r="A616" t="s">
        <v>9</v>
      </c>
      <c r="B616" t="s">
        <v>118</v>
      </c>
    </row>
    <row r="617" spans="1:2" x14ac:dyDescent="0.25">
      <c r="A617" t="s">
        <v>9</v>
      </c>
      <c r="B617" t="s">
        <v>119</v>
      </c>
    </row>
    <row r="618" spans="1:2" x14ac:dyDescent="0.25">
      <c r="A618" t="s">
        <v>9</v>
      </c>
      <c r="B618" t="s">
        <v>119</v>
      </c>
    </row>
    <row r="619" spans="1:2" x14ac:dyDescent="0.25">
      <c r="A619" t="s">
        <v>9</v>
      </c>
      <c r="B619" t="s">
        <v>118</v>
      </c>
    </row>
    <row r="620" spans="1:2" x14ac:dyDescent="0.25">
      <c r="A620" t="s">
        <v>9</v>
      </c>
      <c r="B620" t="s">
        <v>119</v>
      </c>
    </row>
    <row r="621" spans="1:2" x14ac:dyDescent="0.25">
      <c r="A621" t="s">
        <v>9</v>
      </c>
      <c r="B621" t="s">
        <v>119</v>
      </c>
    </row>
    <row r="622" spans="1:2" x14ac:dyDescent="0.25">
      <c r="A622" t="s">
        <v>10</v>
      </c>
      <c r="B622" t="s">
        <v>119</v>
      </c>
    </row>
    <row r="623" spans="1:2" x14ac:dyDescent="0.25">
      <c r="A623" t="s">
        <v>9</v>
      </c>
      <c r="B623" t="s">
        <v>119</v>
      </c>
    </row>
    <row r="624" spans="1:2" x14ac:dyDescent="0.25">
      <c r="A624" t="s">
        <v>9</v>
      </c>
      <c r="B624" t="s">
        <v>119</v>
      </c>
    </row>
    <row r="625" spans="1:2" x14ac:dyDescent="0.25">
      <c r="A625" t="s">
        <v>9</v>
      </c>
      <c r="B625" t="s">
        <v>20</v>
      </c>
    </row>
    <row r="626" spans="1:2" x14ac:dyDescent="0.25">
      <c r="A626" t="s">
        <v>10</v>
      </c>
      <c r="B626" t="s">
        <v>119</v>
      </c>
    </row>
    <row r="627" spans="1:2" x14ac:dyDescent="0.25">
      <c r="A627" t="s">
        <v>9</v>
      </c>
      <c r="B627" t="s">
        <v>119</v>
      </c>
    </row>
    <row r="628" spans="1:2" x14ac:dyDescent="0.25">
      <c r="A628" t="s">
        <v>9</v>
      </c>
      <c r="B628" t="s">
        <v>118</v>
      </c>
    </row>
    <row r="629" spans="1:2" x14ac:dyDescent="0.25">
      <c r="A629" t="s">
        <v>9</v>
      </c>
      <c r="B629" t="s">
        <v>119</v>
      </c>
    </row>
    <row r="630" spans="1:2" x14ac:dyDescent="0.25">
      <c r="A630" t="s">
        <v>9</v>
      </c>
      <c r="B630" t="s">
        <v>119</v>
      </c>
    </row>
    <row r="631" spans="1:2" x14ac:dyDescent="0.25">
      <c r="A631" t="s">
        <v>9</v>
      </c>
      <c r="B631" t="s">
        <v>119</v>
      </c>
    </row>
    <row r="632" spans="1:2" x14ac:dyDescent="0.25">
      <c r="A632" t="s">
        <v>9</v>
      </c>
      <c r="B632" t="s">
        <v>119</v>
      </c>
    </row>
    <row r="633" spans="1:2" x14ac:dyDescent="0.25">
      <c r="A633" t="s">
        <v>9</v>
      </c>
      <c r="B633" t="s">
        <v>118</v>
      </c>
    </row>
    <row r="634" spans="1:2" x14ac:dyDescent="0.25">
      <c r="A634" t="s">
        <v>9</v>
      </c>
      <c r="B634" t="s">
        <v>118</v>
      </c>
    </row>
    <row r="635" spans="1:2" x14ac:dyDescent="0.25">
      <c r="A635" t="s">
        <v>9</v>
      </c>
      <c r="B635" t="s">
        <v>119</v>
      </c>
    </row>
    <row r="636" spans="1:2" x14ac:dyDescent="0.25">
      <c r="A636" t="s">
        <v>9</v>
      </c>
      <c r="B636" t="s">
        <v>119</v>
      </c>
    </row>
    <row r="637" spans="1:2" x14ac:dyDescent="0.25">
      <c r="A637" t="s">
        <v>9</v>
      </c>
      <c r="B637" t="s">
        <v>119</v>
      </c>
    </row>
    <row r="638" spans="1:2" x14ac:dyDescent="0.25">
      <c r="A638" t="s">
        <v>9</v>
      </c>
      <c r="B638" t="s">
        <v>119</v>
      </c>
    </row>
    <row r="639" spans="1:2" x14ac:dyDescent="0.25">
      <c r="A639" t="s">
        <v>9</v>
      </c>
      <c r="B639" t="s">
        <v>118</v>
      </c>
    </row>
    <row r="640" spans="1:2" x14ac:dyDescent="0.25">
      <c r="A640" t="s">
        <v>9</v>
      </c>
      <c r="B640" t="s">
        <v>119</v>
      </c>
    </row>
    <row r="641" spans="1:2" x14ac:dyDescent="0.25">
      <c r="A641" t="s">
        <v>10</v>
      </c>
      <c r="B641" t="s">
        <v>118</v>
      </c>
    </row>
    <row r="642" spans="1:2" x14ac:dyDescent="0.25">
      <c r="A642" t="s">
        <v>9</v>
      </c>
      <c r="B642" t="s">
        <v>119</v>
      </c>
    </row>
    <row r="643" spans="1:2" x14ac:dyDescent="0.25">
      <c r="A643" t="s">
        <v>9</v>
      </c>
      <c r="B643" t="s">
        <v>119</v>
      </c>
    </row>
    <row r="644" spans="1:2" x14ac:dyDescent="0.25">
      <c r="A644" t="s">
        <v>9</v>
      </c>
      <c r="B644" t="s">
        <v>119</v>
      </c>
    </row>
    <row r="645" spans="1:2" x14ac:dyDescent="0.25">
      <c r="A645" t="s">
        <v>10</v>
      </c>
      <c r="B645" t="s">
        <v>119</v>
      </c>
    </row>
    <row r="646" spans="1:2" x14ac:dyDescent="0.25">
      <c r="A646" t="s">
        <v>10</v>
      </c>
      <c r="B646" t="s">
        <v>119</v>
      </c>
    </row>
    <row r="647" spans="1:2" x14ac:dyDescent="0.25">
      <c r="A647" t="s">
        <v>9</v>
      </c>
      <c r="B647" t="s">
        <v>118</v>
      </c>
    </row>
    <row r="648" spans="1:2" x14ac:dyDescent="0.25">
      <c r="A648" t="s">
        <v>10</v>
      </c>
      <c r="B648" t="s">
        <v>119</v>
      </c>
    </row>
    <row r="649" spans="1:2" x14ac:dyDescent="0.25">
      <c r="A649" t="s">
        <v>9</v>
      </c>
      <c r="B649" t="s">
        <v>119</v>
      </c>
    </row>
    <row r="650" spans="1:2" x14ac:dyDescent="0.25">
      <c r="A650" t="s">
        <v>9</v>
      </c>
      <c r="B650" t="s">
        <v>118</v>
      </c>
    </row>
    <row r="651" spans="1:2" x14ac:dyDescent="0.25">
      <c r="A651" t="s">
        <v>10</v>
      </c>
      <c r="B651" t="s">
        <v>119</v>
      </c>
    </row>
    <row r="652" spans="1:2" x14ac:dyDescent="0.25">
      <c r="A652" t="s">
        <v>9</v>
      </c>
      <c r="B652" t="s">
        <v>119</v>
      </c>
    </row>
    <row r="653" spans="1:2" x14ac:dyDescent="0.25">
      <c r="A653" t="s">
        <v>9</v>
      </c>
      <c r="B653" t="s">
        <v>118</v>
      </c>
    </row>
    <row r="654" spans="1:2" x14ac:dyDescent="0.25">
      <c r="A654" t="s">
        <v>9</v>
      </c>
      <c r="B654" t="s">
        <v>119</v>
      </c>
    </row>
    <row r="655" spans="1:2" x14ac:dyDescent="0.25">
      <c r="A655" t="s">
        <v>9</v>
      </c>
      <c r="B655" t="s">
        <v>118</v>
      </c>
    </row>
    <row r="656" spans="1:2" x14ac:dyDescent="0.25">
      <c r="A656" t="s">
        <v>10</v>
      </c>
      <c r="B656" t="s">
        <v>119</v>
      </c>
    </row>
    <row r="657" spans="1:2" x14ac:dyDescent="0.25">
      <c r="A657" t="s">
        <v>9</v>
      </c>
      <c r="B657" t="s">
        <v>119</v>
      </c>
    </row>
    <row r="658" spans="1:2" x14ac:dyDescent="0.25">
      <c r="A658" t="s">
        <v>9</v>
      </c>
      <c r="B658" t="s">
        <v>119</v>
      </c>
    </row>
    <row r="659" spans="1:2" x14ac:dyDescent="0.25">
      <c r="A659" t="s">
        <v>9</v>
      </c>
      <c r="B659" t="s">
        <v>119</v>
      </c>
    </row>
    <row r="660" spans="1:2" x14ac:dyDescent="0.25">
      <c r="A660" t="s">
        <v>9</v>
      </c>
      <c r="B660" t="s">
        <v>119</v>
      </c>
    </row>
    <row r="661" spans="1:2" x14ac:dyDescent="0.25">
      <c r="A661" t="s">
        <v>9</v>
      </c>
      <c r="B661" t="s">
        <v>119</v>
      </c>
    </row>
    <row r="662" spans="1:2" x14ac:dyDescent="0.25">
      <c r="A662" t="s">
        <v>9</v>
      </c>
      <c r="B662" t="s">
        <v>119</v>
      </c>
    </row>
    <row r="663" spans="1:2" x14ac:dyDescent="0.25">
      <c r="A663" t="s">
        <v>9</v>
      </c>
      <c r="B663" t="s">
        <v>119</v>
      </c>
    </row>
    <row r="664" spans="1:2" x14ac:dyDescent="0.25">
      <c r="A664" t="s">
        <v>9</v>
      </c>
      <c r="B664" t="s">
        <v>118</v>
      </c>
    </row>
    <row r="665" spans="1:2" x14ac:dyDescent="0.25">
      <c r="A665" t="s">
        <v>9</v>
      </c>
      <c r="B665" t="s">
        <v>119</v>
      </c>
    </row>
    <row r="666" spans="1:2" x14ac:dyDescent="0.25">
      <c r="A666" t="s">
        <v>9</v>
      </c>
      <c r="B666" t="s">
        <v>118</v>
      </c>
    </row>
    <row r="667" spans="1:2" x14ac:dyDescent="0.25">
      <c r="A667" t="s">
        <v>9</v>
      </c>
      <c r="B667" t="s">
        <v>119</v>
      </c>
    </row>
    <row r="668" spans="1:2" x14ac:dyDescent="0.25">
      <c r="A668" t="s">
        <v>9</v>
      </c>
      <c r="B668" t="s">
        <v>118</v>
      </c>
    </row>
    <row r="669" spans="1:2" x14ac:dyDescent="0.25">
      <c r="A669" t="s">
        <v>10</v>
      </c>
      <c r="B669" t="s">
        <v>119</v>
      </c>
    </row>
    <row r="670" spans="1:2" x14ac:dyDescent="0.25">
      <c r="A670" t="s">
        <v>10</v>
      </c>
      <c r="B670" t="s">
        <v>119</v>
      </c>
    </row>
    <row r="671" spans="1:2" x14ac:dyDescent="0.25">
      <c r="A671" t="s">
        <v>9</v>
      </c>
      <c r="B671" t="s">
        <v>119</v>
      </c>
    </row>
    <row r="672" spans="1:2" x14ac:dyDescent="0.25">
      <c r="A672" t="s">
        <v>9</v>
      </c>
      <c r="B672" t="s">
        <v>119</v>
      </c>
    </row>
    <row r="673" spans="1:2" x14ac:dyDescent="0.25">
      <c r="A673" t="s">
        <v>9</v>
      </c>
      <c r="B673" t="s">
        <v>118</v>
      </c>
    </row>
    <row r="674" spans="1:2" x14ac:dyDescent="0.25">
      <c r="A674" t="s">
        <v>9</v>
      </c>
      <c r="B674" t="s">
        <v>118</v>
      </c>
    </row>
    <row r="675" spans="1:2" x14ac:dyDescent="0.25">
      <c r="A675" t="s">
        <v>10</v>
      </c>
      <c r="B675" t="s">
        <v>119</v>
      </c>
    </row>
    <row r="676" spans="1:2" x14ac:dyDescent="0.25">
      <c r="A676" t="s">
        <v>9</v>
      </c>
      <c r="B676" t="s">
        <v>119</v>
      </c>
    </row>
    <row r="677" spans="1:2" x14ac:dyDescent="0.25">
      <c r="A677" t="s">
        <v>9</v>
      </c>
      <c r="B677" t="s">
        <v>118</v>
      </c>
    </row>
    <row r="678" spans="1:2" x14ac:dyDescent="0.25">
      <c r="A678" t="s">
        <v>9</v>
      </c>
      <c r="B678" t="s">
        <v>119</v>
      </c>
    </row>
    <row r="679" spans="1:2" x14ac:dyDescent="0.25">
      <c r="A679" t="s">
        <v>9</v>
      </c>
      <c r="B679" t="s">
        <v>119</v>
      </c>
    </row>
    <row r="680" spans="1:2" x14ac:dyDescent="0.25">
      <c r="A680" t="s">
        <v>9</v>
      </c>
      <c r="B680" t="s">
        <v>119</v>
      </c>
    </row>
    <row r="681" spans="1:2" x14ac:dyDescent="0.25">
      <c r="A681" t="s">
        <v>9</v>
      </c>
      <c r="B681" t="s">
        <v>118</v>
      </c>
    </row>
    <row r="682" spans="1:2" x14ac:dyDescent="0.25">
      <c r="A682" t="s">
        <v>9</v>
      </c>
      <c r="B682" t="s">
        <v>118</v>
      </c>
    </row>
    <row r="683" spans="1:2" x14ac:dyDescent="0.25">
      <c r="A683" t="s">
        <v>9</v>
      </c>
      <c r="B683" t="s">
        <v>119</v>
      </c>
    </row>
    <row r="684" spans="1:2" x14ac:dyDescent="0.25">
      <c r="A684" t="s">
        <v>9</v>
      </c>
      <c r="B684" t="s">
        <v>119</v>
      </c>
    </row>
    <row r="685" spans="1:2" x14ac:dyDescent="0.25">
      <c r="A685" t="s">
        <v>9</v>
      </c>
      <c r="B685" t="s">
        <v>119</v>
      </c>
    </row>
    <row r="686" spans="1:2" x14ac:dyDescent="0.25">
      <c r="A686" t="s">
        <v>9</v>
      </c>
      <c r="B686" t="s">
        <v>119</v>
      </c>
    </row>
    <row r="687" spans="1:2" x14ac:dyDescent="0.25">
      <c r="A687" t="s">
        <v>9</v>
      </c>
      <c r="B687" t="s">
        <v>119</v>
      </c>
    </row>
    <row r="688" spans="1:2" x14ac:dyDescent="0.25">
      <c r="A688" t="s">
        <v>10</v>
      </c>
      <c r="B688" t="s">
        <v>119</v>
      </c>
    </row>
    <row r="689" spans="1:2" x14ac:dyDescent="0.25">
      <c r="A689" t="s">
        <v>9</v>
      </c>
      <c r="B689" t="s">
        <v>119</v>
      </c>
    </row>
    <row r="690" spans="1:2" x14ac:dyDescent="0.25">
      <c r="A690" t="s">
        <v>10</v>
      </c>
      <c r="B690" t="s">
        <v>119</v>
      </c>
    </row>
    <row r="691" spans="1:2" x14ac:dyDescent="0.25">
      <c r="A691" t="s">
        <v>9</v>
      </c>
      <c r="B691" t="s">
        <v>20</v>
      </c>
    </row>
    <row r="692" spans="1:2" x14ac:dyDescent="0.25">
      <c r="A692" t="s">
        <v>9</v>
      </c>
      <c r="B692" t="s">
        <v>20</v>
      </c>
    </row>
    <row r="693" spans="1:2" x14ac:dyDescent="0.25">
      <c r="A693" t="s">
        <v>10</v>
      </c>
      <c r="B693" t="s">
        <v>119</v>
      </c>
    </row>
    <row r="694" spans="1:2" x14ac:dyDescent="0.25">
      <c r="A694" t="s">
        <v>9</v>
      </c>
      <c r="B694" t="s">
        <v>119</v>
      </c>
    </row>
    <row r="695" spans="1:2" x14ac:dyDescent="0.25">
      <c r="A695" t="s">
        <v>10</v>
      </c>
      <c r="B695" t="s">
        <v>119</v>
      </c>
    </row>
    <row r="696" spans="1:2" x14ac:dyDescent="0.25">
      <c r="A696" t="s">
        <v>9</v>
      </c>
      <c r="B696" t="s">
        <v>118</v>
      </c>
    </row>
    <row r="697" spans="1:2" x14ac:dyDescent="0.25">
      <c r="A697" t="s">
        <v>9</v>
      </c>
      <c r="B697" t="s">
        <v>118</v>
      </c>
    </row>
    <row r="698" spans="1:2" x14ac:dyDescent="0.25">
      <c r="A698" t="s">
        <v>9</v>
      </c>
      <c r="B698" t="s">
        <v>119</v>
      </c>
    </row>
    <row r="699" spans="1:2" x14ac:dyDescent="0.25">
      <c r="A699" t="s">
        <v>9</v>
      </c>
      <c r="B699" t="s">
        <v>119</v>
      </c>
    </row>
    <row r="700" spans="1:2" x14ac:dyDescent="0.25">
      <c r="A700" t="s">
        <v>10</v>
      </c>
      <c r="B700" t="s">
        <v>118</v>
      </c>
    </row>
    <row r="701" spans="1:2" x14ac:dyDescent="0.25">
      <c r="A701" t="s">
        <v>9</v>
      </c>
      <c r="B701" t="s">
        <v>119</v>
      </c>
    </row>
    <row r="702" spans="1:2" x14ac:dyDescent="0.25">
      <c r="A702" t="s">
        <v>9</v>
      </c>
      <c r="B702" t="s">
        <v>20</v>
      </c>
    </row>
    <row r="703" spans="1:2" x14ac:dyDescent="0.25">
      <c r="A703" t="s">
        <v>9</v>
      </c>
      <c r="B703" t="s">
        <v>118</v>
      </c>
    </row>
    <row r="704" spans="1:2" x14ac:dyDescent="0.25">
      <c r="A704" t="s">
        <v>9</v>
      </c>
      <c r="B704" t="s">
        <v>118</v>
      </c>
    </row>
    <row r="705" spans="1:2" x14ac:dyDescent="0.25">
      <c r="A705" t="s">
        <v>10</v>
      </c>
      <c r="B705" t="s">
        <v>20</v>
      </c>
    </row>
    <row r="706" spans="1:2" x14ac:dyDescent="0.25">
      <c r="A706" t="s">
        <v>9</v>
      </c>
      <c r="B706" t="s">
        <v>20</v>
      </c>
    </row>
    <row r="707" spans="1:2" x14ac:dyDescent="0.25">
      <c r="A707" t="s">
        <v>9</v>
      </c>
      <c r="B707" t="s">
        <v>118</v>
      </c>
    </row>
    <row r="708" spans="1:2" x14ac:dyDescent="0.25">
      <c r="A708" t="s">
        <v>9</v>
      </c>
      <c r="B708" t="s">
        <v>119</v>
      </c>
    </row>
    <row r="709" spans="1:2" x14ac:dyDescent="0.25">
      <c r="A709" t="s">
        <v>9</v>
      </c>
      <c r="B709" t="s">
        <v>20</v>
      </c>
    </row>
    <row r="710" spans="1:2" x14ac:dyDescent="0.25">
      <c r="A710" t="s">
        <v>9</v>
      </c>
      <c r="B710" t="s">
        <v>119</v>
      </c>
    </row>
    <row r="711" spans="1:2" x14ac:dyDescent="0.25">
      <c r="A711" t="s">
        <v>9</v>
      </c>
      <c r="B711" t="s">
        <v>119</v>
      </c>
    </row>
    <row r="712" spans="1:2" x14ac:dyDescent="0.25">
      <c r="A712" t="s">
        <v>9</v>
      </c>
      <c r="B712" t="s">
        <v>119</v>
      </c>
    </row>
    <row r="713" spans="1:2" x14ac:dyDescent="0.25">
      <c r="A713" t="s">
        <v>9</v>
      </c>
      <c r="B713" t="s">
        <v>118</v>
      </c>
    </row>
    <row r="714" spans="1:2" x14ac:dyDescent="0.25">
      <c r="A714" t="s">
        <v>9</v>
      </c>
      <c r="B714" t="s">
        <v>119</v>
      </c>
    </row>
    <row r="715" spans="1:2" x14ac:dyDescent="0.25">
      <c r="A715" t="s">
        <v>9</v>
      </c>
      <c r="B715" t="s">
        <v>118</v>
      </c>
    </row>
    <row r="716" spans="1:2" x14ac:dyDescent="0.25">
      <c r="A716" t="s">
        <v>9</v>
      </c>
      <c r="B716" t="s">
        <v>118</v>
      </c>
    </row>
    <row r="717" spans="1:2" x14ac:dyDescent="0.25">
      <c r="A717" t="s">
        <v>10</v>
      </c>
      <c r="B717" t="s">
        <v>20</v>
      </c>
    </row>
    <row r="718" spans="1:2" x14ac:dyDescent="0.25">
      <c r="A718" t="s">
        <v>9</v>
      </c>
      <c r="B718" t="s">
        <v>118</v>
      </c>
    </row>
    <row r="719" spans="1:2" x14ac:dyDescent="0.25">
      <c r="A719" t="s">
        <v>9</v>
      </c>
      <c r="B719" t="s">
        <v>119</v>
      </c>
    </row>
    <row r="720" spans="1:2" x14ac:dyDescent="0.25">
      <c r="A720" t="s">
        <v>10</v>
      </c>
      <c r="B720" t="s">
        <v>118</v>
      </c>
    </row>
    <row r="721" spans="1:2" x14ac:dyDescent="0.25">
      <c r="A721" t="s">
        <v>9</v>
      </c>
      <c r="B721" t="s">
        <v>119</v>
      </c>
    </row>
    <row r="722" spans="1:2" x14ac:dyDescent="0.25">
      <c r="A722" t="s">
        <v>9</v>
      </c>
      <c r="B722" t="s">
        <v>119</v>
      </c>
    </row>
    <row r="723" spans="1:2" x14ac:dyDescent="0.25">
      <c r="A723" t="s">
        <v>9</v>
      </c>
      <c r="B723" t="s">
        <v>119</v>
      </c>
    </row>
    <row r="724" spans="1:2" x14ac:dyDescent="0.25">
      <c r="A724" t="s">
        <v>9</v>
      </c>
      <c r="B724" t="s">
        <v>119</v>
      </c>
    </row>
    <row r="725" spans="1:2" x14ac:dyDescent="0.25">
      <c r="A725" t="s">
        <v>9</v>
      </c>
      <c r="B725" t="s">
        <v>119</v>
      </c>
    </row>
    <row r="726" spans="1:2" x14ac:dyDescent="0.25">
      <c r="A726" t="s">
        <v>9</v>
      </c>
      <c r="B726" t="s">
        <v>119</v>
      </c>
    </row>
    <row r="727" spans="1:2" x14ac:dyDescent="0.25">
      <c r="A727" t="s">
        <v>9</v>
      </c>
      <c r="B727" t="s">
        <v>119</v>
      </c>
    </row>
    <row r="728" spans="1:2" x14ac:dyDescent="0.25">
      <c r="A728" t="s">
        <v>9</v>
      </c>
      <c r="B728" t="s">
        <v>118</v>
      </c>
    </row>
    <row r="729" spans="1:2" x14ac:dyDescent="0.25">
      <c r="A729" t="s">
        <v>9</v>
      </c>
      <c r="B729" t="s">
        <v>119</v>
      </c>
    </row>
    <row r="730" spans="1:2" x14ac:dyDescent="0.25">
      <c r="A730" t="s">
        <v>10</v>
      </c>
      <c r="B730" t="s">
        <v>119</v>
      </c>
    </row>
    <row r="731" spans="1:2" x14ac:dyDescent="0.25">
      <c r="A731" t="s">
        <v>9</v>
      </c>
      <c r="B731" t="s">
        <v>119</v>
      </c>
    </row>
    <row r="732" spans="1:2" x14ac:dyDescent="0.25">
      <c r="A732" t="s">
        <v>9</v>
      </c>
      <c r="B732" t="s">
        <v>119</v>
      </c>
    </row>
    <row r="733" spans="1:2" x14ac:dyDescent="0.25">
      <c r="A733" t="s">
        <v>10</v>
      </c>
      <c r="B733" t="s">
        <v>118</v>
      </c>
    </row>
    <row r="734" spans="1:2" x14ac:dyDescent="0.25">
      <c r="A734" t="s">
        <v>10</v>
      </c>
      <c r="B734" t="s">
        <v>20</v>
      </c>
    </row>
    <row r="735" spans="1:2" x14ac:dyDescent="0.25">
      <c r="A735" t="s">
        <v>10</v>
      </c>
      <c r="B735" t="s">
        <v>118</v>
      </c>
    </row>
    <row r="736" spans="1:2" x14ac:dyDescent="0.25">
      <c r="A736" t="s">
        <v>9</v>
      </c>
      <c r="B736" t="s">
        <v>119</v>
      </c>
    </row>
    <row r="737" spans="1:2" x14ac:dyDescent="0.25">
      <c r="A737" t="s">
        <v>9</v>
      </c>
      <c r="B737" t="s">
        <v>118</v>
      </c>
    </row>
    <row r="738" spans="1:2" x14ac:dyDescent="0.25">
      <c r="A738" t="s">
        <v>9</v>
      </c>
      <c r="B738" t="s">
        <v>118</v>
      </c>
    </row>
    <row r="739" spans="1:2" x14ac:dyDescent="0.25">
      <c r="A739" t="s">
        <v>9</v>
      </c>
      <c r="B739" t="s">
        <v>118</v>
      </c>
    </row>
    <row r="740" spans="1:2" x14ac:dyDescent="0.25">
      <c r="A740" t="s">
        <v>9</v>
      </c>
      <c r="B740" t="s">
        <v>118</v>
      </c>
    </row>
    <row r="741" spans="1:2" x14ac:dyDescent="0.25">
      <c r="A741" t="s">
        <v>9</v>
      </c>
      <c r="B741" t="s">
        <v>119</v>
      </c>
    </row>
    <row r="742" spans="1:2" x14ac:dyDescent="0.25">
      <c r="A742" t="s">
        <v>9</v>
      </c>
      <c r="B742" t="s">
        <v>118</v>
      </c>
    </row>
    <row r="743" spans="1:2" x14ac:dyDescent="0.25">
      <c r="A743" t="s">
        <v>9</v>
      </c>
      <c r="B743" t="s">
        <v>118</v>
      </c>
    </row>
    <row r="744" spans="1:2" x14ac:dyDescent="0.25">
      <c r="A744" t="s">
        <v>9</v>
      </c>
      <c r="B744" t="s">
        <v>119</v>
      </c>
    </row>
    <row r="745" spans="1:2" x14ac:dyDescent="0.25">
      <c r="A745" t="s">
        <v>9</v>
      </c>
      <c r="B745" t="s">
        <v>119</v>
      </c>
    </row>
    <row r="746" spans="1:2" x14ac:dyDescent="0.25">
      <c r="A746" t="s">
        <v>9</v>
      </c>
      <c r="B746" t="s">
        <v>118</v>
      </c>
    </row>
    <row r="747" spans="1:2" x14ac:dyDescent="0.25">
      <c r="A747" t="s">
        <v>9</v>
      </c>
      <c r="B747" t="s">
        <v>119</v>
      </c>
    </row>
    <row r="748" spans="1:2" x14ac:dyDescent="0.25">
      <c r="A748" t="s">
        <v>10</v>
      </c>
      <c r="B748" t="s">
        <v>20</v>
      </c>
    </row>
    <row r="749" spans="1:2" x14ac:dyDescent="0.25">
      <c r="A749" t="s">
        <v>9</v>
      </c>
      <c r="B749" t="s">
        <v>119</v>
      </c>
    </row>
    <row r="750" spans="1:2" x14ac:dyDescent="0.25">
      <c r="A750" t="s">
        <v>9</v>
      </c>
      <c r="B750" t="s">
        <v>119</v>
      </c>
    </row>
    <row r="751" spans="1:2" x14ac:dyDescent="0.25">
      <c r="A751" t="s">
        <v>9</v>
      </c>
      <c r="B751" t="s">
        <v>119</v>
      </c>
    </row>
    <row r="752" spans="1:2" x14ac:dyDescent="0.25">
      <c r="A752" t="s">
        <v>10</v>
      </c>
      <c r="B752" t="s">
        <v>118</v>
      </c>
    </row>
    <row r="753" spans="1:2" x14ac:dyDescent="0.25">
      <c r="A753" t="s">
        <v>10</v>
      </c>
      <c r="B753" t="s">
        <v>118</v>
      </c>
    </row>
    <row r="754" spans="1:2" x14ac:dyDescent="0.25">
      <c r="A754" t="s">
        <v>9</v>
      </c>
      <c r="B754" t="s">
        <v>119</v>
      </c>
    </row>
    <row r="755" spans="1:2" x14ac:dyDescent="0.25">
      <c r="A755" t="s">
        <v>10</v>
      </c>
      <c r="B755" t="s">
        <v>118</v>
      </c>
    </row>
    <row r="756" spans="1:2" x14ac:dyDescent="0.25">
      <c r="A756" t="s">
        <v>9</v>
      </c>
      <c r="B756" t="s">
        <v>119</v>
      </c>
    </row>
    <row r="757" spans="1:2" x14ac:dyDescent="0.25">
      <c r="A757" t="s">
        <v>9</v>
      </c>
      <c r="B757" t="s">
        <v>119</v>
      </c>
    </row>
    <row r="758" spans="1:2" x14ac:dyDescent="0.25">
      <c r="A758" t="s">
        <v>9</v>
      </c>
      <c r="B758" t="s">
        <v>119</v>
      </c>
    </row>
    <row r="759" spans="1:2" x14ac:dyDescent="0.25">
      <c r="A759" t="s">
        <v>9</v>
      </c>
      <c r="B759" t="s">
        <v>119</v>
      </c>
    </row>
    <row r="760" spans="1:2" x14ac:dyDescent="0.25">
      <c r="A760" t="s">
        <v>9</v>
      </c>
      <c r="B760" t="s">
        <v>119</v>
      </c>
    </row>
    <row r="761" spans="1:2" x14ac:dyDescent="0.25">
      <c r="A761" t="s">
        <v>10</v>
      </c>
      <c r="B761" t="s">
        <v>118</v>
      </c>
    </row>
    <row r="762" spans="1:2" x14ac:dyDescent="0.25">
      <c r="A762" t="s">
        <v>10</v>
      </c>
      <c r="B762" t="s">
        <v>119</v>
      </c>
    </row>
    <row r="763" spans="1:2" x14ac:dyDescent="0.25">
      <c r="A763" t="s">
        <v>9</v>
      </c>
      <c r="B763" t="s">
        <v>119</v>
      </c>
    </row>
    <row r="764" spans="1:2" x14ac:dyDescent="0.25">
      <c r="A764" t="s">
        <v>9</v>
      </c>
      <c r="B764" t="s">
        <v>118</v>
      </c>
    </row>
    <row r="765" spans="1:2" x14ac:dyDescent="0.25">
      <c r="A765" t="s">
        <v>9</v>
      </c>
      <c r="B765" t="s">
        <v>118</v>
      </c>
    </row>
    <row r="766" spans="1:2" x14ac:dyDescent="0.25">
      <c r="A766" t="s">
        <v>9</v>
      </c>
      <c r="B766" t="s">
        <v>20</v>
      </c>
    </row>
    <row r="767" spans="1:2" x14ac:dyDescent="0.25">
      <c r="A767" t="s">
        <v>9</v>
      </c>
      <c r="B767" t="s">
        <v>119</v>
      </c>
    </row>
    <row r="768" spans="1:2" x14ac:dyDescent="0.25">
      <c r="A768" t="s">
        <v>9</v>
      </c>
      <c r="B768" t="s">
        <v>119</v>
      </c>
    </row>
    <row r="769" spans="1:2" x14ac:dyDescent="0.25">
      <c r="A769" t="s">
        <v>9</v>
      </c>
      <c r="B769" t="s">
        <v>118</v>
      </c>
    </row>
    <row r="770" spans="1:2" x14ac:dyDescent="0.25">
      <c r="A770" t="s">
        <v>9</v>
      </c>
      <c r="B770" t="s">
        <v>119</v>
      </c>
    </row>
    <row r="771" spans="1:2" x14ac:dyDescent="0.25">
      <c r="A771" t="s">
        <v>9</v>
      </c>
      <c r="B771" t="s">
        <v>118</v>
      </c>
    </row>
    <row r="772" spans="1:2" x14ac:dyDescent="0.25">
      <c r="A772" t="s">
        <v>9</v>
      </c>
      <c r="B772" t="s">
        <v>118</v>
      </c>
    </row>
    <row r="773" spans="1:2" x14ac:dyDescent="0.25">
      <c r="A773" t="s">
        <v>9</v>
      </c>
      <c r="B773" t="s">
        <v>118</v>
      </c>
    </row>
    <row r="774" spans="1:2" x14ac:dyDescent="0.25">
      <c r="A774" t="s">
        <v>9</v>
      </c>
      <c r="B774" t="s">
        <v>119</v>
      </c>
    </row>
    <row r="775" spans="1:2" x14ac:dyDescent="0.25">
      <c r="A775" t="s">
        <v>10</v>
      </c>
      <c r="B775" t="s">
        <v>119</v>
      </c>
    </row>
    <row r="776" spans="1:2" x14ac:dyDescent="0.25">
      <c r="A776" t="s">
        <v>9</v>
      </c>
      <c r="B776" t="s">
        <v>119</v>
      </c>
    </row>
    <row r="777" spans="1:2" x14ac:dyDescent="0.25">
      <c r="A777" t="s">
        <v>9</v>
      </c>
      <c r="B777" t="s">
        <v>119</v>
      </c>
    </row>
    <row r="778" spans="1:2" x14ac:dyDescent="0.25">
      <c r="A778" t="s">
        <v>9</v>
      </c>
      <c r="B778" t="s">
        <v>20</v>
      </c>
    </row>
    <row r="779" spans="1:2" x14ac:dyDescent="0.25">
      <c r="A779" t="s">
        <v>9</v>
      </c>
      <c r="B779" t="s">
        <v>118</v>
      </c>
    </row>
    <row r="780" spans="1:2" x14ac:dyDescent="0.25">
      <c r="A780" t="s">
        <v>9</v>
      </c>
      <c r="B780" t="s">
        <v>119</v>
      </c>
    </row>
    <row r="781" spans="1:2" x14ac:dyDescent="0.25">
      <c r="A781" t="s">
        <v>10</v>
      </c>
      <c r="B781" t="s">
        <v>119</v>
      </c>
    </row>
    <row r="782" spans="1:2" x14ac:dyDescent="0.25">
      <c r="A782" t="s">
        <v>10</v>
      </c>
      <c r="B782" t="s">
        <v>118</v>
      </c>
    </row>
    <row r="783" spans="1:2" x14ac:dyDescent="0.25">
      <c r="A783" t="s">
        <v>9</v>
      </c>
      <c r="B783" t="s">
        <v>119</v>
      </c>
    </row>
    <row r="784" spans="1:2" x14ac:dyDescent="0.25">
      <c r="A784" t="s">
        <v>9</v>
      </c>
      <c r="B784" t="s">
        <v>20</v>
      </c>
    </row>
    <row r="785" spans="1:2" x14ac:dyDescent="0.25">
      <c r="A785" t="s">
        <v>9</v>
      </c>
      <c r="B785" t="s">
        <v>118</v>
      </c>
    </row>
    <row r="786" spans="1:2" x14ac:dyDescent="0.25">
      <c r="A786" t="s">
        <v>9</v>
      </c>
      <c r="B786" t="s">
        <v>118</v>
      </c>
    </row>
    <row r="787" spans="1:2" x14ac:dyDescent="0.25">
      <c r="A787" t="s">
        <v>9</v>
      </c>
      <c r="B787" t="s">
        <v>119</v>
      </c>
    </row>
    <row r="788" spans="1:2" x14ac:dyDescent="0.25">
      <c r="A788" t="s">
        <v>9</v>
      </c>
      <c r="B788" t="s">
        <v>119</v>
      </c>
    </row>
    <row r="789" spans="1:2" x14ac:dyDescent="0.25">
      <c r="A789" t="s">
        <v>10</v>
      </c>
      <c r="B789" t="s">
        <v>119</v>
      </c>
    </row>
    <row r="790" spans="1:2" x14ac:dyDescent="0.25">
      <c r="A790" t="s">
        <v>9</v>
      </c>
      <c r="B790" t="s">
        <v>119</v>
      </c>
    </row>
    <row r="791" spans="1:2" x14ac:dyDescent="0.25">
      <c r="A791" t="s">
        <v>9</v>
      </c>
      <c r="B791" t="s">
        <v>119</v>
      </c>
    </row>
    <row r="792" spans="1:2" x14ac:dyDescent="0.25">
      <c r="A792" t="s">
        <v>9</v>
      </c>
      <c r="B792" t="s">
        <v>119</v>
      </c>
    </row>
    <row r="793" spans="1:2" x14ac:dyDescent="0.25">
      <c r="A793" t="s">
        <v>9</v>
      </c>
      <c r="B793" t="s">
        <v>119</v>
      </c>
    </row>
    <row r="794" spans="1:2" x14ac:dyDescent="0.25">
      <c r="A794" t="s">
        <v>9</v>
      </c>
      <c r="B794" t="s">
        <v>119</v>
      </c>
    </row>
    <row r="795" spans="1:2" x14ac:dyDescent="0.25">
      <c r="A795" t="s">
        <v>9</v>
      </c>
      <c r="B795" t="s">
        <v>119</v>
      </c>
    </row>
    <row r="796" spans="1:2" x14ac:dyDescent="0.25">
      <c r="A796" t="s">
        <v>9</v>
      </c>
      <c r="B796" t="s">
        <v>119</v>
      </c>
    </row>
    <row r="797" spans="1:2" x14ac:dyDescent="0.25">
      <c r="A797" t="s">
        <v>10</v>
      </c>
      <c r="B797" t="s">
        <v>119</v>
      </c>
    </row>
    <row r="798" spans="1:2" x14ac:dyDescent="0.25">
      <c r="A798" t="s">
        <v>9</v>
      </c>
      <c r="B798" t="s">
        <v>119</v>
      </c>
    </row>
    <row r="799" spans="1:2" x14ac:dyDescent="0.25">
      <c r="A799" t="s">
        <v>10</v>
      </c>
      <c r="B799" t="s">
        <v>119</v>
      </c>
    </row>
    <row r="800" spans="1:2" x14ac:dyDescent="0.25">
      <c r="A800" t="s">
        <v>10</v>
      </c>
      <c r="B800" t="s">
        <v>119</v>
      </c>
    </row>
    <row r="801" spans="1:2" x14ac:dyDescent="0.25">
      <c r="A801" t="s">
        <v>9</v>
      </c>
      <c r="B801" t="s">
        <v>119</v>
      </c>
    </row>
    <row r="802" spans="1:2" x14ac:dyDescent="0.25">
      <c r="A802" t="s">
        <v>9</v>
      </c>
      <c r="B802" t="s">
        <v>118</v>
      </c>
    </row>
    <row r="803" spans="1:2" x14ac:dyDescent="0.25">
      <c r="A803" t="s">
        <v>9</v>
      </c>
      <c r="B803" t="s">
        <v>118</v>
      </c>
    </row>
    <row r="804" spans="1:2" x14ac:dyDescent="0.25">
      <c r="A804" t="s">
        <v>9</v>
      </c>
      <c r="B804" t="s">
        <v>119</v>
      </c>
    </row>
    <row r="805" spans="1:2" x14ac:dyDescent="0.25">
      <c r="A805" t="s">
        <v>10</v>
      </c>
      <c r="B805" t="s">
        <v>118</v>
      </c>
    </row>
    <row r="806" spans="1:2" x14ac:dyDescent="0.25">
      <c r="A806" t="s">
        <v>9</v>
      </c>
      <c r="B806" t="s">
        <v>119</v>
      </c>
    </row>
    <row r="807" spans="1:2" x14ac:dyDescent="0.25">
      <c r="A807" t="s">
        <v>9</v>
      </c>
      <c r="B807" t="s">
        <v>119</v>
      </c>
    </row>
    <row r="808" spans="1:2" x14ac:dyDescent="0.25">
      <c r="A808" t="s">
        <v>9</v>
      </c>
      <c r="B808" t="s">
        <v>118</v>
      </c>
    </row>
    <row r="809" spans="1:2" x14ac:dyDescent="0.25">
      <c r="A809" t="s">
        <v>9</v>
      </c>
      <c r="B809" t="s">
        <v>119</v>
      </c>
    </row>
    <row r="810" spans="1:2" x14ac:dyDescent="0.25">
      <c r="A810" t="s">
        <v>9</v>
      </c>
      <c r="B810" t="s">
        <v>119</v>
      </c>
    </row>
    <row r="811" spans="1:2" x14ac:dyDescent="0.25">
      <c r="A811" t="s">
        <v>9</v>
      </c>
      <c r="B811" t="s">
        <v>119</v>
      </c>
    </row>
    <row r="812" spans="1:2" x14ac:dyDescent="0.25">
      <c r="A812" t="s">
        <v>9</v>
      </c>
      <c r="B812" t="s">
        <v>119</v>
      </c>
    </row>
    <row r="813" spans="1:2" x14ac:dyDescent="0.25">
      <c r="A813" t="s">
        <v>9</v>
      </c>
      <c r="B813" t="s">
        <v>119</v>
      </c>
    </row>
    <row r="814" spans="1:2" x14ac:dyDescent="0.25">
      <c r="A814" t="s">
        <v>9</v>
      </c>
      <c r="B814" t="s">
        <v>118</v>
      </c>
    </row>
    <row r="815" spans="1:2" x14ac:dyDescent="0.25">
      <c r="A815" t="s">
        <v>9</v>
      </c>
      <c r="B815" t="s">
        <v>20</v>
      </c>
    </row>
    <row r="816" spans="1:2" x14ac:dyDescent="0.25">
      <c r="A816" t="s">
        <v>9</v>
      </c>
      <c r="B816" t="s">
        <v>118</v>
      </c>
    </row>
    <row r="817" spans="1:2" x14ac:dyDescent="0.25">
      <c r="A817" t="s">
        <v>9</v>
      </c>
      <c r="B817" t="s">
        <v>119</v>
      </c>
    </row>
    <row r="818" spans="1:2" x14ac:dyDescent="0.25">
      <c r="A818" t="s">
        <v>9</v>
      </c>
      <c r="B818" t="s">
        <v>119</v>
      </c>
    </row>
    <row r="819" spans="1:2" x14ac:dyDescent="0.25">
      <c r="A819" t="s">
        <v>9</v>
      </c>
      <c r="B819" t="s">
        <v>119</v>
      </c>
    </row>
    <row r="820" spans="1:2" x14ac:dyDescent="0.25">
      <c r="A820" t="s">
        <v>9</v>
      </c>
      <c r="B820" t="s">
        <v>119</v>
      </c>
    </row>
    <row r="821" spans="1:2" x14ac:dyDescent="0.25">
      <c r="A821" t="s">
        <v>10</v>
      </c>
      <c r="B821" t="s">
        <v>118</v>
      </c>
    </row>
    <row r="822" spans="1:2" x14ac:dyDescent="0.25">
      <c r="A822" t="s">
        <v>9</v>
      </c>
      <c r="B822" t="s">
        <v>119</v>
      </c>
    </row>
    <row r="823" spans="1:2" x14ac:dyDescent="0.25">
      <c r="A823" t="s">
        <v>9</v>
      </c>
      <c r="B823" t="s">
        <v>118</v>
      </c>
    </row>
    <row r="824" spans="1:2" x14ac:dyDescent="0.25">
      <c r="A824" t="s">
        <v>9</v>
      </c>
      <c r="B824" t="s">
        <v>118</v>
      </c>
    </row>
    <row r="825" spans="1:2" x14ac:dyDescent="0.25">
      <c r="A825" t="s">
        <v>10</v>
      </c>
      <c r="B825" t="s">
        <v>119</v>
      </c>
    </row>
    <row r="826" spans="1:2" x14ac:dyDescent="0.25">
      <c r="A826" t="s">
        <v>9</v>
      </c>
      <c r="B826" t="s">
        <v>119</v>
      </c>
    </row>
    <row r="827" spans="1:2" x14ac:dyDescent="0.25">
      <c r="A827" t="s">
        <v>9</v>
      </c>
      <c r="B827" t="s">
        <v>119</v>
      </c>
    </row>
    <row r="828" spans="1:2" x14ac:dyDescent="0.25">
      <c r="A828" t="s">
        <v>10</v>
      </c>
      <c r="B828" t="s">
        <v>118</v>
      </c>
    </row>
    <row r="829" spans="1:2" x14ac:dyDescent="0.25">
      <c r="A829" t="s">
        <v>9</v>
      </c>
      <c r="B829" t="s">
        <v>118</v>
      </c>
    </row>
    <row r="830" spans="1:2" x14ac:dyDescent="0.25">
      <c r="A830" t="s">
        <v>9</v>
      </c>
      <c r="B830" t="s">
        <v>119</v>
      </c>
    </row>
    <row r="831" spans="1:2" x14ac:dyDescent="0.25">
      <c r="A831" t="s">
        <v>9</v>
      </c>
      <c r="B831" t="s">
        <v>20</v>
      </c>
    </row>
    <row r="832" spans="1:2" x14ac:dyDescent="0.25">
      <c r="A832" t="s">
        <v>9</v>
      </c>
      <c r="B832" t="s">
        <v>119</v>
      </c>
    </row>
    <row r="833" spans="1:2" x14ac:dyDescent="0.25">
      <c r="A833" t="s">
        <v>10</v>
      </c>
      <c r="B833" t="s">
        <v>118</v>
      </c>
    </row>
    <row r="834" spans="1:2" x14ac:dyDescent="0.25">
      <c r="A834" t="s">
        <v>9</v>
      </c>
      <c r="B834" t="s">
        <v>119</v>
      </c>
    </row>
    <row r="835" spans="1:2" x14ac:dyDescent="0.25">
      <c r="A835" t="s">
        <v>9</v>
      </c>
      <c r="B835" t="s">
        <v>119</v>
      </c>
    </row>
    <row r="836" spans="1:2" x14ac:dyDescent="0.25">
      <c r="A836" t="s">
        <v>9</v>
      </c>
      <c r="B836" t="s">
        <v>119</v>
      </c>
    </row>
    <row r="837" spans="1:2" x14ac:dyDescent="0.25">
      <c r="A837" t="s">
        <v>9</v>
      </c>
      <c r="B837" t="s">
        <v>118</v>
      </c>
    </row>
    <row r="838" spans="1:2" x14ac:dyDescent="0.25">
      <c r="A838" t="s">
        <v>9</v>
      </c>
      <c r="B838" t="s">
        <v>119</v>
      </c>
    </row>
    <row r="839" spans="1:2" x14ac:dyDescent="0.25">
      <c r="A839" t="s">
        <v>9</v>
      </c>
      <c r="B839" t="s">
        <v>118</v>
      </c>
    </row>
    <row r="840" spans="1:2" x14ac:dyDescent="0.25">
      <c r="A840" t="s">
        <v>9</v>
      </c>
      <c r="B840" t="s">
        <v>119</v>
      </c>
    </row>
    <row r="841" spans="1:2" x14ac:dyDescent="0.25">
      <c r="A841" t="s">
        <v>9</v>
      </c>
      <c r="B841" t="s">
        <v>119</v>
      </c>
    </row>
    <row r="842" spans="1:2" x14ac:dyDescent="0.25">
      <c r="A842" t="s">
        <v>10</v>
      </c>
      <c r="B842" t="s">
        <v>119</v>
      </c>
    </row>
    <row r="843" spans="1:2" x14ac:dyDescent="0.25">
      <c r="A843" t="s">
        <v>9</v>
      </c>
      <c r="B843" t="s">
        <v>20</v>
      </c>
    </row>
    <row r="844" spans="1:2" x14ac:dyDescent="0.25">
      <c r="A844" t="s">
        <v>9</v>
      </c>
      <c r="B844" t="s">
        <v>119</v>
      </c>
    </row>
    <row r="845" spans="1:2" x14ac:dyDescent="0.25">
      <c r="A845" t="s">
        <v>9</v>
      </c>
      <c r="B845" t="s">
        <v>119</v>
      </c>
    </row>
    <row r="846" spans="1:2" x14ac:dyDescent="0.25">
      <c r="A846" t="s">
        <v>9</v>
      </c>
      <c r="B846" t="s">
        <v>118</v>
      </c>
    </row>
    <row r="847" spans="1:2" x14ac:dyDescent="0.25">
      <c r="A847" t="s">
        <v>9</v>
      </c>
      <c r="B847" t="s">
        <v>119</v>
      </c>
    </row>
    <row r="848" spans="1:2" x14ac:dyDescent="0.25">
      <c r="A848" t="s">
        <v>9</v>
      </c>
      <c r="B848" t="s">
        <v>119</v>
      </c>
    </row>
    <row r="849" spans="1:2" x14ac:dyDescent="0.25">
      <c r="A849" t="s">
        <v>9</v>
      </c>
      <c r="B849" t="s">
        <v>119</v>
      </c>
    </row>
    <row r="850" spans="1:2" x14ac:dyDescent="0.25">
      <c r="A850" t="s">
        <v>10</v>
      </c>
      <c r="B850" t="s">
        <v>118</v>
      </c>
    </row>
    <row r="851" spans="1:2" x14ac:dyDescent="0.25">
      <c r="A851" t="s">
        <v>9</v>
      </c>
      <c r="B851" t="s">
        <v>119</v>
      </c>
    </row>
    <row r="852" spans="1:2" x14ac:dyDescent="0.25">
      <c r="A852" t="s">
        <v>10</v>
      </c>
      <c r="B852" t="s">
        <v>118</v>
      </c>
    </row>
    <row r="853" spans="1:2" x14ac:dyDescent="0.25">
      <c r="A853" t="s">
        <v>9</v>
      </c>
      <c r="B853" t="s">
        <v>119</v>
      </c>
    </row>
    <row r="854" spans="1:2" x14ac:dyDescent="0.25">
      <c r="A854" t="s">
        <v>9</v>
      </c>
      <c r="B854" t="s">
        <v>119</v>
      </c>
    </row>
    <row r="855" spans="1:2" x14ac:dyDescent="0.25">
      <c r="A855" t="s">
        <v>9</v>
      </c>
      <c r="B855" t="s">
        <v>119</v>
      </c>
    </row>
    <row r="856" spans="1:2" x14ac:dyDescent="0.25">
      <c r="A856" t="s">
        <v>9</v>
      </c>
      <c r="B856" t="s">
        <v>119</v>
      </c>
    </row>
    <row r="857" spans="1:2" x14ac:dyDescent="0.25">
      <c r="A857" t="s">
        <v>9</v>
      </c>
      <c r="B857" t="s">
        <v>118</v>
      </c>
    </row>
    <row r="858" spans="1:2" x14ac:dyDescent="0.25">
      <c r="A858" t="s">
        <v>10</v>
      </c>
      <c r="B858" t="s">
        <v>119</v>
      </c>
    </row>
    <row r="859" spans="1:2" x14ac:dyDescent="0.25">
      <c r="A859" t="s">
        <v>9</v>
      </c>
      <c r="B859" t="s">
        <v>119</v>
      </c>
    </row>
    <row r="860" spans="1:2" x14ac:dyDescent="0.25">
      <c r="A860" t="s">
        <v>9</v>
      </c>
      <c r="B860" t="s">
        <v>119</v>
      </c>
    </row>
    <row r="861" spans="1:2" x14ac:dyDescent="0.25">
      <c r="A861" t="s">
        <v>10</v>
      </c>
      <c r="B861" t="s">
        <v>119</v>
      </c>
    </row>
    <row r="862" spans="1:2" x14ac:dyDescent="0.25">
      <c r="A862" t="s">
        <v>9</v>
      </c>
      <c r="B862" t="s">
        <v>119</v>
      </c>
    </row>
    <row r="863" spans="1:2" x14ac:dyDescent="0.25">
      <c r="A863" t="s">
        <v>9</v>
      </c>
      <c r="B863" t="s">
        <v>118</v>
      </c>
    </row>
    <row r="864" spans="1:2" x14ac:dyDescent="0.25">
      <c r="A864" t="s">
        <v>10</v>
      </c>
      <c r="B864" t="s">
        <v>118</v>
      </c>
    </row>
    <row r="865" spans="1:2" x14ac:dyDescent="0.25">
      <c r="A865" t="s">
        <v>9</v>
      </c>
      <c r="B865" t="s">
        <v>118</v>
      </c>
    </row>
    <row r="866" spans="1:2" x14ac:dyDescent="0.25">
      <c r="A866" t="s">
        <v>9</v>
      </c>
      <c r="B866" t="s">
        <v>119</v>
      </c>
    </row>
    <row r="867" spans="1:2" x14ac:dyDescent="0.25">
      <c r="A867" t="s">
        <v>9</v>
      </c>
      <c r="B867" t="s">
        <v>119</v>
      </c>
    </row>
    <row r="868" spans="1:2" x14ac:dyDescent="0.25">
      <c r="A868" t="s">
        <v>9</v>
      </c>
      <c r="B868" t="s">
        <v>118</v>
      </c>
    </row>
    <row r="869" spans="1:2" x14ac:dyDescent="0.25">
      <c r="A869" t="s">
        <v>9</v>
      </c>
      <c r="B869" t="s">
        <v>118</v>
      </c>
    </row>
    <row r="870" spans="1:2" x14ac:dyDescent="0.25">
      <c r="A870" t="s">
        <v>9</v>
      </c>
      <c r="B870" t="s">
        <v>119</v>
      </c>
    </row>
    <row r="871" spans="1:2" x14ac:dyDescent="0.25">
      <c r="A871" t="s">
        <v>9</v>
      </c>
      <c r="B871" t="s">
        <v>119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F4C8-B0DE-4744-AAC3-DB9B69D63539}">
  <dimension ref="A1:H871"/>
  <sheetViews>
    <sheetView workbookViewId="0">
      <selection activeCell="N13" sqref="N13"/>
    </sheetView>
  </sheetViews>
  <sheetFormatPr defaultRowHeight="15" x14ac:dyDescent="0.25"/>
  <cols>
    <col min="4" max="4" width="13.140625" bestFit="1" customWidth="1"/>
    <col min="5" max="5" width="21.140625" bestFit="1" customWidth="1"/>
    <col min="7" max="7" width="13.140625" bestFit="1" customWidth="1"/>
    <col min="8" max="8" width="21.140625" bestFit="1" customWidth="1"/>
  </cols>
  <sheetData>
    <row r="1" spans="1:8" x14ac:dyDescent="0.25">
      <c r="A1" t="s">
        <v>117</v>
      </c>
      <c r="B1" t="s">
        <v>112</v>
      </c>
      <c r="D1" s="12" t="s">
        <v>115</v>
      </c>
      <c r="E1" t="s">
        <v>122</v>
      </c>
    </row>
    <row r="2" spans="1:8" x14ac:dyDescent="0.25">
      <c r="A2" t="s">
        <v>9</v>
      </c>
      <c r="B2" t="s">
        <v>26</v>
      </c>
      <c r="D2" s="13" t="s">
        <v>26</v>
      </c>
      <c r="E2">
        <v>191</v>
      </c>
      <c r="G2" s="12" t="s">
        <v>115</v>
      </c>
      <c r="H2" t="s">
        <v>122</v>
      </c>
    </row>
    <row r="3" spans="1:8" x14ac:dyDescent="0.25">
      <c r="A3" t="s">
        <v>9</v>
      </c>
      <c r="B3" t="s">
        <v>27</v>
      </c>
      <c r="D3" s="14" t="s">
        <v>9</v>
      </c>
      <c r="E3">
        <v>179</v>
      </c>
      <c r="G3" s="13" t="s">
        <v>26</v>
      </c>
      <c r="H3">
        <v>191</v>
      </c>
    </row>
    <row r="4" spans="1:8" x14ac:dyDescent="0.25">
      <c r="A4" t="s">
        <v>9</v>
      </c>
      <c r="B4" t="s">
        <v>27</v>
      </c>
      <c r="D4" s="14" t="s">
        <v>10</v>
      </c>
      <c r="E4">
        <v>12</v>
      </c>
      <c r="G4" s="13" t="s">
        <v>28</v>
      </c>
      <c r="H4">
        <v>410</v>
      </c>
    </row>
    <row r="5" spans="1:8" x14ac:dyDescent="0.25">
      <c r="A5" t="s">
        <v>9</v>
      </c>
      <c r="B5" t="s">
        <v>28</v>
      </c>
      <c r="D5" s="13" t="s">
        <v>28</v>
      </c>
      <c r="E5">
        <v>410</v>
      </c>
      <c r="G5" s="13" t="s">
        <v>27</v>
      </c>
      <c r="H5">
        <v>269</v>
      </c>
    </row>
    <row r="6" spans="1:8" x14ac:dyDescent="0.25">
      <c r="A6" t="s">
        <v>9</v>
      </c>
      <c r="B6" t="s">
        <v>27</v>
      </c>
      <c r="D6" s="14" t="s">
        <v>9</v>
      </c>
      <c r="E6">
        <v>352</v>
      </c>
      <c r="G6" s="13" t="s">
        <v>116</v>
      </c>
      <c r="H6">
        <v>870</v>
      </c>
    </row>
    <row r="7" spans="1:8" x14ac:dyDescent="0.25">
      <c r="A7" t="s">
        <v>9</v>
      </c>
      <c r="B7" t="s">
        <v>26</v>
      </c>
      <c r="D7" s="14" t="s">
        <v>10</v>
      </c>
      <c r="E7">
        <v>58</v>
      </c>
    </row>
    <row r="8" spans="1:8" x14ac:dyDescent="0.25">
      <c r="A8" t="s">
        <v>9</v>
      </c>
      <c r="B8" t="s">
        <v>28</v>
      </c>
      <c r="D8" s="13" t="s">
        <v>27</v>
      </c>
      <c r="E8">
        <v>269</v>
      </c>
      <c r="G8" t="s">
        <v>26</v>
      </c>
      <c r="H8">
        <v>191</v>
      </c>
    </row>
    <row r="9" spans="1:8" x14ac:dyDescent="0.25">
      <c r="A9" t="s">
        <v>9</v>
      </c>
      <c r="B9" t="s">
        <v>26</v>
      </c>
      <c r="D9" s="14" t="s">
        <v>9</v>
      </c>
      <c r="E9">
        <v>199</v>
      </c>
      <c r="G9" t="s">
        <v>28</v>
      </c>
      <c r="H9">
        <v>410</v>
      </c>
    </row>
    <row r="10" spans="1:8" x14ac:dyDescent="0.25">
      <c r="A10" t="s">
        <v>9</v>
      </c>
      <c r="B10" t="s">
        <v>28</v>
      </c>
      <c r="D10" s="14" t="s">
        <v>10</v>
      </c>
      <c r="E10">
        <v>70</v>
      </c>
      <c r="G10" t="s">
        <v>27</v>
      </c>
      <c r="H10">
        <v>269</v>
      </c>
    </row>
    <row r="11" spans="1:8" x14ac:dyDescent="0.25">
      <c r="A11" t="s">
        <v>9</v>
      </c>
      <c r="B11" t="s">
        <v>28</v>
      </c>
      <c r="D11" s="13" t="s">
        <v>116</v>
      </c>
      <c r="E11">
        <v>870</v>
      </c>
    </row>
    <row r="12" spans="1:8" x14ac:dyDescent="0.25">
      <c r="A12" t="s">
        <v>9</v>
      </c>
      <c r="B12" t="s">
        <v>28</v>
      </c>
    </row>
    <row r="13" spans="1:8" x14ac:dyDescent="0.25">
      <c r="A13" t="s">
        <v>9</v>
      </c>
      <c r="B13" t="s">
        <v>26</v>
      </c>
    </row>
    <row r="14" spans="1:8" x14ac:dyDescent="0.25">
      <c r="A14" t="s">
        <v>9</v>
      </c>
      <c r="B14" t="s">
        <v>27</v>
      </c>
    </row>
    <row r="15" spans="1:8" x14ac:dyDescent="0.25">
      <c r="A15" t="s">
        <v>9</v>
      </c>
      <c r="B15" t="s">
        <v>28</v>
      </c>
    </row>
    <row r="16" spans="1:8" x14ac:dyDescent="0.25">
      <c r="A16" t="s">
        <v>9</v>
      </c>
      <c r="B16" t="s">
        <v>27</v>
      </c>
    </row>
    <row r="17" spans="1:2" x14ac:dyDescent="0.25">
      <c r="A17" t="s">
        <v>9</v>
      </c>
      <c r="B17" t="s">
        <v>28</v>
      </c>
    </row>
    <row r="18" spans="1:2" x14ac:dyDescent="0.25">
      <c r="A18" t="s">
        <v>9</v>
      </c>
      <c r="B18" t="s">
        <v>28</v>
      </c>
    </row>
    <row r="19" spans="1:2" x14ac:dyDescent="0.25">
      <c r="A19" t="s">
        <v>9</v>
      </c>
      <c r="B19" t="s">
        <v>28</v>
      </c>
    </row>
    <row r="20" spans="1:2" x14ac:dyDescent="0.25">
      <c r="A20" t="s">
        <v>9</v>
      </c>
      <c r="B20" t="s">
        <v>28</v>
      </c>
    </row>
    <row r="21" spans="1:2" x14ac:dyDescent="0.25">
      <c r="A21" t="s">
        <v>9</v>
      </c>
      <c r="B21" t="s">
        <v>28</v>
      </c>
    </row>
    <row r="22" spans="1:2" x14ac:dyDescent="0.25">
      <c r="A22" t="s">
        <v>9</v>
      </c>
      <c r="B22" t="s">
        <v>26</v>
      </c>
    </row>
    <row r="23" spans="1:2" x14ac:dyDescent="0.25">
      <c r="A23" t="s">
        <v>9</v>
      </c>
      <c r="B23" t="s">
        <v>28</v>
      </c>
    </row>
    <row r="24" spans="1:2" x14ac:dyDescent="0.25">
      <c r="A24" t="s">
        <v>9</v>
      </c>
      <c r="B24" t="s">
        <v>26</v>
      </c>
    </row>
    <row r="25" spans="1:2" x14ac:dyDescent="0.25">
      <c r="A25" t="s">
        <v>9</v>
      </c>
      <c r="B25" t="s">
        <v>27</v>
      </c>
    </row>
    <row r="26" spans="1:2" x14ac:dyDescent="0.25">
      <c r="A26" t="s">
        <v>9</v>
      </c>
      <c r="B26" t="s">
        <v>27</v>
      </c>
    </row>
    <row r="27" spans="1:2" x14ac:dyDescent="0.25">
      <c r="A27" t="s">
        <v>9</v>
      </c>
      <c r="B27" t="s">
        <v>28</v>
      </c>
    </row>
    <row r="28" spans="1:2" x14ac:dyDescent="0.25">
      <c r="A28" t="s">
        <v>9</v>
      </c>
      <c r="B28" t="s">
        <v>28</v>
      </c>
    </row>
    <row r="29" spans="1:2" x14ac:dyDescent="0.25">
      <c r="A29" t="s">
        <v>10</v>
      </c>
      <c r="B29" t="s">
        <v>27</v>
      </c>
    </row>
    <row r="30" spans="1:2" x14ac:dyDescent="0.25">
      <c r="A30" t="s">
        <v>10</v>
      </c>
      <c r="B30" t="s">
        <v>27</v>
      </c>
    </row>
    <row r="31" spans="1:2" x14ac:dyDescent="0.25">
      <c r="A31" t="s">
        <v>9</v>
      </c>
      <c r="B31" t="s">
        <v>28</v>
      </c>
    </row>
    <row r="32" spans="1:2" x14ac:dyDescent="0.25">
      <c r="A32" t="s">
        <v>9</v>
      </c>
      <c r="B32" t="s">
        <v>26</v>
      </c>
    </row>
    <row r="33" spans="1:2" x14ac:dyDescent="0.25">
      <c r="A33" t="s">
        <v>9</v>
      </c>
      <c r="B33" t="s">
        <v>28</v>
      </c>
    </row>
    <row r="34" spans="1:2" x14ac:dyDescent="0.25">
      <c r="A34" t="s">
        <v>9</v>
      </c>
      <c r="B34" t="s">
        <v>28</v>
      </c>
    </row>
    <row r="35" spans="1:2" x14ac:dyDescent="0.25">
      <c r="A35" t="s">
        <v>9</v>
      </c>
      <c r="B35" t="s">
        <v>28</v>
      </c>
    </row>
    <row r="36" spans="1:2" x14ac:dyDescent="0.25">
      <c r="A36" t="s">
        <v>9</v>
      </c>
      <c r="B36" t="s">
        <v>27</v>
      </c>
    </row>
    <row r="37" spans="1:2" x14ac:dyDescent="0.25">
      <c r="A37" t="s">
        <v>9</v>
      </c>
      <c r="B37" t="s">
        <v>28</v>
      </c>
    </row>
    <row r="38" spans="1:2" x14ac:dyDescent="0.25">
      <c r="A38" t="s">
        <v>10</v>
      </c>
      <c r="B38" t="s">
        <v>28</v>
      </c>
    </row>
    <row r="39" spans="1:2" x14ac:dyDescent="0.25">
      <c r="A39" t="s">
        <v>10</v>
      </c>
      <c r="B39" t="s">
        <v>26</v>
      </c>
    </row>
    <row r="40" spans="1:2" x14ac:dyDescent="0.25">
      <c r="A40" t="s">
        <v>9</v>
      </c>
      <c r="B40" t="s">
        <v>27</v>
      </c>
    </row>
    <row r="41" spans="1:2" x14ac:dyDescent="0.25">
      <c r="A41" t="s">
        <v>9</v>
      </c>
      <c r="B41" t="s">
        <v>28</v>
      </c>
    </row>
    <row r="42" spans="1:2" x14ac:dyDescent="0.25">
      <c r="A42" t="s">
        <v>9</v>
      </c>
      <c r="B42" t="s">
        <v>26</v>
      </c>
    </row>
    <row r="43" spans="1:2" x14ac:dyDescent="0.25">
      <c r="A43" t="s">
        <v>9</v>
      </c>
      <c r="B43" t="s">
        <v>27</v>
      </c>
    </row>
    <row r="44" spans="1:2" x14ac:dyDescent="0.25">
      <c r="A44" t="s">
        <v>9</v>
      </c>
      <c r="B44" t="s">
        <v>26</v>
      </c>
    </row>
    <row r="45" spans="1:2" x14ac:dyDescent="0.25">
      <c r="A45" t="s">
        <v>9</v>
      </c>
      <c r="B45" t="s">
        <v>27</v>
      </c>
    </row>
    <row r="46" spans="1:2" x14ac:dyDescent="0.25">
      <c r="A46" t="s">
        <v>9</v>
      </c>
      <c r="B46" t="s">
        <v>28</v>
      </c>
    </row>
    <row r="47" spans="1:2" x14ac:dyDescent="0.25">
      <c r="A47" t="s">
        <v>9</v>
      </c>
      <c r="B47" t="s">
        <v>27</v>
      </c>
    </row>
    <row r="48" spans="1:2" x14ac:dyDescent="0.25">
      <c r="A48" t="s">
        <v>10</v>
      </c>
      <c r="B48" t="s">
        <v>27</v>
      </c>
    </row>
    <row r="49" spans="1:2" x14ac:dyDescent="0.25">
      <c r="A49" t="s">
        <v>9</v>
      </c>
      <c r="B49" t="s">
        <v>26</v>
      </c>
    </row>
    <row r="50" spans="1:2" x14ac:dyDescent="0.25">
      <c r="A50" t="s">
        <v>10</v>
      </c>
      <c r="B50" t="s">
        <v>27</v>
      </c>
    </row>
    <row r="51" spans="1:2" x14ac:dyDescent="0.25">
      <c r="A51" t="s">
        <v>9</v>
      </c>
      <c r="B51" t="s">
        <v>26</v>
      </c>
    </row>
    <row r="52" spans="1:2" x14ac:dyDescent="0.25">
      <c r="A52" t="s">
        <v>9</v>
      </c>
      <c r="B52" t="s">
        <v>27</v>
      </c>
    </row>
    <row r="53" spans="1:2" x14ac:dyDescent="0.25">
      <c r="A53" t="s">
        <v>9</v>
      </c>
      <c r="B53" t="s">
        <v>28</v>
      </c>
    </row>
    <row r="54" spans="1:2" x14ac:dyDescent="0.25">
      <c r="A54" t="s">
        <v>9</v>
      </c>
      <c r="B54" t="s">
        <v>28</v>
      </c>
    </row>
    <row r="55" spans="1:2" x14ac:dyDescent="0.25">
      <c r="A55" t="s">
        <v>9</v>
      </c>
      <c r="B55" t="s">
        <v>28</v>
      </c>
    </row>
    <row r="56" spans="1:2" x14ac:dyDescent="0.25">
      <c r="A56" t="s">
        <v>9</v>
      </c>
      <c r="B56" t="s">
        <v>27</v>
      </c>
    </row>
    <row r="57" spans="1:2" x14ac:dyDescent="0.25">
      <c r="A57" t="s">
        <v>9</v>
      </c>
      <c r="B57" t="s">
        <v>26</v>
      </c>
    </row>
    <row r="58" spans="1:2" x14ac:dyDescent="0.25">
      <c r="A58" t="s">
        <v>10</v>
      </c>
      <c r="B58" t="s">
        <v>26</v>
      </c>
    </row>
    <row r="59" spans="1:2" x14ac:dyDescent="0.25">
      <c r="A59" t="s">
        <v>9</v>
      </c>
      <c r="B59" t="s">
        <v>27</v>
      </c>
    </row>
    <row r="60" spans="1:2" x14ac:dyDescent="0.25">
      <c r="A60" t="s">
        <v>9</v>
      </c>
      <c r="B60" t="s">
        <v>26</v>
      </c>
    </row>
    <row r="61" spans="1:2" x14ac:dyDescent="0.25">
      <c r="A61" t="s">
        <v>10</v>
      </c>
      <c r="B61" t="s">
        <v>27</v>
      </c>
    </row>
    <row r="62" spans="1:2" x14ac:dyDescent="0.25">
      <c r="A62" t="s">
        <v>10</v>
      </c>
      <c r="B62" t="s">
        <v>28</v>
      </c>
    </row>
    <row r="63" spans="1:2" x14ac:dyDescent="0.25">
      <c r="A63" t="s">
        <v>9</v>
      </c>
      <c r="B63" t="s">
        <v>28</v>
      </c>
    </row>
    <row r="64" spans="1:2" x14ac:dyDescent="0.25">
      <c r="A64" t="s">
        <v>9</v>
      </c>
      <c r="B64" t="s">
        <v>28</v>
      </c>
    </row>
    <row r="65" spans="1:2" x14ac:dyDescent="0.25">
      <c r="A65" t="s">
        <v>9</v>
      </c>
      <c r="B65" t="s">
        <v>27</v>
      </c>
    </row>
    <row r="66" spans="1:2" x14ac:dyDescent="0.25">
      <c r="A66" t="s">
        <v>10</v>
      </c>
      <c r="B66" t="s">
        <v>28</v>
      </c>
    </row>
    <row r="67" spans="1:2" x14ac:dyDescent="0.25">
      <c r="A67" t="s">
        <v>9</v>
      </c>
      <c r="B67" t="s">
        <v>26</v>
      </c>
    </row>
    <row r="68" spans="1:2" x14ac:dyDescent="0.25">
      <c r="A68" t="s">
        <v>9</v>
      </c>
      <c r="B68" t="s">
        <v>27</v>
      </c>
    </row>
    <row r="69" spans="1:2" x14ac:dyDescent="0.25">
      <c r="A69" t="s">
        <v>9</v>
      </c>
      <c r="B69" t="s">
        <v>27</v>
      </c>
    </row>
    <row r="70" spans="1:2" x14ac:dyDescent="0.25">
      <c r="A70" t="s">
        <v>9</v>
      </c>
      <c r="B70" t="s">
        <v>28</v>
      </c>
    </row>
    <row r="71" spans="1:2" x14ac:dyDescent="0.25">
      <c r="A71" t="s">
        <v>9</v>
      </c>
      <c r="B71" t="s">
        <v>27</v>
      </c>
    </row>
    <row r="72" spans="1:2" x14ac:dyDescent="0.25">
      <c r="A72" t="s">
        <v>9</v>
      </c>
      <c r="B72" t="s">
        <v>28</v>
      </c>
    </row>
    <row r="73" spans="1:2" x14ac:dyDescent="0.25">
      <c r="A73" t="s">
        <v>9</v>
      </c>
      <c r="B73" t="s">
        <v>27</v>
      </c>
    </row>
    <row r="74" spans="1:2" x14ac:dyDescent="0.25">
      <c r="A74" t="s">
        <v>10</v>
      </c>
      <c r="B74" t="s">
        <v>28</v>
      </c>
    </row>
    <row r="75" spans="1:2" x14ac:dyDescent="0.25">
      <c r="A75" t="s">
        <v>9</v>
      </c>
      <c r="B75" t="s">
        <v>28</v>
      </c>
    </row>
    <row r="76" spans="1:2" x14ac:dyDescent="0.25">
      <c r="A76" t="s">
        <v>10</v>
      </c>
      <c r="B76" t="s">
        <v>27</v>
      </c>
    </row>
    <row r="77" spans="1:2" x14ac:dyDescent="0.25">
      <c r="A77" t="s">
        <v>9</v>
      </c>
      <c r="B77" t="s">
        <v>27</v>
      </c>
    </row>
    <row r="78" spans="1:2" x14ac:dyDescent="0.25">
      <c r="A78" t="s">
        <v>9</v>
      </c>
      <c r="B78" t="s">
        <v>28</v>
      </c>
    </row>
    <row r="79" spans="1:2" x14ac:dyDescent="0.25">
      <c r="A79" t="s">
        <v>9</v>
      </c>
      <c r="B79" t="s">
        <v>27</v>
      </c>
    </row>
    <row r="80" spans="1:2" x14ac:dyDescent="0.25">
      <c r="A80" t="s">
        <v>9</v>
      </c>
      <c r="B80" t="s">
        <v>27</v>
      </c>
    </row>
    <row r="81" spans="1:2" x14ac:dyDescent="0.25">
      <c r="A81" t="s">
        <v>9</v>
      </c>
      <c r="B81" t="s">
        <v>26</v>
      </c>
    </row>
    <row r="82" spans="1:2" x14ac:dyDescent="0.25">
      <c r="A82" t="s">
        <v>10</v>
      </c>
      <c r="B82" t="s">
        <v>28</v>
      </c>
    </row>
    <row r="83" spans="1:2" x14ac:dyDescent="0.25">
      <c r="A83" t="s">
        <v>9</v>
      </c>
      <c r="B83" t="s">
        <v>28</v>
      </c>
    </row>
    <row r="84" spans="1:2" x14ac:dyDescent="0.25">
      <c r="A84" t="s">
        <v>9</v>
      </c>
      <c r="B84" t="s">
        <v>28</v>
      </c>
    </row>
    <row r="85" spans="1:2" x14ac:dyDescent="0.25">
      <c r="A85" t="s">
        <v>9</v>
      </c>
      <c r="B85" t="s">
        <v>26</v>
      </c>
    </row>
    <row r="86" spans="1:2" x14ac:dyDescent="0.25">
      <c r="A86" t="s">
        <v>9</v>
      </c>
      <c r="B86" t="s">
        <v>27</v>
      </c>
    </row>
    <row r="87" spans="1:2" x14ac:dyDescent="0.25">
      <c r="A87" t="s">
        <v>9</v>
      </c>
      <c r="B87" t="s">
        <v>27</v>
      </c>
    </row>
    <row r="88" spans="1:2" x14ac:dyDescent="0.25">
      <c r="A88" t="s">
        <v>9</v>
      </c>
      <c r="B88" t="s">
        <v>27</v>
      </c>
    </row>
    <row r="89" spans="1:2" x14ac:dyDescent="0.25">
      <c r="A89" t="s">
        <v>10</v>
      </c>
      <c r="B89" t="s">
        <v>26</v>
      </c>
    </row>
    <row r="90" spans="1:2" x14ac:dyDescent="0.25">
      <c r="A90" t="s">
        <v>9</v>
      </c>
      <c r="B90" t="s">
        <v>27</v>
      </c>
    </row>
    <row r="91" spans="1:2" x14ac:dyDescent="0.25">
      <c r="A91" t="s">
        <v>9</v>
      </c>
      <c r="B91" t="s">
        <v>27</v>
      </c>
    </row>
    <row r="92" spans="1:2" x14ac:dyDescent="0.25">
      <c r="A92" t="s">
        <v>9</v>
      </c>
      <c r="B92" t="s">
        <v>28</v>
      </c>
    </row>
    <row r="93" spans="1:2" x14ac:dyDescent="0.25">
      <c r="A93" t="s">
        <v>10</v>
      </c>
      <c r="B93" t="s">
        <v>28</v>
      </c>
    </row>
    <row r="94" spans="1:2" x14ac:dyDescent="0.25">
      <c r="A94" t="s">
        <v>10</v>
      </c>
      <c r="B94" t="s">
        <v>27</v>
      </c>
    </row>
    <row r="95" spans="1:2" x14ac:dyDescent="0.25">
      <c r="A95" t="s">
        <v>9</v>
      </c>
      <c r="B95" t="s">
        <v>27</v>
      </c>
    </row>
    <row r="96" spans="1:2" x14ac:dyDescent="0.25">
      <c r="A96" t="s">
        <v>9</v>
      </c>
      <c r="B96" t="s">
        <v>27</v>
      </c>
    </row>
    <row r="97" spans="1:2" x14ac:dyDescent="0.25">
      <c r="A97" t="s">
        <v>9</v>
      </c>
      <c r="B97" t="s">
        <v>28</v>
      </c>
    </row>
    <row r="98" spans="1:2" x14ac:dyDescent="0.25">
      <c r="A98" t="s">
        <v>9</v>
      </c>
      <c r="B98" t="s">
        <v>28</v>
      </c>
    </row>
    <row r="99" spans="1:2" x14ac:dyDescent="0.25">
      <c r="A99" t="s">
        <v>9</v>
      </c>
      <c r="B99" t="s">
        <v>26</v>
      </c>
    </row>
    <row r="100" spans="1:2" x14ac:dyDescent="0.25">
      <c r="A100" t="s">
        <v>9</v>
      </c>
      <c r="B100" t="s">
        <v>28</v>
      </c>
    </row>
    <row r="101" spans="1:2" x14ac:dyDescent="0.25">
      <c r="A101" t="s">
        <v>9</v>
      </c>
      <c r="B101" t="s">
        <v>28</v>
      </c>
    </row>
    <row r="102" spans="1:2" x14ac:dyDescent="0.25">
      <c r="A102" t="s">
        <v>9</v>
      </c>
      <c r="B102" t="s">
        <v>28</v>
      </c>
    </row>
    <row r="103" spans="1:2" x14ac:dyDescent="0.25">
      <c r="A103" t="s">
        <v>9</v>
      </c>
      <c r="B103" t="s">
        <v>26</v>
      </c>
    </row>
    <row r="104" spans="1:2" x14ac:dyDescent="0.25">
      <c r="A104" t="s">
        <v>9</v>
      </c>
      <c r="B104" t="s">
        <v>28</v>
      </c>
    </row>
    <row r="105" spans="1:2" x14ac:dyDescent="0.25">
      <c r="A105" t="s">
        <v>9</v>
      </c>
      <c r="B105" t="s">
        <v>28</v>
      </c>
    </row>
    <row r="106" spans="1:2" x14ac:dyDescent="0.25">
      <c r="A106" t="s">
        <v>9</v>
      </c>
      <c r="B106" t="s">
        <v>27</v>
      </c>
    </row>
    <row r="107" spans="1:2" x14ac:dyDescent="0.25">
      <c r="A107" t="s">
        <v>9</v>
      </c>
      <c r="B107" t="s">
        <v>28</v>
      </c>
    </row>
    <row r="108" spans="1:2" x14ac:dyDescent="0.25">
      <c r="A108" t="s">
        <v>9</v>
      </c>
      <c r="B108" t="s">
        <v>28</v>
      </c>
    </row>
    <row r="109" spans="1:2" x14ac:dyDescent="0.25">
      <c r="A109" t="s">
        <v>9</v>
      </c>
      <c r="B109" t="s">
        <v>28</v>
      </c>
    </row>
    <row r="110" spans="1:2" x14ac:dyDescent="0.25">
      <c r="A110" t="s">
        <v>10</v>
      </c>
      <c r="B110" t="s">
        <v>28</v>
      </c>
    </row>
    <row r="111" spans="1:2" x14ac:dyDescent="0.25">
      <c r="A111" t="s">
        <v>9</v>
      </c>
      <c r="B111" t="s">
        <v>27</v>
      </c>
    </row>
    <row r="112" spans="1:2" x14ac:dyDescent="0.25">
      <c r="A112" t="s">
        <v>9</v>
      </c>
      <c r="B112" t="s">
        <v>26</v>
      </c>
    </row>
    <row r="113" spans="1:2" x14ac:dyDescent="0.25">
      <c r="A113" t="s">
        <v>9</v>
      </c>
      <c r="B113" t="s">
        <v>28</v>
      </c>
    </row>
    <row r="114" spans="1:2" x14ac:dyDescent="0.25">
      <c r="A114" t="s">
        <v>9</v>
      </c>
      <c r="B114" t="s">
        <v>27</v>
      </c>
    </row>
    <row r="115" spans="1:2" x14ac:dyDescent="0.25">
      <c r="A115" t="s">
        <v>9</v>
      </c>
      <c r="B115" t="s">
        <v>26</v>
      </c>
    </row>
    <row r="116" spans="1:2" x14ac:dyDescent="0.25">
      <c r="A116" t="s">
        <v>9</v>
      </c>
      <c r="B116" t="s">
        <v>28</v>
      </c>
    </row>
    <row r="117" spans="1:2" x14ac:dyDescent="0.25">
      <c r="A117" t="s">
        <v>9</v>
      </c>
      <c r="B117" t="s">
        <v>27</v>
      </c>
    </row>
    <row r="118" spans="1:2" x14ac:dyDescent="0.25">
      <c r="A118" t="s">
        <v>9</v>
      </c>
      <c r="B118" t="s">
        <v>27</v>
      </c>
    </row>
    <row r="119" spans="1:2" x14ac:dyDescent="0.25">
      <c r="A119" t="s">
        <v>9</v>
      </c>
      <c r="B119" t="s">
        <v>28</v>
      </c>
    </row>
    <row r="120" spans="1:2" x14ac:dyDescent="0.25">
      <c r="A120" t="s">
        <v>9</v>
      </c>
      <c r="B120" t="s">
        <v>26</v>
      </c>
    </row>
    <row r="121" spans="1:2" x14ac:dyDescent="0.25">
      <c r="A121" t="s">
        <v>9</v>
      </c>
      <c r="B121" t="s">
        <v>27</v>
      </c>
    </row>
    <row r="122" spans="1:2" x14ac:dyDescent="0.25">
      <c r="A122" t="s">
        <v>9</v>
      </c>
      <c r="B122" t="s">
        <v>28</v>
      </c>
    </row>
    <row r="123" spans="1:2" x14ac:dyDescent="0.25">
      <c r="A123" t="s">
        <v>9</v>
      </c>
      <c r="B123" t="s">
        <v>27</v>
      </c>
    </row>
    <row r="124" spans="1:2" x14ac:dyDescent="0.25">
      <c r="A124" t="s">
        <v>9</v>
      </c>
      <c r="B124" t="s">
        <v>26</v>
      </c>
    </row>
    <row r="125" spans="1:2" x14ac:dyDescent="0.25">
      <c r="A125" t="s">
        <v>9</v>
      </c>
      <c r="B125" t="s">
        <v>27</v>
      </c>
    </row>
    <row r="126" spans="1:2" x14ac:dyDescent="0.25">
      <c r="A126" t="s">
        <v>9</v>
      </c>
      <c r="B126" t="s">
        <v>27</v>
      </c>
    </row>
    <row r="127" spans="1:2" x14ac:dyDescent="0.25">
      <c r="A127" t="s">
        <v>9</v>
      </c>
      <c r="B127" t="s">
        <v>28</v>
      </c>
    </row>
    <row r="128" spans="1:2" x14ac:dyDescent="0.25">
      <c r="A128" t="s">
        <v>10</v>
      </c>
      <c r="B128" t="s">
        <v>27</v>
      </c>
    </row>
    <row r="129" spans="1:2" x14ac:dyDescent="0.25">
      <c r="A129" t="s">
        <v>9</v>
      </c>
      <c r="B129" t="s">
        <v>28</v>
      </c>
    </row>
    <row r="130" spans="1:2" x14ac:dyDescent="0.25">
      <c r="A130" t="s">
        <v>9</v>
      </c>
      <c r="B130" t="s">
        <v>27</v>
      </c>
    </row>
    <row r="131" spans="1:2" x14ac:dyDescent="0.25">
      <c r="A131" t="s">
        <v>9</v>
      </c>
      <c r="B131" t="s">
        <v>26</v>
      </c>
    </row>
    <row r="132" spans="1:2" x14ac:dyDescent="0.25">
      <c r="A132" t="s">
        <v>9</v>
      </c>
      <c r="B132" t="s">
        <v>26</v>
      </c>
    </row>
    <row r="133" spans="1:2" x14ac:dyDescent="0.25">
      <c r="A133" t="s">
        <v>9</v>
      </c>
      <c r="B133" t="s">
        <v>27</v>
      </c>
    </row>
    <row r="134" spans="1:2" x14ac:dyDescent="0.25">
      <c r="A134" t="s">
        <v>9</v>
      </c>
      <c r="B134" t="s">
        <v>28</v>
      </c>
    </row>
    <row r="135" spans="1:2" x14ac:dyDescent="0.25">
      <c r="A135" t="s">
        <v>9</v>
      </c>
      <c r="B135" t="s">
        <v>28</v>
      </c>
    </row>
    <row r="136" spans="1:2" x14ac:dyDescent="0.25">
      <c r="A136" t="s">
        <v>9</v>
      </c>
      <c r="B136" t="s">
        <v>26</v>
      </c>
    </row>
    <row r="137" spans="1:2" x14ac:dyDescent="0.25">
      <c r="A137" t="s">
        <v>9</v>
      </c>
      <c r="B137" t="s">
        <v>28</v>
      </c>
    </row>
    <row r="138" spans="1:2" x14ac:dyDescent="0.25">
      <c r="A138" t="s">
        <v>10</v>
      </c>
      <c r="B138" t="s">
        <v>28</v>
      </c>
    </row>
    <row r="139" spans="1:2" x14ac:dyDescent="0.25">
      <c r="A139" t="s">
        <v>9</v>
      </c>
      <c r="B139" t="s">
        <v>28</v>
      </c>
    </row>
    <row r="140" spans="1:2" x14ac:dyDescent="0.25">
      <c r="A140" t="s">
        <v>10</v>
      </c>
      <c r="B140" t="s">
        <v>28</v>
      </c>
    </row>
    <row r="141" spans="1:2" x14ac:dyDescent="0.25">
      <c r="A141" t="s">
        <v>9</v>
      </c>
      <c r="B141" t="s">
        <v>27</v>
      </c>
    </row>
    <row r="142" spans="1:2" x14ac:dyDescent="0.25">
      <c r="A142" t="s">
        <v>9</v>
      </c>
      <c r="B142" t="s">
        <v>28</v>
      </c>
    </row>
    <row r="143" spans="1:2" x14ac:dyDescent="0.25">
      <c r="A143" t="s">
        <v>9</v>
      </c>
      <c r="B143" t="s">
        <v>26</v>
      </c>
    </row>
    <row r="144" spans="1:2" x14ac:dyDescent="0.25">
      <c r="A144" t="s">
        <v>9</v>
      </c>
      <c r="B144" t="s">
        <v>26</v>
      </c>
    </row>
    <row r="145" spans="1:2" x14ac:dyDescent="0.25">
      <c r="A145" t="s">
        <v>9</v>
      </c>
      <c r="B145" t="s">
        <v>28</v>
      </c>
    </row>
    <row r="146" spans="1:2" x14ac:dyDescent="0.25">
      <c r="A146" t="s">
        <v>9</v>
      </c>
      <c r="B146" t="s">
        <v>26</v>
      </c>
    </row>
    <row r="147" spans="1:2" x14ac:dyDescent="0.25">
      <c r="A147" t="s">
        <v>9</v>
      </c>
      <c r="B147" t="s">
        <v>28</v>
      </c>
    </row>
    <row r="148" spans="1:2" x14ac:dyDescent="0.25">
      <c r="A148" t="s">
        <v>9</v>
      </c>
      <c r="B148" t="s">
        <v>28</v>
      </c>
    </row>
    <row r="149" spans="1:2" x14ac:dyDescent="0.25">
      <c r="A149" t="s">
        <v>9</v>
      </c>
      <c r="B149" t="s">
        <v>28</v>
      </c>
    </row>
    <row r="150" spans="1:2" x14ac:dyDescent="0.25">
      <c r="A150" t="s">
        <v>9</v>
      </c>
      <c r="B150" t="s">
        <v>27</v>
      </c>
    </row>
    <row r="151" spans="1:2" x14ac:dyDescent="0.25">
      <c r="A151" t="s">
        <v>9</v>
      </c>
      <c r="B151" t="s">
        <v>26</v>
      </c>
    </row>
    <row r="152" spans="1:2" x14ac:dyDescent="0.25">
      <c r="A152" t="s">
        <v>10</v>
      </c>
      <c r="B152" t="s">
        <v>26</v>
      </c>
    </row>
    <row r="153" spans="1:2" x14ac:dyDescent="0.25">
      <c r="A153" t="s">
        <v>9</v>
      </c>
      <c r="B153" t="s">
        <v>27</v>
      </c>
    </row>
    <row r="154" spans="1:2" x14ac:dyDescent="0.25">
      <c r="A154" t="s">
        <v>9</v>
      </c>
      <c r="B154" t="s">
        <v>28</v>
      </c>
    </row>
    <row r="155" spans="1:2" x14ac:dyDescent="0.25">
      <c r="A155" t="s">
        <v>9</v>
      </c>
      <c r="B155" t="s">
        <v>27</v>
      </c>
    </row>
    <row r="156" spans="1:2" x14ac:dyDescent="0.25">
      <c r="A156" t="s">
        <v>9</v>
      </c>
      <c r="B156" t="s">
        <v>26</v>
      </c>
    </row>
    <row r="157" spans="1:2" x14ac:dyDescent="0.25">
      <c r="A157" t="s">
        <v>9</v>
      </c>
      <c r="B157" t="s">
        <v>28</v>
      </c>
    </row>
    <row r="158" spans="1:2" x14ac:dyDescent="0.25">
      <c r="A158" t="s">
        <v>9</v>
      </c>
      <c r="B158" t="s">
        <v>28</v>
      </c>
    </row>
    <row r="159" spans="1:2" x14ac:dyDescent="0.25">
      <c r="A159" t="s">
        <v>10</v>
      </c>
      <c r="B159" t="s">
        <v>26</v>
      </c>
    </row>
    <row r="160" spans="1:2" x14ac:dyDescent="0.25">
      <c r="A160" t="s">
        <v>9</v>
      </c>
      <c r="B160" t="s">
        <v>28</v>
      </c>
    </row>
    <row r="161" spans="1:2" x14ac:dyDescent="0.25">
      <c r="A161" t="s">
        <v>9</v>
      </c>
      <c r="B161" t="s">
        <v>28</v>
      </c>
    </row>
    <row r="162" spans="1:2" x14ac:dyDescent="0.25">
      <c r="A162" t="s">
        <v>9</v>
      </c>
      <c r="B162" t="s">
        <v>28</v>
      </c>
    </row>
    <row r="163" spans="1:2" x14ac:dyDescent="0.25">
      <c r="A163" t="s">
        <v>10</v>
      </c>
      <c r="B163" t="s">
        <v>27</v>
      </c>
    </row>
    <row r="164" spans="1:2" x14ac:dyDescent="0.25">
      <c r="A164" t="s">
        <v>9</v>
      </c>
      <c r="B164" t="s">
        <v>26</v>
      </c>
    </row>
    <row r="165" spans="1:2" x14ac:dyDescent="0.25">
      <c r="A165" t="s">
        <v>9</v>
      </c>
      <c r="B165" t="s">
        <v>27</v>
      </c>
    </row>
    <row r="166" spans="1:2" x14ac:dyDescent="0.25">
      <c r="A166" t="s">
        <v>9</v>
      </c>
      <c r="B166" t="s">
        <v>28</v>
      </c>
    </row>
    <row r="167" spans="1:2" x14ac:dyDescent="0.25">
      <c r="A167" t="s">
        <v>10</v>
      </c>
      <c r="B167" t="s">
        <v>27</v>
      </c>
    </row>
    <row r="168" spans="1:2" x14ac:dyDescent="0.25">
      <c r="A168" t="s">
        <v>9</v>
      </c>
      <c r="B168" t="s">
        <v>28</v>
      </c>
    </row>
    <row r="169" spans="1:2" x14ac:dyDescent="0.25">
      <c r="A169" t="s">
        <v>9</v>
      </c>
      <c r="B169" t="s">
        <v>26</v>
      </c>
    </row>
    <row r="170" spans="1:2" x14ac:dyDescent="0.25">
      <c r="A170" t="s">
        <v>9</v>
      </c>
      <c r="B170" t="s">
        <v>26</v>
      </c>
    </row>
    <row r="171" spans="1:2" x14ac:dyDescent="0.25">
      <c r="A171" t="s">
        <v>9</v>
      </c>
      <c r="B171" t="s">
        <v>26</v>
      </c>
    </row>
    <row r="172" spans="1:2" x14ac:dyDescent="0.25">
      <c r="A172" t="s">
        <v>9</v>
      </c>
      <c r="B172" t="s">
        <v>26</v>
      </c>
    </row>
    <row r="173" spans="1:2" x14ac:dyDescent="0.25">
      <c r="A173" t="s">
        <v>9</v>
      </c>
      <c r="B173" t="s">
        <v>28</v>
      </c>
    </row>
    <row r="174" spans="1:2" x14ac:dyDescent="0.25">
      <c r="A174" t="s">
        <v>9</v>
      </c>
      <c r="B174" t="s">
        <v>28</v>
      </c>
    </row>
    <row r="175" spans="1:2" x14ac:dyDescent="0.25">
      <c r="A175" t="s">
        <v>9</v>
      </c>
      <c r="B175" t="s">
        <v>26</v>
      </c>
    </row>
    <row r="176" spans="1:2" x14ac:dyDescent="0.25">
      <c r="A176" t="s">
        <v>9</v>
      </c>
      <c r="B176" t="s">
        <v>26</v>
      </c>
    </row>
    <row r="177" spans="1:2" x14ac:dyDescent="0.25">
      <c r="A177" t="s">
        <v>9</v>
      </c>
      <c r="B177" t="s">
        <v>27</v>
      </c>
    </row>
    <row r="178" spans="1:2" x14ac:dyDescent="0.25">
      <c r="A178" t="s">
        <v>10</v>
      </c>
      <c r="B178" t="s">
        <v>28</v>
      </c>
    </row>
    <row r="179" spans="1:2" x14ac:dyDescent="0.25">
      <c r="A179" t="s">
        <v>10</v>
      </c>
      <c r="B179" t="s">
        <v>28</v>
      </c>
    </row>
    <row r="180" spans="1:2" x14ac:dyDescent="0.25">
      <c r="A180" t="s">
        <v>9</v>
      </c>
      <c r="B180" t="s">
        <v>27</v>
      </c>
    </row>
    <row r="181" spans="1:2" x14ac:dyDescent="0.25">
      <c r="A181" t="s">
        <v>9</v>
      </c>
      <c r="B181" t="s">
        <v>27</v>
      </c>
    </row>
    <row r="182" spans="1:2" x14ac:dyDescent="0.25">
      <c r="A182" t="s">
        <v>9</v>
      </c>
      <c r="B182" t="s">
        <v>26</v>
      </c>
    </row>
    <row r="183" spans="1:2" x14ac:dyDescent="0.25">
      <c r="A183" t="s">
        <v>9</v>
      </c>
      <c r="B183" t="s">
        <v>26</v>
      </c>
    </row>
    <row r="184" spans="1:2" x14ac:dyDescent="0.25">
      <c r="A184" t="s">
        <v>9</v>
      </c>
      <c r="B184" t="s">
        <v>27</v>
      </c>
    </row>
    <row r="185" spans="1:2" x14ac:dyDescent="0.25">
      <c r="A185" t="s">
        <v>9</v>
      </c>
      <c r="B185" t="s">
        <v>27</v>
      </c>
    </row>
    <row r="186" spans="1:2" x14ac:dyDescent="0.25">
      <c r="A186" t="s">
        <v>9</v>
      </c>
      <c r="B186" t="s">
        <v>28</v>
      </c>
    </row>
    <row r="187" spans="1:2" x14ac:dyDescent="0.25">
      <c r="A187" t="s">
        <v>9</v>
      </c>
      <c r="B187" t="s">
        <v>28</v>
      </c>
    </row>
    <row r="188" spans="1:2" x14ac:dyDescent="0.25">
      <c r="A188" t="s">
        <v>9</v>
      </c>
      <c r="B188" t="s">
        <v>26</v>
      </c>
    </row>
    <row r="189" spans="1:2" x14ac:dyDescent="0.25">
      <c r="A189" t="s">
        <v>9</v>
      </c>
      <c r="B189" t="s">
        <v>26</v>
      </c>
    </row>
    <row r="190" spans="1:2" x14ac:dyDescent="0.25">
      <c r="A190" t="s">
        <v>9</v>
      </c>
      <c r="B190" t="s">
        <v>26</v>
      </c>
    </row>
    <row r="191" spans="1:2" x14ac:dyDescent="0.25">
      <c r="A191" t="s">
        <v>9</v>
      </c>
      <c r="B191" t="s">
        <v>28</v>
      </c>
    </row>
    <row r="192" spans="1:2" x14ac:dyDescent="0.25">
      <c r="A192" t="s">
        <v>9</v>
      </c>
      <c r="B192" t="s">
        <v>28</v>
      </c>
    </row>
    <row r="193" spans="1:2" x14ac:dyDescent="0.25">
      <c r="A193" t="s">
        <v>9</v>
      </c>
      <c r="B193" t="s">
        <v>28</v>
      </c>
    </row>
    <row r="194" spans="1:2" x14ac:dyDescent="0.25">
      <c r="A194" t="s">
        <v>9</v>
      </c>
      <c r="B194" t="s">
        <v>26</v>
      </c>
    </row>
    <row r="195" spans="1:2" x14ac:dyDescent="0.25">
      <c r="A195" t="s">
        <v>9</v>
      </c>
      <c r="B195" t="s">
        <v>28</v>
      </c>
    </row>
    <row r="196" spans="1:2" x14ac:dyDescent="0.25">
      <c r="A196" t="s">
        <v>9</v>
      </c>
      <c r="B196" t="s">
        <v>27</v>
      </c>
    </row>
    <row r="197" spans="1:2" x14ac:dyDescent="0.25">
      <c r="A197" t="s">
        <v>9</v>
      </c>
      <c r="B197" t="s">
        <v>28</v>
      </c>
    </row>
    <row r="198" spans="1:2" x14ac:dyDescent="0.25">
      <c r="A198" t="s">
        <v>9</v>
      </c>
      <c r="B198" t="s">
        <v>28</v>
      </c>
    </row>
    <row r="199" spans="1:2" x14ac:dyDescent="0.25">
      <c r="A199" t="s">
        <v>9</v>
      </c>
      <c r="B199" t="s">
        <v>28</v>
      </c>
    </row>
    <row r="200" spans="1:2" x14ac:dyDescent="0.25">
      <c r="A200" t="s">
        <v>9</v>
      </c>
      <c r="B200" t="s">
        <v>28</v>
      </c>
    </row>
    <row r="201" spans="1:2" x14ac:dyDescent="0.25">
      <c r="A201" t="s">
        <v>9</v>
      </c>
      <c r="B201" t="s">
        <v>28</v>
      </c>
    </row>
    <row r="202" spans="1:2" x14ac:dyDescent="0.25">
      <c r="A202" t="s">
        <v>10</v>
      </c>
      <c r="B202" t="s">
        <v>27</v>
      </c>
    </row>
    <row r="203" spans="1:2" x14ac:dyDescent="0.25">
      <c r="A203" t="s">
        <v>9</v>
      </c>
      <c r="B203" t="s">
        <v>28</v>
      </c>
    </row>
    <row r="204" spans="1:2" x14ac:dyDescent="0.25">
      <c r="A204" t="s">
        <v>9</v>
      </c>
      <c r="B204" t="s">
        <v>28</v>
      </c>
    </row>
    <row r="205" spans="1:2" x14ac:dyDescent="0.25">
      <c r="A205" t="s">
        <v>10</v>
      </c>
      <c r="B205" t="s">
        <v>27</v>
      </c>
    </row>
    <row r="206" spans="1:2" x14ac:dyDescent="0.25">
      <c r="A206" t="s">
        <v>9</v>
      </c>
      <c r="B206" t="s">
        <v>28</v>
      </c>
    </row>
    <row r="207" spans="1:2" x14ac:dyDescent="0.25">
      <c r="A207" t="s">
        <v>9</v>
      </c>
      <c r="B207" t="s">
        <v>28</v>
      </c>
    </row>
    <row r="208" spans="1:2" x14ac:dyDescent="0.25">
      <c r="A208" t="s">
        <v>10</v>
      </c>
      <c r="B208" t="s">
        <v>27</v>
      </c>
    </row>
    <row r="209" spans="1:2" x14ac:dyDescent="0.25">
      <c r="A209" t="s">
        <v>10</v>
      </c>
      <c r="B209" t="s">
        <v>28</v>
      </c>
    </row>
    <row r="210" spans="1:2" x14ac:dyDescent="0.25">
      <c r="A210" t="s">
        <v>9</v>
      </c>
      <c r="B210" t="s">
        <v>26</v>
      </c>
    </row>
    <row r="211" spans="1:2" x14ac:dyDescent="0.25">
      <c r="A211" t="s">
        <v>9</v>
      </c>
      <c r="B211" t="s">
        <v>26</v>
      </c>
    </row>
    <row r="212" spans="1:2" x14ac:dyDescent="0.25">
      <c r="A212" t="s">
        <v>9</v>
      </c>
      <c r="B212" t="s">
        <v>28</v>
      </c>
    </row>
    <row r="213" spans="1:2" x14ac:dyDescent="0.25">
      <c r="A213" t="s">
        <v>9</v>
      </c>
      <c r="B213" t="s">
        <v>28</v>
      </c>
    </row>
    <row r="214" spans="1:2" x14ac:dyDescent="0.25">
      <c r="A214" t="s">
        <v>9</v>
      </c>
      <c r="B214" t="s">
        <v>27</v>
      </c>
    </row>
    <row r="215" spans="1:2" x14ac:dyDescent="0.25">
      <c r="A215" t="s">
        <v>9</v>
      </c>
      <c r="B215" t="s">
        <v>28</v>
      </c>
    </row>
    <row r="216" spans="1:2" x14ac:dyDescent="0.25">
      <c r="A216" t="s">
        <v>9</v>
      </c>
      <c r="B216" t="s">
        <v>27</v>
      </c>
    </row>
    <row r="217" spans="1:2" x14ac:dyDescent="0.25">
      <c r="A217" t="s">
        <v>9</v>
      </c>
      <c r="B217" t="s">
        <v>26</v>
      </c>
    </row>
    <row r="218" spans="1:2" x14ac:dyDescent="0.25">
      <c r="A218" t="s">
        <v>9</v>
      </c>
      <c r="B218" t="s">
        <v>28</v>
      </c>
    </row>
    <row r="219" spans="1:2" x14ac:dyDescent="0.25">
      <c r="A219" t="s">
        <v>9</v>
      </c>
      <c r="B219" t="s">
        <v>26</v>
      </c>
    </row>
    <row r="220" spans="1:2" x14ac:dyDescent="0.25">
      <c r="A220" t="s">
        <v>9</v>
      </c>
      <c r="B220" t="s">
        <v>27</v>
      </c>
    </row>
    <row r="221" spans="1:2" x14ac:dyDescent="0.25">
      <c r="A221" t="s">
        <v>9</v>
      </c>
      <c r="B221" t="s">
        <v>27</v>
      </c>
    </row>
    <row r="222" spans="1:2" x14ac:dyDescent="0.25">
      <c r="A222" t="s">
        <v>9</v>
      </c>
      <c r="B222" t="s">
        <v>27</v>
      </c>
    </row>
    <row r="223" spans="1:2" x14ac:dyDescent="0.25">
      <c r="A223" t="s">
        <v>10</v>
      </c>
      <c r="B223" t="s">
        <v>28</v>
      </c>
    </row>
    <row r="224" spans="1:2" x14ac:dyDescent="0.25">
      <c r="A224" t="s">
        <v>9</v>
      </c>
      <c r="B224" t="s">
        <v>26</v>
      </c>
    </row>
    <row r="225" spans="1:2" x14ac:dyDescent="0.25">
      <c r="A225" t="s">
        <v>9</v>
      </c>
      <c r="B225" t="s">
        <v>26</v>
      </c>
    </row>
    <row r="226" spans="1:2" x14ac:dyDescent="0.25">
      <c r="A226" t="s">
        <v>9</v>
      </c>
      <c r="B226" t="s">
        <v>26</v>
      </c>
    </row>
    <row r="227" spans="1:2" x14ac:dyDescent="0.25">
      <c r="A227" t="s">
        <v>9</v>
      </c>
      <c r="B227" t="s">
        <v>28</v>
      </c>
    </row>
    <row r="228" spans="1:2" x14ac:dyDescent="0.25">
      <c r="A228" t="s">
        <v>9</v>
      </c>
      <c r="B228" t="s">
        <v>26</v>
      </c>
    </row>
    <row r="229" spans="1:2" x14ac:dyDescent="0.25">
      <c r="A229" t="s">
        <v>9</v>
      </c>
      <c r="B229" t="s">
        <v>26</v>
      </c>
    </row>
    <row r="230" spans="1:2" x14ac:dyDescent="0.25">
      <c r="A230" t="s">
        <v>9</v>
      </c>
      <c r="B230" t="s">
        <v>28</v>
      </c>
    </row>
    <row r="231" spans="1:2" x14ac:dyDescent="0.25">
      <c r="A231" t="s">
        <v>9</v>
      </c>
      <c r="B231" t="s">
        <v>28</v>
      </c>
    </row>
    <row r="232" spans="1:2" x14ac:dyDescent="0.25">
      <c r="A232" t="s">
        <v>9</v>
      </c>
      <c r="B232" t="s">
        <v>26</v>
      </c>
    </row>
    <row r="233" spans="1:2" x14ac:dyDescent="0.25">
      <c r="A233" t="s">
        <v>9</v>
      </c>
      <c r="B233" t="s">
        <v>28</v>
      </c>
    </row>
    <row r="234" spans="1:2" x14ac:dyDescent="0.25">
      <c r="A234" t="s">
        <v>10</v>
      </c>
      <c r="B234" t="s">
        <v>28</v>
      </c>
    </row>
    <row r="235" spans="1:2" x14ac:dyDescent="0.25">
      <c r="A235" t="s">
        <v>9</v>
      </c>
      <c r="B235" t="s">
        <v>28</v>
      </c>
    </row>
    <row r="236" spans="1:2" x14ac:dyDescent="0.25">
      <c r="A236" t="s">
        <v>9</v>
      </c>
      <c r="B236" t="s">
        <v>28</v>
      </c>
    </row>
    <row r="237" spans="1:2" x14ac:dyDescent="0.25">
      <c r="A237" t="s">
        <v>10</v>
      </c>
      <c r="B237" t="s">
        <v>28</v>
      </c>
    </row>
    <row r="238" spans="1:2" x14ac:dyDescent="0.25">
      <c r="A238" t="s">
        <v>9</v>
      </c>
      <c r="B238" t="s">
        <v>28</v>
      </c>
    </row>
    <row r="239" spans="1:2" x14ac:dyDescent="0.25">
      <c r="A239" t="s">
        <v>9</v>
      </c>
      <c r="B239" t="s">
        <v>28</v>
      </c>
    </row>
    <row r="240" spans="1:2" x14ac:dyDescent="0.25">
      <c r="A240" t="s">
        <v>9</v>
      </c>
      <c r="B240" t="s">
        <v>28</v>
      </c>
    </row>
    <row r="241" spans="1:2" x14ac:dyDescent="0.25">
      <c r="A241" t="s">
        <v>9</v>
      </c>
      <c r="B241" t="s">
        <v>26</v>
      </c>
    </row>
    <row r="242" spans="1:2" x14ac:dyDescent="0.25">
      <c r="A242" t="s">
        <v>9</v>
      </c>
      <c r="B242" t="s">
        <v>28</v>
      </c>
    </row>
    <row r="243" spans="1:2" x14ac:dyDescent="0.25">
      <c r="A243" t="s">
        <v>9</v>
      </c>
      <c r="B243" t="s">
        <v>27</v>
      </c>
    </row>
    <row r="244" spans="1:2" x14ac:dyDescent="0.25">
      <c r="A244" t="s">
        <v>9</v>
      </c>
      <c r="B244" t="s">
        <v>28</v>
      </c>
    </row>
    <row r="245" spans="1:2" x14ac:dyDescent="0.25">
      <c r="A245" t="s">
        <v>10</v>
      </c>
      <c r="B245" t="s">
        <v>28</v>
      </c>
    </row>
    <row r="246" spans="1:2" x14ac:dyDescent="0.25">
      <c r="A246" t="s">
        <v>9</v>
      </c>
      <c r="B246" t="s">
        <v>28</v>
      </c>
    </row>
    <row r="247" spans="1:2" x14ac:dyDescent="0.25">
      <c r="A247" t="s">
        <v>9</v>
      </c>
      <c r="B247" t="s">
        <v>26</v>
      </c>
    </row>
    <row r="248" spans="1:2" x14ac:dyDescent="0.25">
      <c r="A248" t="s">
        <v>9</v>
      </c>
      <c r="B248" t="s">
        <v>27</v>
      </c>
    </row>
    <row r="249" spans="1:2" x14ac:dyDescent="0.25">
      <c r="A249" t="s">
        <v>9</v>
      </c>
      <c r="B249" t="s">
        <v>28</v>
      </c>
    </row>
    <row r="250" spans="1:2" x14ac:dyDescent="0.25">
      <c r="A250" t="s">
        <v>9</v>
      </c>
      <c r="B250" t="s">
        <v>26</v>
      </c>
    </row>
    <row r="251" spans="1:2" x14ac:dyDescent="0.25">
      <c r="A251" t="s">
        <v>9</v>
      </c>
      <c r="B251" t="s">
        <v>28</v>
      </c>
    </row>
    <row r="252" spans="1:2" x14ac:dyDescent="0.25">
      <c r="A252" t="s">
        <v>9</v>
      </c>
      <c r="B252" t="s">
        <v>26</v>
      </c>
    </row>
    <row r="253" spans="1:2" x14ac:dyDescent="0.25">
      <c r="A253" t="s">
        <v>9</v>
      </c>
      <c r="B253" t="s">
        <v>26</v>
      </c>
    </row>
    <row r="254" spans="1:2" x14ac:dyDescent="0.25">
      <c r="A254" t="s">
        <v>9</v>
      </c>
      <c r="B254" t="s">
        <v>27</v>
      </c>
    </row>
    <row r="255" spans="1:2" x14ac:dyDescent="0.25">
      <c r="A255" t="s">
        <v>10</v>
      </c>
      <c r="B255" t="s">
        <v>28</v>
      </c>
    </row>
    <row r="256" spans="1:2" x14ac:dyDescent="0.25">
      <c r="A256" t="s">
        <v>9</v>
      </c>
      <c r="B256" t="s">
        <v>26</v>
      </c>
    </row>
    <row r="257" spans="1:2" x14ac:dyDescent="0.25">
      <c r="A257" t="s">
        <v>9</v>
      </c>
      <c r="B257" t="s">
        <v>27</v>
      </c>
    </row>
    <row r="258" spans="1:2" x14ac:dyDescent="0.25">
      <c r="A258" t="s">
        <v>9</v>
      </c>
      <c r="B258" t="s">
        <v>26</v>
      </c>
    </row>
    <row r="259" spans="1:2" x14ac:dyDescent="0.25">
      <c r="A259" t="s">
        <v>9</v>
      </c>
      <c r="B259" t="s">
        <v>26</v>
      </c>
    </row>
    <row r="260" spans="1:2" x14ac:dyDescent="0.25">
      <c r="A260" t="s">
        <v>9</v>
      </c>
      <c r="B260" t="s">
        <v>28</v>
      </c>
    </row>
    <row r="261" spans="1:2" x14ac:dyDescent="0.25">
      <c r="A261" t="s">
        <v>9</v>
      </c>
      <c r="B261" t="s">
        <v>26</v>
      </c>
    </row>
    <row r="262" spans="1:2" x14ac:dyDescent="0.25">
      <c r="A262" t="s">
        <v>10</v>
      </c>
      <c r="B262" t="s">
        <v>27</v>
      </c>
    </row>
    <row r="263" spans="1:2" x14ac:dyDescent="0.25">
      <c r="A263" t="s">
        <v>10</v>
      </c>
      <c r="B263" t="s">
        <v>27</v>
      </c>
    </row>
    <row r="264" spans="1:2" x14ac:dyDescent="0.25">
      <c r="A264" t="s">
        <v>10</v>
      </c>
      <c r="B264" t="s">
        <v>28</v>
      </c>
    </row>
    <row r="265" spans="1:2" x14ac:dyDescent="0.25">
      <c r="A265" t="s">
        <v>9</v>
      </c>
      <c r="B265" t="s">
        <v>28</v>
      </c>
    </row>
    <row r="266" spans="1:2" x14ac:dyDescent="0.25">
      <c r="A266" t="s">
        <v>9</v>
      </c>
      <c r="B266" t="s">
        <v>28</v>
      </c>
    </row>
    <row r="267" spans="1:2" x14ac:dyDescent="0.25">
      <c r="A267" t="s">
        <v>9</v>
      </c>
      <c r="B267" t="s">
        <v>28</v>
      </c>
    </row>
    <row r="268" spans="1:2" x14ac:dyDescent="0.25">
      <c r="A268" t="s">
        <v>9</v>
      </c>
      <c r="B268" t="s">
        <v>26</v>
      </c>
    </row>
    <row r="269" spans="1:2" x14ac:dyDescent="0.25">
      <c r="A269" t="s">
        <v>10</v>
      </c>
      <c r="B269" t="s">
        <v>27</v>
      </c>
    </row>
    <row r="270" spans="1:2" x14ac:dyDescent="0.25">
      <c r="A270" t="s">
        <v>9</v>
      </c>
      <c r="B270" t="s">
        <v>26</v>
      </c>
    </row>
    <row r="271" spans="1:2" x14ac:dyDescent="0.25">
      <c r="A271" t="s">
        <v>9</v>
      </c>
      <c r="B271" t="s">
        <v>28</v>
      </c>
    </row>
    <row r="272" spans="1:2" x14ac:dyDescent="0.25">
      <c r="A272" t="s">
        <v>9</v>
      </c>
      <c r="B272" t="s">
        <v>28</v>
      </c>
    </row>
    <row r="273" spans="1:2" x14ac:dyDescent="0.25">
      <c r="A273" t="s">
        <v>9</v>
      </c>
      <c r="B273" t="s">
        <v>26</v>
      </c>
    </row>
    <row r="274" spans="1:2" x14ac:dyDescent="0.25">
      <c r="A274" t="s">
        <v>9</v>
      </c>
      <c r="B274" t="s">
        <v>28</v>
      </c>
    </row>
    <row r="275" spans="1:2" x14ac:dyDescent="0.25">
      <c r="A275" t="s">
        <v>9</v>
      </c>
      <c r="B275" t="s">
        <v>28</v>
      </c>
    </row>
    <row r="276" spans="1:2" x14ac:dyDescent="0.25">
      <c r="A276" t="s">
        <v>9</v>
      </c>
      <c r="B276" t="s">
        <v>27</v>
      </c>
    </row>
    <row r="277" spans="1:2" x14ac:dyDescent="0.25">
      <c r="A277" t="s">
        <v>9</v>
      </c>
      <c r="B277" t="s">
        <v>26</v>
      </c>
    </row>
    <row r="278" spans="1:2" x14ac:dyDescent="0.25">
      <c r="A278" t="s">
        <v>9</v>
      </c>
      <c r="B278" t="s">
        <v>28</v>
      </c>
    </row>
    <row r="279" spans="1:2" x14ac:dyDescent="0.25">
      <c r="A279" t="s">
        <v>9</v>
      </c>
      <c r="B279" t="s">
        <v>27</v>
      </c>
    </row>
    <row r="280" spans="1:2" x14ac:dyDescent="0.25">
      <c r="A280" t="s">
        <v>10</v>
      </c>
      <c r="B280" t="s">
        <v>27</v>
      </c>
    </row>
    <row r="281" spans="1:2" x14ac:dyDescent="0.25">
      <c r="A281" t="s">
        <v>9</v>
      </c>
      <c r="B281" t="s">
        <v>28</v>
      </c>
    </row>
    <row r="282" spans="1:2" x14ac:dyDescent="0.25">
      <c r="A282" t="s">
        <v>9</v>
      </c>
      <c r="B282" t="s">
        <v>28</v>
      </c>
    </row>
    <row r="283" spans="1:2" x14ac:dyDescent="0.25">
      <c r="A283" t="s">
        <v>9</v>
      </c>
      <c r="B283" t="s">
        <v>27</v>
      </c>
    </row>
    <row r="284" spans="1:2" x14ac:dyDescent="0.25">
      <c r="A284" t="s">
        <v>9</v>
      </c>
      <c r="B284" t="s">
        <v>26</v>
      </c>
    </row>
    <row r="285" spans="1:2" x14ac:dyDescent="0.25">
      <c r="A285" t="s">
        <v>9</v>
      </c>
      <c r="B285" t="s">
        <v>26</v>
      </c>
    </row>
    <row r="286" spans="1:2" x14ac:dyDescent="0.25">
      <c r="A286" t="s">
        <v>9</v>
      </c>
      <c r="B286" t="s">
        <v>28</v>
      </c>
    </row>
    <row r="287" spans="1:2" x14ac:dyDescent="0.25">
      <c r="A287" t="s">
        <v>9</v>
      </c>
      <c r="B287" t="s">
        <v>28</v>
      </c>
    </row>
    <row r="288" spans="1:2" x14ac:dyDescent="0.25">
      <c r="A288" t="s">
        <v>10</v>
      </c>
      <c r="B288" t="s">
        <v>27</v>
      </c>
    </row>
    <row r="289" spans="1:2" x14ac:dyDescent="0.25">
      <c r="A289" t="s">
        <v>9</v>
      </c>
      <c r="B289" t="s">
        <v>26</v>
      </c>
    </row>
    <row r="290" spans="1:2" x14ac:dyDescent="0.25">
      <c r="A290" t="s">
        <v>9</v>
      </c>
      <c r="B290" t="s">
        <v>28</v>
      </c>
    </row>
    <row r="291" spans="1:2" x14ac:dyDescent="0.25">
      <c r="A291" t="s">
        <v>9</v>
      </c>
      <c r="B291" t="s">
        <v>28</v>
      </c>
    </row>
    <row r="292" spans="1:2" x14ac:dyDescent="0.25">
      <c r="A292" t="s">
        <v>9</v>
      </c>
      <c r="B292" t="s">
        <v>26</v>
      </c>
    </row>
    <row r="293" spans="1:2" x14ac:dyDescent="0.25">
      <c r="A293" t="s">
        <v>9</v>
      </c>
      <c r="B293" t="s">
        <v>28</v>
      </c>
    </row>
    <row r="294" spans="1:2" x14ac:dyDescent="0.25">
      <c r="A294" t="s">
        <v>9</v>
      </c>
      <c r="B294" t="s">
        <v>27</v>
      </c>
    </row>
    <row r="295" spans="1:2" x14ac:dyDescent="0.25">
      <c r="A295" t="s">
        <v>9</v>
      </c>
      <c r="B295" t="s">
        <v>28</v>
      </c>
    </row>
    <row r="296" spans="1:2" x14ac:dyDescent="0.25">
      <c r="A296" t="s">
        <v>9</v>
      </c>
      <c r="B296" t="s">
        <v>27</v>
      </c>
    </row>
    <row r="297" spans="1:2" x14ac:dyDescent="0.25">
      <c r="A297" t="s">
        <v>9</v>
      </c>
      <c r="B297" t="s">
        <v>28</v>
      </c>
    </row>
    <row r="298" spans="1:2" x14ac:dyDescent="0.25">
      <c r="A298" t="s">
        <v>9</v>
      </c>
      <c r="B298" t="s">
        <v>28</v>
      </c>
    </row>
    <row r="299" spans="1:2" x14ac:dyDescent="0.25">
      <c r="A299" t="s">
        <v>10</v>
      </c>
      <c r="B299" t="s">
        <v>27</v>
      </c>
    </row>
    <row r="300" spans="1:2" x14ac:dyDescent="0.25">
      <c r="A300" t="s">
        <v>10</v>
      </c>
      <c r="B300" t="s">
        <v>27</v>
      </c>
    </row>
    <row r="301" spans="1:2" x14ac:dyDescent="0.25">
      <c r="A301" t="s">
        <v>10</v>
      </c>
      <c r="B301" t="s">
        <v>28</v>
      </c>
    </row>
    <row r="302" spans="1:2" x14ac:dyDescent="0.25">
      <c r="A302" t="s">
        <v>9</v>
      </c>
      <c r="B302" t="s">
        <v>28</v>
      </c>
    </row>
    <row r="303" spans="1:2" x14ac:dyDescent="0.25">
      <c r="A303" t="s">
        <v>9</v>
      </c>
      <c r="B303" t="s">
        <v>28</v>
      </c>
    </row>
    <row r="304" spans="1:2" x14ac:dyDescent="0.25">
      <c r="A304" t="s">
        <v>9</v>
      </c>
      <c r="B304" t="s">
        <v>26</v>
      </c>
    </row>
    <row r="305" spans="1:2" x14ac:dyDescent="0.25">
      <c r="A305" t="s">
        <v>9</v>
      </c>
      <c r="B305" t="s">
        <v>27</v>
      </c>
    </row>
    <row r="306" spans="1:2" x14ac:dyDescent="0.25">
      <c r="A306" t="s">
        <v>10</v>
      </c>
      <c r="B306" t="s">
        <v>27</v>
      </c>
    </row>
    <row r="307" spans="1:2" x14ac:dyDescent="0.25">
      <c r="A307" t="s">
        <v>9</v>
      </c>
      <c r="B307" t="s">
        <v>28</v>
      </c>
    </row>
    <row r="308" spans="1:2" x14ac:dyDescent="0.25">
      <c r="A308" t="s">
        <v>9</v>
      </c>
      <c r="B308" t="s">
        <v>28</v>
      </c>
    </row>
    <row r="309" spans="1:2" x14ac:dyDescent="0.25">
      <c r="A309" t="s">
        <v>9</v>
      </c>
      <c r="B309" t="s">
        <v>28</v>
      </c>
    </row>
    <row r="310" spans="1:2" x14ac:dyDescent="0.25">
      <c r="A310" t="s">
        <v>9</v>
      </c>
      <c r="B310" t="s">
        <v>28</v>
      </c>
    </row>
    <row r="311" spans="1:2" x14ac:dyDescent="0.25">
      <c r="A311" t="s">
        <v>9</v>
      </c>
      <c r="B311" t="s">
        <v>28</v>
      </c>
    </row>
    <row r="312" spans="1:2" x14ac:dyDescent="0.25">
      <c r="A312" t="s">
        <v>9</v>
      </c>
      <c r="B312" t="s">
        <v>28</v>
      </c>
    </row>
    <row r="313" spans="1:2" x14ac:dyDescent="0.25">
      <c r="A313" t="s">
        <v>9</v>
      </c>
      <c r="B313" t="s">
        <v>27</v>
      </c>
    </row>
    <row r="314" spans="1:2" x14ac:dyDescent="0.25">
      <c r="A314" t="s">
        <v>10</v>
      </c>
      <c r="B314" t="s">
        <v>27</v>
      </c>
    </row>
    <row r="315" spans="1:2" x14ac:dyDescent="0.25">
      <c r="A315" t="s">
        <v>9</v>
      </c>
      <c r="B315" t="s">
        <v>28</v>
      </c>
    </row>
    <row r="316" spans="1:2" x14ac:dyDescent="0.25">
      <c r="A316" t="s">
        <v>9</v>
      </c>
      <c r="B316" t="s">
        <v>27</v>
      </c>
    </row>
    <row r="317" spans="1:2" x14ac:dyDescent="0.25">
      <c r="A317" t="s">
        <v>9</v>
      </c>
      <c r="B317" t="s">
        <v>27</v>
      </c>
    </row>
    <row r="318" spans="1:2" x14ac:dyDescent="0.25">
      <c r="A318" t="s">
        <v>9</v>
      </c>
      <c r="B318" t="s">
        <v>28</v>
      </c>
    </row>
    <row r="319" spans="1:2" x14ac:dyDescent="0.25">
      <c r="A319" t="s">
        <v>9</v>
      </c>
      <c r="B319" t="s">
        <v>27</v>
      </c>
    </row>
    <row r="320" spans="1:2" x14ac:dyDescent="0.25">
      <c r="A320" t="s">
        <v>9</v>
      </c>
      <c r="B320" t="s">
        <v>28</v>
      </c>
    </row>
    <row r="321" spans="1:2" x14ac:dyDescent="0.25">
      <c r="A321" t="s">
        <v>9</v>
      </c>
      <c r="B321" t="s">
        <v>27</v>
      </c>
    </row>
    <row r="322" spans="1:2" x14ac:dyDescent="0.25">
      <c r="A322" t="s">
        <v>9</v>
      </c>
      <c r="B322" t="s">
        <v>28</v>
      </c>
    </row>
    <row r="323" spans="1:2" x14ac:dyDescent="0.25">
      <c r="A323" t="s">
        <v>9</v>
      </c>
      <c r="B323" t="s">
        <v>28</v>
      </c>
    </row>
    <row r="324" spans="1:2" x14ac:dyDescent="0.25">
      <c r="A324" t="s">
        <v>9</v>
      </c>
      <c r="B324" t="s">
        <v>26</v>
      </c>
    </row>
    <row r="325" spans="1:2" x14ac:dyDescent="0.25">
      <c r="A325" t="s">
        <v>9</v>
      </c>
      <c r="B325" t="s">
        <v>26</v>
      </c>
    </row>
    <row r="326" spans="1:2" x14ac:dyDescent="0.25">
      <c r="A326" t="s">
        <v>9</v>
      </c>
      <c r="B326" t="s">
        <v>28</v>
      </c>
    </row>
    <row r="327" spans="1:2" x14ac:dyDescent="0.25">
      <c r="A327" t="s">
        <v>9</v>
      </c>
      <c r="B327" t="s">
        <v>27</v>
      </c>
    </row>
    <row r="328" spans="1:2" x14ac:dyDescent="0.25">
      <c r="A328" t="s">
        <v>9</v>
      </c>
      <c r="B328" t="s">
        <v>26</v>
      </c>
    </row>
    <row r="329" spans="1:2" x14ac:dyDescent="0.25">
      <c r="A329" t="s">
        <v>9</v>
      </c>
      <c r="B329" t="s">
        <v>26</v>
      </c>
    </row>
    <row r="330" spans="1:2" x14ac:dyDescent="0.25">
      <c r="A330" t="s">
        <v>9</v>
      </c>
      <c r="B330" t="s">
        <v>26</v>
      </c>
    </row>
    <row r="331" spans="1:2" x14ac:dyDescent="0.25">
      <c r="A331" t="s">
        <v>9</v>
      </c>
      <c r="B331" t="s">
        <v>28</v>
      </c>
    </row>
    <row r="332" spans="1:2" x14ac:dyDescent="0.25">
      <c r="A332" t="s">
        <v>9</v>
      </c>
      <c r="B332" t="s">
        <v>27</v>
      </c>
    </row>
    <row r="333" spans="1:2" x14ac:dyDescent="0.25">
      <c r="A333" t="s">
        <v>10</v>
      </c>
      <c r="B333" t="s">
        <v>28</v>
      </c>
    </row>
    <row r="334" spans="1:2" x14ac:dyDescent="0.25">
      <c r="A334" t="s">
        <v>10</v>
      </c>
      <c r="B334" t="s">
        <v>26</v>
      </c>
    </row>
    <row r="335" spans="1:2" x14ac:dyDescent="0.25">
      <c r="A335" t="s">
        <v>9</v>
      </c>
      <c r="B335" t="s">
        <v>28</v>
      </c>
    </row>
    <row r="336" spans="1:2" x14ac:dyDescent="0.25">
      <c r="A336" t="s">
        <v>9</v>
      </c>
      <c r="B336" t="s">
        <v>28</v>
      </c>
    </row>
    <row r="337" spans="1:2" x14ac:dyDescent="0.25">
      <c r="A337" t="s">
        <v>10</v>
      </c>
      <c r="B337" t="s">
        <v>27</v>
      </c>
    </row>
    <row r="338" spans="1:2" x14ac:dyDescent="0.25">
      <c r="A338" t="s">
        <v>9</v>
      </c>
      <c r="B338" t="s">
        <v>26</v>
      </c>
    </row>
    <row r="339" spans="1:2" x14ac:dyDescent="0.25">
      <c r="A339" t="s">
        <v>9</v>
      </c>
      <c r="B339" t="s">
        <v>27</v>
      </c>
    </row>
    <row r="340" spans="1:2" x14ac:dyDescent="0.25">
      <c r="A340" t="s">
        <v>10</v>
      </c>
      <c r="B340" t="s">
        <v>27</v>
      </c>
    </row>
    <row r="341" spans="1:2" x14ac:dyDescent="0.25">
      <c r="A341" t="s">
        <v>9</v>
      </c>
      <c r="B341" t="s">
        <v>26</v>
      </c>
    </row>
    <row r="342" spans="1:2" x14ac:dyDescent="0.25">
      <c r="A342" t="s">
        <v>9</v>
      </c>
      <c r="B342" t="s">
        <v>28</v>
      </c>
    </row>
    <row r="343" spans="1:2" x14ac:dyDescent="0.25">
      <c r="A343" t="s">
        <v>9</v>
      </c>
      <c r="B343" t="s">
        <v>28</v>
      </c>
    </row>
    <row r="344" spans="1:2" x14ac:dyDescent="0.25">
      <c r="A344" t="s">
        <v>9</v>
      </c>
      <c r="B344" t="s">
        <v>26</v>
      </c>
    </row>
    <row r="345" spans="1:2" x14ac:dyDescent="0.25">
      <c r="A345" t="s">
        <v>9</v>
      </c>
      <c r="B345" t="s">
        <v>26</v>
      </c>
    </row>
    <row r="346" spans="1:2" x14ac:dyDescent="0.25">
      <c r="A346" t="s">
        <v>9</v>
      </c>
      <c r="B346" t="s">
        <v>26</v>
      </c>
    </row>
    <row r="347" spans="1:2" x14ac:dyDescent="0.25">
      <c r="A347" t="s">
        <v>9</v>
      </c>
      <c r="B347" t="s">
        <v>27</v>
      </c>
    </row>
    <row r="348" spans="1:2" x14ac:dyDescent="0.25">
      <c r="A348" t="s">
        <v>9</v>
      </c>
      <c r="B348" t="s">
        <v>27</v>
      </c>
    </row>
    <row r="349" spans="1:2" x14ac:dyDescent="0.25">
      <c r="A349" t="s">
        <v>9</v>
      </c>
      <c r="B349" t="s">
        <v>26</v>
      </c>
    </row>
    <row r="350" spans="1:2" x14ac:dyDescent="0.25">
      <c r="A350" t="s">
        <v>9</v>
      </c>
      <c r="B350" t="s">
        <v>27</v>
      </c>
    </row>
    <row r="351" spans="1:2" x14ac:dyDescent="0.25">
      <c r="A351" t="s">
        <v>9</v>
      </c>
      <c r="B351" t="s">
        <v>28</v>
      </c>
    </row>
    <row r="352" spans="1:2" x14ac:dyDescent="0.25">
      <c r="A352" t="s">
        <v>9</v>
      </c>
      <c r="B352" t="s">
        <v>28</v>
      </c>
    </row>
    <row r="353" spans="1:2" x14ac:dyDescent="0.25">
      <c r="A353" t="s">
        <v>9</v>
      </c>
      <c r="B353" t="s">
        <v>28</v>
      </c>
    </row>
    <row r="354" spans="1:2" x14ac:dyDescent="0.25">
      <c r="A354" t="s">
        <v>9</v>
      </c>
      <c r="B354" t="s">
        <v>28</v>
      </c>
    </row>
    <row r="355" spans="1:2" x14ac:dyDescent="0.25">
      <c r="A355" t="s">
        <v>9</v>
      </c>
      <c r="B355" t="s">
        <v>26</v>
      </c>
    </row>
    <row r="356" spans="1:2" x14ac:dyDescent="0.25">
      <c r="A356" t="s">
        <v>9</v>
      </c>
      <c r="B356" t="s">
        <v>26</v>
      </c>
    </row>
    <row r="357" spans="1:2" x14ac:dyDescent="0.25">
      <c r="A357" t="s">
        <v>9</v>
      </c>
      <c r="B357" t="s">
        <v>27</v>
      </c>
    </row>
    <row r="358" spans="1:2" x14ac:dyDescent="0.25">
      <c r="A358" t="s">
        <v>9</v>
      </c>
      <c r="B358" t="s">
        <v>28</v>
      </c>
    </row>
    <row r="359" spans="1:2" x14ac:dyDescent="0.25">
      <c r="A359" t="s">
        <v>10</v>
      </c>
      <c r="B359" t="s">
        <v>28</v>
      </c>
    </row>
    <row r="360" spans="1:2" x14ac:dyDescent="0.25">
      <c r="A360" t="s">
        <v>9</v>
      </c>
      <c r="B360" t="s">
        <v>28</v>
      </c>
    </row>
    <row r="361" spans="1:2" x14ac:dyDescent="0.25">
      <c r="A361" t="s">
        <v>9</v>
      </c>
      <c r="B361" t="s">
        <v>28</v>
      </c>
    </row>
    <row r="362" spans="1:2" x14ac:dyDescent="0.25">
      <c r="A362" t="s">
        <v>9</v>
      </c>
      <c r="B362" t="s">
        <v>28</v>
      </c>
    </row>
    <row r="363" spans="1:2" x14ac:dyDescent="0.25">
      <c r="A363" t="s">
        <v>10</v>
      </c>
      <c r="B363" t="s">
        <v>27</v>
      </c>
    </row>
    <row r="364" spans="1:2" x14ac:dyDescent="0.25">
      <c r="A364" t="s">
        <v>10</v>
      </c>
      <c r="B364" t="s">
        <v>28</v>
      </c>
    </row>
    <row r="365" spans="1:2" x14ac:dyDescent="0.25">
      <c r="A365" t="s">
        <v>9</v>
      </c>
      <c r="B365" t="s">
        <v>26</v>
      </c>
    </row>
    <row r="366" spans="1:2" x14ac:dyDescent="0.25">
      <c r="A366" t="s">
        <v>9</v>
      </c>
      <c r="B366" t="s">
        <v>28</v>
      </c>
    </row>
    <row r="367" spans="1:2" x14ac:dyDescent="0.25">
      <c r="A367" t="s">
        <v>9</v>
      </c>
      <c r="B367" t="s">
        <v>28</v>
      </c>
    </row>
    <row r="368" spans="1:2" x14ac:dyDescent="0.25">
      <c r="A368" t="s">
        <v>9</v>
      </c>
      <c r="B368" t="s">
        <v>26</v>
      </c>
    </row>
    <row r="369" spans="1:2" x14ac:dyDescent="0.25">
      <c r="A369" t="s">
        <v>9</v>
      </c>
      <c r="B369" t="s">
        <v>28</v>
      </c>
    </row>
    <row r="370" spans="1:2" x14ac:dyDescent="0.25">
      <c r="A370" t="s">
        <v>9</v>
      </c>
      <c r="B370" t="s">
        <v>28</v>
      </c>
    </row>
    <row r="371" spans="1:2" x14ac:dyDescent="0.25">
      <c r="A371" t="s">
        <v>9</v>
      </c>
      <c r="B371" t="s">
        <v>27</v>
      </c>
    </row>
    <row r="372" spans="1:2" x14ac:dyDescent="0.25">
      <c r="A372" t="s">
        <v>9</v>
      </c>
      <c r="B372" t="s">
        <v>28</v>
      </c>
    </row>
    <row r="373" spans="1:2" x14ac:dyDescent="0.25">
      <c r="A373" t="s">
        <v>9</v>
      </c>
      <c r="B373" t="s">
        <v>28</v>
      </c>
    </row>
    <row r="374" spans="1:2" x14ac:dyDescent="0.25">
      <c r="A374" t="s">
        <v>9</v>
      </c>
      <c r="B374" t="s">
        <v>26</v>
      </c>
    </row>
    <row r="375" spans="1:2" x14ac:dyDescent="0.25">
      <c r="A375" t="s">
        <v>9</v>
      </c>
      <c r="B375" t="s">
        <v>28</v>
      </c>
    </row>
    <row r="376" spans="1:2" x14ac:dyDescent="0.25">
      <c r="A376" t="s">
        <v>9</v>
      </c>
      <c r="B376" t="s">
        <v>27</v>
      </c>
    </row>
    <row r="377" spans="1:2" x14ac:dyDescent="0.25">
      <c r="A377" t="s">
        <v>9</v>
      </c>
      <c r="B377" t="s">
        <v>27</v>
      </c>
    </row>
    <row r="378" spans="1:2" x14ac:dyDescent="0.25">
      <c r="A378" t="s">
        <v>10</v>
      </c>
      <c r="B378" t="s">
        <v>27</v>
      </c>
    </row>
    <row r="379" spans="1:2" x14ac:dyDescent="0.25">
      <c r="A379" t="s">
        <v>9</v>
      </c>
      <c r="B379" t="s">
        <v>26</v>
      </c>
    </row>
    <row r="380" spans="1:2" x14ac:dyDescent="0.25">
      <c r="A380" t="s">
        <v>9</v>
      </c>
      <c r="B380" t="s">
        <v>28</v>
      </c>
    </row>
    <row r="381" spans="1:2" x14ac:dyDescent="0.25">
      <c r="A381" t="s">
        <v>10</v>
      </c>
      <c r="B381" t="s">
        <v>28</v>
      </c>
    </row>
    <row r="382" spans="1:2" x14ac:dyDescent="0.25">
      <c r="A382" t="s">
        <v>9</v>
      </c>
      <c r="B382" t="s">
        <v>28</v>
      </c>
    </row>
    <row r="383" spans="1:2" x14ac:dyDescent="0.25">
      <c r="A383" t="s">
        <v>9</v>
      </c>
      <c r="B383" t="s">
        <v>28</v>
      </c>
    </row>
    <row r="384" spans="1:2" x14ac:dyDescent="0.25">
      <c r="A384" t="s">
        <v>9</v>
      </c>
      <c r="B384" t="s">
        <v>26</v>
      </c>
    </row>
    <row r="385" spans="1:2" x14ac:dyDescent="0.25">
      <c r="A385" t="s">
        <v>9</v>
      </c>
      <c r="B385" t="s">
        <v>26</v>
      </c>
    </row>
    <row r="386" spans="1:2" x14ac:dyDescent="0.25">
      <c r="A386" t="s">
        <v>10</v>
      </c>
      <c r="B386" t="s">
        <v>28</v>
      </c>
    </row>
    <row r="387" spans="1:2" x14ac:dyDescent="0.25">
      <c r="A387" t="s">
        <v>9</v>
      </c>
      <c r="B387" t="s">
        <v>28</v>
      </c>
    </row>
    <row r="388" spans="1:2" x14ac:dyDescent="0.25">
      <c r="A388" t="s">
        <v>9</v>
      </c>
      <c r="B388" t="s">
        <v>27</v>
      </c>
    </row>
    <row r="389" spans="1:2" x14ac:dyDescent="0.25">
      <c r="A389" t="s">
        <v>9</v>
      </c>
      <c r="B389" t="s">
        <v>26</v>
      </c>
    </row>
    <row r="390" spans="1:2" x14ac:dyDescent="0.25">
      <c r="A390" t="s">
        <v>9</v>
      </c>
      <c r="B390" t="s">
        <v>27</v>
      </c>
    </row>
    <row r="391" spans="1:2" x14ac:dyDescent="0.25">
      <c r="A391" t="s">
        <v>10</v>
      </c>
      <c r="B391" t="s">
        <v>27</v>
      </c>
    </row>
    <row r="392" spans="1:2" x14ac:dyDescent="0.25">
      <c r="A392" t="s">
        <v>9</v>
      </c>
      <c r="B392" t="s">
        <v>28</v>
      </c>
    </row>
    <row r="393" spans="1:2" x14ac:dyDescent="0.25">
      <c r="A393" t="s">
        <v>9</v>
      </c>
      <c r="B393" t="s">
        <v>28</v>
      </c>
    </row>
    <row r="394" spans="1:2" x14ac:dyDescent="0.25">
      <c r="A394" t="s">
        <v>9</v>
      </c>
      <c r="B394" t="s">
        <v>26</v>
      </c>
    </row>
    <row r="395" spans="1:2" x14ac:dyDescent="0.25">
      <c r="A395" t="s">
        <v>9</v>
      </c>
      <c r="B395" t="s">
        <v>28</v>
      </c>
    </row>
    <row r="396" spans="1:2" x14ac:dyDescent="0.25">
      <c r="A396" t="s">
        <v>9</v>
      </c>
      <c r="B396" t="s">
        <v>27</v>
      </c>
    </row>
    <row r="397" spans="1:2" x14ac:dyDescent="0.25">
      <c r="A397" t="s">
        <v>9</v>
      </c>
      <c r="B397" t="s">
        <v>26</v>
      </c>
    </row>
    <row r="398" spans="1:2" x14ac:dyDescent="0.25">
      <c r="A398" t="s">
        <v>9</v>
      </c>
      <c r="B398" t="s">
        <v>28</v>
      </c>
    </row>
    <row r="399" spans="1:2" x14ac:dyDescent="0.25">
      <c r="A399" t="s">
        <v>10</v>
      </c>
      <c r="B399" t="s">
        <v>28</v>
      </c>
    </row>
    <row r="400" spans="1:2" x14ac:dyDescent="0.25">
      <c r="A400" t="s">
        <v>9</v>
      </c>
      <c r="B400" t="s">
        <v>26</v>
      </c>
    </row>
    <row r="401" spans="1:2" x14ac:dyDescent="0.25">
      <c r="A401" t="s">
        <v>9</v>
      </c>
      <c r="B401" t="s">
        <v>27</v>
      </c>
    </row>
    <row r="402" spans="1:2" x14ac:dyDescent="0.25">
      <c r="A402" t="s">
        <v>9</v>
      </c>
      <c r="B402" t="s">
        <v>27</v>
      </c>
    </row>
    <row r="403" spans="1:2" x14ac:dyDescent="0.25">
      <c r="A403" t="s">
        <v>9</v>
      </c>
      <c r="B403" t="s">
        <v>26</v>
      </c>
    </row>
    <row r="404" spans="1:2" x14ac:dyDescent="0.25">
      <c r="A404" t="s">
        <v>9</v>
      </c>
      <c r="B404" t="s">
        <v>27</v>
      </c>
    </row>
    <row r="405" spans="1:2" x14ac:dyDescent="0.25">
      <c r="A405" t="s">
        <v>9</v>
      </c>
      <c r="B405" t="s">
        <v>28</v>
      </c>
    </row>
    <row r="406" spans="1:2" x14ac:dyDescent="0.25">
      <c r="A406" t="s">
        <v>9</v>
      </c>
      <c r="B406" t="s">
        <v>27</v>
      </c>
    </row>
    <row r="407" spans="1:2" x14ac:dyDescent="0.25">
      <c r="A407" t="s">
        <v>9</v>
      </c>
      <c r="B407" t="s">
        <v>26</v>
      </c>
    </row>
    <row r="408" spans="1:2" x14ac:dyDescent="0.25">
      <c r="A408" t="s">
        <v>9</v>
      </c>
      <c r="B408" t="s">
        <v>28</v>
      </c>
    </row>
    <row r="409" spans="1:2" x14ac:dyDescent="0.25">
      <c r="A409" t="s">
        <v>9</v>
      </c>
      <c r="B409" t="s">
        <v>26</v>
      </c>
    </row>
    <row r="410" spans="1:2" x14ac:dyDescent="0.25">
      <c r="A410" t="s">
        <v>9</v>
      </c>
      <c r="B410" t="s">
        <v>28</v>
      </c>
    </row>
    <row r="411" spans="1:2" x14ac:dyDescent="0.25">
      <c r="A411" t="s">
        <v>9</v>
      </c>
      <c r="B411" t="s">
        <v>28</v>
      </c>
    </row>
    <row r="412" spans="1:2" x14ac:dyDescent="0.25">
      <c r="A412" t="s">
        <v>9</v>
      </c>
      <c r="B412" t="s">
        <v>28</v>
      </c>
    </row>
    <row r="413" spans="1:2" x14ac:dyDescent="0.25">
      <c r="A413" t="s">
        <v>9</v>
      </c>
      <c r="B413" t="s">
        <v>27</v>
      </c>
    </row>
    <row r="414" spans="1:2" x14ac:dyDescent="0.25">
      <c r="A414" t="s">
        <v>9</v>
      </c>
      <c r="B414" t="s">
        <v>28</v>
      </c>
    </row>
    <row r="415" spans="1:2" x14ac:dyDescent="0.25">
      <c r="A415" t="s">
        <v>9</v>
      </c>
      <c r="B415" t="s">
        <v>27</v>
      </c>
    </row>
    <row r="416" spans="1:2" x14ac:dyDescent="0.25">
      <c r="A416" t="s">
        <v>10</v>
      </c>
      <c r="B416" t="s">
        <v>26</v>
      </c>
    </row>
    <row r="417" spans="1:2" x14ac:dyDescent="0.25">
      <c r="A417" t="s">
        <v>9</v>
      </c>
      <c r="B417" t="s">
        <v>26</v>
      </c>
    </row>
    <row r="418" spans="1:2" x14ac:dyDescent="0.25">
      <c r="A418" t="s">
        <v>9</v>
      </c>
      <c r="B418" t="s">
        <v>27</v>
      </c>
    </row>
    <row r="419" spans="1:2" x14ac:dyDescent="0.25">
      <c r="A419" t="s">
        <v>9</v>
      </c>
      <c r="B419" t="s">
        <v>28</v>
      </c>
    </row>
    <row r="420" spans="1:2" x14ac:dyDescent="0.25">
      <c r="A420" t="s">
        <v>9</v>
      </c>
      <c r="B420" t="s">
        <v>28</v>
      </c>
    </row>
    <row r="421" spans="1:2" x14ac:dyDescent="0.25">
      <c r="A421" t="s">
        <v>9</v>
      </c>
      <c r="B421" t="s">
        <v>28</v>
      </c>
    </row>
    <row r="422" spans="1:2" x14ac:dyDescent="0.25">
      <c r="A422" t="s">
        <v>9</v>
      </c>
      <c r="B422" t="s">
        <v>28</v>
      </c>
    </row>
    <row r="423" spans="1:2" x14ac:dyDescent="0.25">
      <c r="A423" t="s">
        <v>9</v>
      </c>
      <c r="B423" t="s">
        <v>28</v>
      </c>
    </row>
    <row r="424" spans="1:2" x14ac:dyDescent="0.25">
      <c r="A424" t="s">
        <v>10</v>
      </c>
      <c r="B424" t="s">
        <v>28</v>
      </c>
    </row>
    <row r="425" spans="1:2" x14ac:dyDescent="0.25">
      <c r="A425" t="s">
        <v>9</v>
      </c>
      <c r="B425" t="s">
        <v>27</v>
      </c>
    </row>
    <row r="426" spans="1:2" x14ac:dyDescent="0.25">
      <c r="A426" t="s">
        <v>9</v>
      </c>
      <c r="B426" t="s">
        <v>28</v>
      </c>
    </row>
    <row r="427" spans="1:2" x14ac:dyDescent="0.25">
      <c r="A427" t="s">
        <v>9</v>
      </c>
      <c r="B427" t="s">
        <v>26</v>
      </c>
    </row>
    <row r="428" spans="1:2" x14ac:dyDescent="0.25">
      <c r="A428" t="s">
        <v>9</v>
      </c>
      <c r="B428" t="s">
        <v>26</v>
      </c>
    </row>
    <row r="429" spans="1:2" x14ac:dyDescent="0.25">
      <c r="A429" t="s">
        <v>9</v>
      </c>
      <c r="B429" t="s">
        <v>27</v>
      </c>
    </row>
    <row r="430" spans="1:2" x14ac:dyDescent="0.25">
      <c r="A430" t="s">
        <v>10</v>
      </c>
      <c r="B430" t="s">
        <v>27</v>
      </c>
    </row>
    <row r="431" spans="1:2" x14ac:dyDescent="0.25">
      <c r="A431" t="s">
        <v>9</v>
      </c>
      <c r="B431" t="s">
        <v>28</v>
      </c>
    </row>
    <row r="432" spans="1:2" x14ac:dyDescent="0.25">
      <c r="A432" t="s">
        <v>9</v>
      </c>
      <c r="B432" t="s">
        <v>27</v>
      </c>
    </row>
    <row r="433" spans="1:2" x14ac:dyDescent="0.25">
      <c r="A433" t="s">
        <v>9</v>
      </c>
      <c r="B433" t="s">
        <v>26</v>
      </c>
    </row>
    <row r="434" spans="1:2" x14ac:dyDescent="0.25">
      <c r="A434" t="s">
        <v>10</v>
      </c>
      <c r="B434" t="s">
        <v>27</v>
      </c>
    </row>
    <row r="435" spans="1:2" x14ac:dyDescent="0.25">
      <c r="A435" t="s">
        <v>9</v>
      </c>
      <c r="B435" t="s">
        <v>26</v>
      </c>
    </row>
    <row r="436" spans="1:2" x14ac:dyDescent="0.25">
      <c r="A436" t="s">
        <v>9</v>
      </c>
      <c r="B436" t="s">
        <v>26</v>
      </c>
    </row>
    <row r="437" spans="1:2" x14ac:dyDescent="0.25">
      <c r="A437" t="s">
        <v>9</v>
      </c>
      <c r="B437" t="s">
        <v>28</v>
      </c>
    </row>
    <row r="438" spans="1:2" x14ac:dyDescent="0.25">
      <c r="A438" t="s">
        <v>10</v>
      </c>
      <c r="B438" t="s">
        <v>27</v>
      </c>
    </row>
    <row r="439" spans="1:2" x14ac:dyDescent="0.25">
      <c r="A439" t="s">
        <v>9</v>
      </c>
      <c r="B439" t="s">
        <v>27</v>
      </c>
    </row>
    <row r="440" spans="1:2" x14ac:dyDescent="0.25">
      <c r="A440" t="s">
        <v>10</v>
      </c>
      <c r="B440" t="s">
        <v>28</v>
      </c>
    </row>
    <row r="441" spans="1:2" x14ac:dyDescent="0.25">
      <c r="A441" t="s">
        <v>9</v>
      </c>
      <c r="B441" t="s">
        <v>27</v>
      </c>
    </row>
    <row r="442" spans="1:2" x14ac:dyDescent="0.25">
      <c r="A442" t="s">
        <v>9</v>
      </c>
      <c r="B442" t="s">
        <v>27</v>
      </c>
    </row>
    <row r="443" spans="1:2" x14ac:dyDescent="0.25">
      <c r="A443" t="s">
        <v>9</v>
      </c>
      <c r="B443" t="s">
        <v>28</v>
      </c>
    </row>
    <row r="444" spans="1:2" x14ac:dyDescent="0.25">
      <c r="A444" t="s">
        <v>10</v>
      </c>
      <c r="B444" t="s">
        <v>27</v>
      </c>
    </row>
    <row r="445" spans="1:2" x14ac:dyDescent="0.25">
      <c r="A445" t="s">
        <v>9</v>
      </c>
      <c r="B445" t="s">
        <v>26</v>
      </c>
    </row>
    <row r="446" spans="1:2" x14ac:dyDescent="0.25">
      <c r="A446" t="s">
        <v>9</v>
      </c>
      <c r="B446" t="s">
        <v>26</v>
      </c>
    </row>
    <row r="447" spans="1:2" x14ac:dyDescent="0.25">
      <c r="A447" t="s">
        <v>9</v>
      </c>
      <c r="B447" t="s">
        <v>28</v>
      </c>
    </row>
    <row r="448" spans="1:2" x14ac:dyDescent="0.25">
      <c r="A448" t="s">
        <v>9</v>
      </c>
      <c r="B448" t="s">
        <v>28</v>
      </c>
    </row>
    <row r="449" spans="1:2" x14ac:dyDescent="0.25">
      <c r="A449" t="s">
        <v>9</v>
      </c>
      <c r="B449" t="s">
        <v>28</v>
      </c>
    </row>
    <row r="450" spans="1:2" x14ac:dyDescent="0.25">
      <c r="A450" t="s">
        <v>9</v>
      </c>
      <c r="B450" t="s">
        <v>27</v>
      </c>
    </row>
    <row r="451" spans="1:2" x14ac:dyDescent="0.25">
      <c r="A451" t="s">
        <v>9</v>
      </c>
      <c r="B451" t="s">
        <v>28</v>
      </c>
    </row>
    <row r="452" spans="1:2" x14ac:dyDescent="0.25">
      <c r="A452" t="s">
        <v>9</v>
      </c>
      <c r="B452" t="s">
        <v>28</v>
      </c>
    </row>
    <row r="453" spans="1:2" x14ac:dyDescent="0.25">
      <c r="A453" t="s">
        <v>9</v>
      </c>
      <c r="B453" t="s">
        <v>27</v>
      </c>
    </row>
    <row r="454" spans="1:2" x14ac:dyDescent="0.25">
      <c r="A454" t="s">
        <v>10</v>
      </c>
      <c r="B454" t="s">
        <v>27</v>
      </c>
    </row>
    <row r="455" spans="1:2" x14ac:dyDescent="0.25">
      <c r="A455" t="s">
        <v>9</v>
      </c>
      <c r="B455" t="s">
        <v>27</v>
      </c>
    </row>
    <row r="456" spans="1:2" x14ac:dyDescent="0.25">
      <c r="A456" t="s">
        <v>9</v>
      </c>
      <c r="B456" t="s">
        <v>28</v>
      </c>
    </row>
    <row r="457" spans="1:2" x14ac:dyDescent="0.25">
      <c r="A457" t="s">
        <v>9</v>
      </c>
      <c r="B457" t="s">
        <v>27</v>
      </c>
    </row>
    <row r="458" spans="1:2" x14ac:dyDescent="0.25">
      <c r="A458" t="s">
        <v>9</v>
      </c>
      <c r="B458" t="s">
        <v>28</v>
      </c>
    </row>
    <row r="459" spans="1:2" x14ac:dyDescent="0.25">
      <c r="A459" t="s">
        <v>9</v>
      </c>
      <c r="B459" t="s">
        <v>27</v>
      </c>
    </row>
    <row r="460" spans="1:2" x14ac:dyDescent="0.25">
      <c r="A460" t="s">
        <v>9</v>
      </c>
      <c r="B460" t="s">
        <v>28</v>
      </c>
    </row>
    <row r="461" spans="1:2" x14ac:dyDescent="0.25">
      <c r="A461" t="s">
        <v>9</v>
      </c>
      <c r="B461" t="s">
        <v>27</v>
      </c>
    </row>
    <row r="462" spans="1:2" x14ac:dyDescent="0.25">
      <c r="A462" t="s">
        <v>9</v>
      </c>
      <c r="B462" t="s">
        <v>28</v>
      </c>
    </row>
    <row r="463" spans="1:2" x14ac:dyDescent="0.25">
      <c r="A463" t="s">
        <v>9</v>
      </c>
      <c r="B463" t="s">
        <v>27</v>
      </c>
    </row>
    <row r="464" spans="1:2" x14ac:dyDescent="0.25">
      <c r="A464" t="s">
        <v>9</v>
      </c>
      <c r="B464" t="s">
        <v>27</v>
      </c>
    </row>
    <row r="465" spans="1:2" x14ac:dyDescent="0.25">
      <c r="A465" t="s">
        <v>9</v>
      </c>
      <c r="B465" t="s">
        <v>27</v>
      </c>
    </row>
    <row r="466" spans="1:2" x14ac:dyDescent="0.25">
      <c r="A466" t="s">
        <v>10</v>
      </c>
      <c r="B466" t="s">
        <v>28</v>
      </c>
    </row>
    <row r="467" spans="1:2" x14ac:dyDescent="0.25">
      <c r="A467" t="s">
        <v>9</v>
      </c>
      <c r="B467" t="s">
        <v>27</v>
      </c>
    </row>
    <row r="468" spans="1:2" x14ac:dyDescent="0.25">
      <c r="A468" t="s">
        <v>9</v>
      </c>
      <c r="B468" t="s">
        <v>27</v>
      </c>
    </row>
    <row r="469" spans="1:2" x14ac:dyDescent="0.25">
      <c r="A469" t="s">
        <v>9</v>
      </c>
      <c r="B469" t="s">
        <v>28</v>
      </c>
    </row>
    <row r="470" spans="1:2" x14ac:dyDescent="0.25">
      <c r="A470" t="s">
        <v>10</v>
      </c>
      <c r="B470" t="s">
        <v>27</v>
      </c>
    </row>
    <row r="471" spans="1:2" x14ac:dyDescent="0.25">
      <c r="A471" t="s">
        <v>9</v>
      </c>
      <c r="B471" t="s">
        <v>26</v>
      </c>
    </row>
    <row r="472" spans="1:2" x14ac:dyDescent="0.25">
      <c r="A472" t="s">
        <v>9</v>
      </c>
      <c r="B472" t="s">
        <v>28</v>
      </c>
    </row>
    <row r="473" spans="1:2" x14ac:dyDescent="0.25">
      <c r="A473" t="s">
        <v>10</v>
      </c>
      <c r="B473" t="s">
        <v>27</v>
      </c>
    </row>
    <row r="474" spans="1:2" x14ac:dyDescent="0.25">
      <c r="A474" t="s">
        <v>9</v>
      </c>
      <c r="B474" t="s">
        <v>28</v>
      </c>
    </row>
    <row r="475" spans="1:2" x14ac:dyDescent="0.25">
      <c r="A475" t="s">
        <v>9</v>
      </c>
      <c r="B475" t="s">
        <v>27</v>
      </c>
    </row>
    <row r="476" spans="1:2" x14ac:dyDescent="0.25">
      <c r="A476" t="s">
        <v>9</v>
      </c>
      <c r="B476" t="s">
        <v>26</v>
      </c>
    </row>
    <row r="477" spans="1:2" x14ac:dyDescent="0.25">
      <c r="A477" t="s">
        <v>9</v>
      </c>
      <c r="B477" t="s">
        <v>27</v>
      </c>
    </row>
    <row r="478" spans="1:2" x14ac:dyDescent="0.25">
      <c r="A478" t="s">
        <v>9</v>
      </c>
      <c r="B478" t="s">
        <v>26</v>
      </c>
    </row>
    <row r="479" spans="1:2" x14ac:dyDescent="0.25">
      <c r="A479" t="s">
        <v>9</v>
      </c>
      <c r="B479" t="s">
        <v>26</v>
      </c>
    </row>
    <row r="480" spans="1:2" x14ac:dyDescent="0.25">
      <c r="A480" t="s">
        <v>9</v>
      </c>
      <c r="B480" t="s">
        <v>28</v>
      </c>
    </row>
    <row r="481" spans="1:2" x14ac:dyDescent="0.25">
      <c r="A481" t="s">
        <v>9</v>
      </c>
      <c r="B481" t="s">
        <v>28</v>
      </c>
    </row>
    <row r="482" spans="1:2" x14ac:dyDescent="0.25">
      <c r="A482" t="s">
        <v>9</v>
      </c>
      <c r="B482" t="s">
        <v>28</v>
      </c>
    </row>
    <row r="483" spans="1:2" x14ac:dyDescent="0.25">
      <c r="A483" t="s">
        <v>9</v>
      </c>
      <c r="B483" t="s">
        <v>28</v>
      </c>
    </row>
    <row r="484" spans="1:2" x14ac:dyDescent="0.25">
      <c r="A484" t="s">
        <v>9</v>
      </c>
      <c r="B484" t="s">
        <v>28</v>
      </c>
    </row>
    <row r="485" spans="1:2" x14ac:dyDescent="0.25">
      <c r="A485" t="s">
        <v>9</v>
      </c>
      <c r="B485" t="s">
        <v>26</v>
      </c>
    </row>
    <row r="486" spans="1:2" x14ac:dyDescent="0.25">
      <c r="A486" t="s">
        <v>10</v>
      </c>
      <c r="B486" t="s">
        <v>28</v>
      </c>
    </row>
    <row r="487" spans="1:2" x14ac:dyDescent="0.25">
      <c r="A487" t="s">
        <v>10</v>
      </c>
      <c r="B487" t="s">
        <v>27</v>
      </c>
    </row>
    <row r="488" spans="1:2" x14ac:dyDescent="0.25">
      <c r="A488" t="s">
        <v>10</v>
      </c>
      <c r="B488" t="s">
        <v>27</v>
      </c>
    </row>
    <row r="489" spans="1:2" x14ac:dyDescent="0.25">
      <c r="A489" t="s">
        <v>9</v>
      </c>
      <c r="B489" t="s">
        <v>26</v>
      </c>
    </row>
    <row r="490" spans="1:2" x14ac:dyDescent="0.25">
      <c r="A490" t="s">
        <v>10</v>
      </c>
      <c r="B490" t="s">
        <v>27</v>
      </c>
    </row>
    <row r="491" spans="1:2" x14ac:dyDescent="0.25">
      <c r="A491" t="s">
        <v>9</v>
      </c>
      <c r="B491" t="s">
        <v>27</v>
      </c>
    </row>
    <row r="492" spans="1:2" x14ac:dyDescent="0.25">
      <c r="A492" t="s">
        <v>9</v>
      </c>
      <c r="B492" t="s">
        <v>27</v>
      </c>
    </row>
    <row r="493" spans="1:2" x14ac:dyDescent="0.25">
      <c r="A493" t="s">
        <v>9</v>
      </c>
      <c r="B493" t="s">
        <v>28</v>
      </c>
    </row>
    <row r="494" spans="1:2" x14ac:dyDescent="0.25">
      <c r="A494" t="s">
        <v>9</v>
      </c>
      <c r="B494" t="s">
        <v>27</v>
      </c>
    </row>
    <row r="495" spans="1:2" x14ac:dyDescent="0.25">
      <c r="A495" t="s">
        <v>9</v>
      </c>
      <c r="B495" t="s">
        <v>27</v>
      </c>
    </row>
    <row r="496" spans="1:2" x14ac:dyDescent="0.25">
      <c r="A496" t="s">
        <v>9</v>
      </c>
      <c r="B496" t="s">
        <v>28</v>
      </c>
    </row>
    <row r="497" spans="1:2" x14ac:dyDescent="0.25">
      <c r="A497" t="s">
        <v>9</v>
      </c>
      <c r="B497" t="s">
        <v>28</v>
      </c>
    </row>
    <row r="498" spans="1:2" x14ac:dyDescent="0.25">
      <c r="A498" t="s">
        <v>9</v>
      </c>
      <c r="B498" t="s">
        <v>28</v>
      </c>
    </row>
    <row r="499" spans="1:2" x14ac:dyDescent="0.25">
      <c r="A499" t="s">
        <v>9</v>
      </c>
      <c r="B499" t="s">
        <v>28</v>
      </c>
    </row>
    <row r="500" spans="1:2" x14ac:dyDescent="0.25">
      <c r="A500" t="s">
        <v>9</v>
      </c>
      <c r="B500" t="s">
        <v>28</v>
      </c>
    </row>
    <row r="501" spans="1:2" x14ac:dyDescent="0.25">
      <c r="A501" t="s">
        <v>9</v>
      </c>
      <c r="B501" t="s">
        <v>28</v>
      </c>
    </row>
    <row r="502" spans="1:2" x14ac:dyDescent="0.25">
      <c r="A502" t="s">
        <v>10</v>
      </c>
      <c r="B502" t="s">
        <v>28</v>
      </c>
    </row>
    <row r="503" spans="1:2" x14ac:dyDescent="0.25">
      <c r="A503" t="s">
        <v>10</v>
      </c>
      <c r="B503" t="s">
        <v>27</v>
      </c>
    </row>
    <row r="504" spans="1:2" x14ac:dyDescent="0.25">
      <c r="A504" t="s">
        <v>10</v>
      </c>
      <c r="B504" t="s">
        <v>28</v>
      </c>
    </row>
    <row r="505" spans="1:2" x14ac:dyDescent="0.25">
      <c r="A505" t="s">
        <v>9</v>
      </c>
      <c r="B505" t="s">
        <v>26</v>
      </c>
    </row>
    <row r="506" spans="1:2" x14ac:dyDescent="0.25">
      <c r="A506" t="s">
        <v>9</v>
      </c>
      <c r="B506" t="s">
        <v>28</v>
      </c>
    </row>
    <row r="507" spans="1:2" x14ac:dyDescent="0.25">
      <c r="A507" t="s">
        <v>9</v>
      </c>
      <c r="B507" t="s">
        <v>28</v>
      </c>
    </row>
    <row r="508" spans="1:2" x14ac:dyDescent="0.25">
      <c r="A508" t="s">
        <v>10</v>
      </c>
      <c r="B508" t="s">
        <v>27</v>
      </c>
    </row>
    <row r="509" spans="1:2" x14ac:dyDescent="0.25">
      <c r="A509" t="s">
        <v>9</v>
      </c>
      <c r="B509" t="s">
        <v>28</v>
      </c>
    </row>
    <row r="510" spans="1:2" x14ac:dyDescent="0.25">
      <c r="A510" t="s">
        <v>9</v>
      </c>
      <c r="B510" t="s">
        <v>26</v>
      </c>
    </row>
    <row r="511" spans="1:2" x14ac:dyDescent="0.25">
      <c r="A511" t="s">
        <v>10</v>
      </c>
      <c r="B511" t="s">
        <v>28</v>
      </c>
    </row>
    <row r="512" spans="1:2" x14ac:dyDescent="0.25">
      <c r="A512" t="s">
        <v>9</v>
      </c>
      <c r="B512" t="s">
        <v>28</v>
      </c>
    </row>
    <row r="513" spans="1:2" x14ac:dyDescent="0.25">
      <c r="A513" t="s">
        <v>9</v>
      </c>
      <c r="B513" t="s">
        <v>28</v>
      </c>
    </row>
    <row r="514" spans="1:2" x14ac:dyDescent="0.25">
      <c r="A514" t="s">
        <v>9</v>
      </c>
      <c r="B514" t="s">
        <v>28</v>
      </c>
    </row>
    <row r="515" spans="1:2" x14ac:dyDescent="0.25">
      <c r="A515" t="s">
        <v>9</v>
      </c>
      <c r="B515" t="s">
        <v>27</v>
      </c>
    </row>
    <row r="516" spans="1:2" x14ac:dyDescent="0.25">
      <c r="A516" t="s">
        <v>9</v>
      </c>
      <c r="B516" t="s">
        <v>27</v>
      </c>
    </row>
    <row r="517" spans="1:2" x14ac:dyDescent="0.25">
      <c r="A517" t="s">
        <v>9</v>
      </c>
      <c r="B517" t="s">
        <v>26</v>
      </c>
    </row>
    <row r="518" spans="1:2" x14ac:dyDescent="0.25">
      <c r="A518" t="s">
        <v>10</v>
      </c>
      <c r="B518" t="s">
        <v>28</v>
      </c>
    </row>
    <row r="519" spans="1:2" x14ac:dyDescent="0.25">
      <c r="A519" t="s">
        <v>9</v>
      </c>
      <c r="B519" t="s">
        <v>26</v>
      </c>
    </row>
    <row r="520" spans="1:2" x14ac:dyDescent="0.25">
      <c r="A520" t="s">
        <v>9</v>
      </c>
      <c r="B520" t="s">
        <v>28</v>
      </c>
    </row>
    <row r="521" spans="1:2" x14ac:dyDescent="0.25">
      <c r="A521" t="s">
        <v>10</v>
      </c>
      <c r="B521" t="s">
        <v>27</v>
      </c>
    </row>
    <row r="522" spans="1:2" x14ac:dyDescent="0.25">
      <c r="A522" t="s">
        <v>9</v>
      </c>
      <c r="B522" t="s">
        <v>27</v>
      </c>
    </row>
    <row r="523" spans="1:2" x14ac:dyDescent="0.25">
      <c r="A523" t="s">
        <v>10</v>
      </c>
      <c r="B523" t="s">
        <v>28</v>
      </c>
    </row>
    <row r="524" spans="1:2" x14ac:dyDescent="0.25">
      <c r="A524" t="s">
        <v>9</v>
      </c>
      <c r="B524" t="s">
        <v>26</v>
      </c>
    </row>
    <row r="525" spans="1:2" x14ac:dyDescent="0.25">
      <c r="A525" t="s">
        <v>9</v>
      </c>
      <c r="B525" t="s">
        <v>26</v>
      </c>
    </row>
    <row r="526" spans="1:2" x14ac:dyDescent="0.25">
      <c r="A526" t="s">
        <v>9</v>
      </c>
      <c r="B526" t="s">
        <v>28</v>
      </c>
    </row>
    <row r="527" spans="1:2" x14ac:dyDescent="0.25">
      <c r="A527" t="s">
        <v>9</v>
      </c>
      <c r="B527" t="s">
        <v>28</v>
      </c>
    </row>
    <row r="528" spans="1:2" x14ac:dyDescent="0.25">
      <c r="A528" t="s">
        <v>9</v>
      </c>
      <c r="B528" t="s">
        <v>26</v>
      </c>
    </row>
    <row r="529" spans="1:2" x14ac:dyDescent="0.25">
      <c r="A529" t="s">
        <v>9</v>
      </c>
      <c r="B529" t="s">
        <v>28</v>
      </c>
    </row>
    <row r="530" spans="1:2" x14ac:dyDescent="0.25">
      <c r="A530" t="s">
        <v>9</v>
      </c>
      <c r="B530" t="s">
        <v>27</v>
      </c>
    </row>
    <row r="531" spans="1:2" x14ac:dyDescent="0.25">
      <c r="A531" t="s">
        <v>10</v>
      </c>
      <c r="B531" t="s">
        <v>28</v>
      </c>
    </row>
    <row r="532" spans="1:2" x14ac:dyDescent="0.25">
      <c r="A532" t="s">
        <v>9</v>
      </c>
      <c r="B532" t="s">
        <v>28</v>
      </c>
    </row>
    <row r="533" spans="1:2" x14ac:dyDescent="0.25">
      <c r="A533" t="s">
        <v>9</v>
      </c>
      <c r="B533" t="s">
        <v>27</v>
      </c>
    </row>
    <row r="534" spans="1:2" x14ac:dyDescent="0.25">
      <c r="A534" t="s">
        <v>9</v>
      </c>
      <c r="B534" t="s">
        <v>28</v>
      </c>
    </row>
    <row r="535" spans="1:2" x14ac:dyDescent="0.25">
      <c r="A535" t="s">
        <v>9</v>
      </c>
      <c r="B535" t="s">
        <v>26</v>
      </c>
    </row>
    <row r="536" spans="1:2" x14ac:dyDescent="0.25">
      <c r="A536" t="s">
        <v>10</v>
      </c>
      <c r="B536" t="s">
        <v>28</v>
      </c>
    </row>
    <row r="537" spans="1:2" x14ac:dyDescent="0.25">
      <c r="A537" t="s">
        <v>9</v>
      </c>
      <c r="B537" t="s">
        <v>26</v>
      </c>
    </row>
    <row r="538" spans="1:2" x14ac:dyDescent="0.25">
      <c r="A538" t="s">
        <v>9</v>
      </c>
      <c r="B538" t="s">
        <v>27</v>
      </c>
    </row>
    <row r="539" spans="1:2" x14ac:dyDescent="0.25">
      <c r="A539" t="s">
        <v>9</v>
      </c>
      <c r="B539" t="s">
        <v>26</v>
      </c>
    </row>
    <row r="540" spans="1:2" x14ac:dyDescent="0.25">
      <c r="A540" t="s">
        <v>10</v>
      </c>
      <c r="B540" t="s">
        <v>27</v>
      </c>
    </row>
    <row r="541" spans="1:2" x14ac:dyDescent="0.25">
      <c r="A541" t="s">
        <v>9</v>
      </c>
      <c r="B541" t="s">
        <v>27</v>
      </c>
    </row>
    <row r="542" spans="1:2" x14ac:dyDescent="0.25">
      <c r="A542" t="s">
        <v>9</v>
      </c>
      <c r="B542" t="s">
        <v>26</v>
      </c>
    </row>
    <row r="543" spans="1:2" x14ac:dyDescent="0.25">
      <c r="A543" t="s">
        <v>9</v>
      </c>
      <c r="B543" t="s">
        <v>28</v>
      </c>
    </row>
    <row r="544" spans="1:2" x14ac:dyDescent="0.25">
      <c r="A544" t="s">
        <v>9</v>
      </c>
      <c r="B544" t="s">
        <v>26</v>
      </c>
    </row>
    <row r="545" spans="1:2" x14ac:dyDescent="0.25">
      <c r="A545" t="s">
        <v>9</v>
      </c>
      <c r="B545" t="s">
        <v>28</v>
      </c>
    </row>
    <row r="546" spans="1:2" x14ac:dyDescent="0.25">
      <c r="A546" t="s">
        <v>9</v>
      </c>
      <c r="B546" t="s">
        <v>27</v>
      </c>
    </row>
    <row r="547" spans="1:2" x14ac:dyDescent="0.25">
      <c r="A547" t="s">
        <v>9</v>
      </c>
      <c r="B547" t="s">
        <v>28</v>
      </c>
    </row>
    <row r="548" spans="1:2" x14ac:dyDescent="0.25">
      <c r="A548" t="s">
        <v>9</v>
      </c>
      <c r="B548" t="s">
        <v>28</v>
      </c>
    </row>
    <row r="549" spans="1:2" x14ac:dyDescent="0.25">
      <c r="A549" t="s">
        <v>9</v>
      </c>
      <c r="B549" t="s">
        <v>27</v>
      </c>
    </row>
    <row r="550" spans="1:2" x14ac:dyDescent="0.25">
      <c r="A550" t="s">
        <v>9</v>
      </c>
      <c r="B550" t="s">
        <v>28</v>
      </c>
    </row>
    <row r="551" spans="1:2" x14ac:dyDescent="0.25">
      <c r="A551" t="s">
        <v>9</v>
      </c>
      <c r="B551" t="s">
        <v>27</v>
      </c>
    </row>
    <row r="552" spans="1:2" x14ac:dyDescent="0.25">
      <c r="A552" t="s">
        <v>9</v>
      </c>
      <c r="B552" t="s">
        <v>28</v>
      </c>
    </row>
    <row r="553" spans="1:2" x14ac:dyDescent="0.25">
      <c r="A553" t="s">
        <v>9</v>
      </c>
      <c r="B553" t="s">
        <v>26</v>
      </c>
    </row>
    <row r="554" spans="1:2" x14ac:dyDescent="0.25">
      <c r="A554" t="s">
        <v>9</v>
      </c>
      <c r="B554" t="s">
        <v>27</v>
      </c>
    </row>
    <row r="555" spans="1:2" x14ac:dyDescent="0.25">
      <c r="A555" t="s">
        <v>9</v>
      </c>
      <c r="B555" t="s">
        <v>28</v>
      </c>
    </row>
    <row r="556" spans="1:2" x14ac:dyDescent="0.25">
      <c r="A556" t="s">
        <v>9</v>
      </c>
      <c r="B556" t="s">
        <v>28</v>
      </c>
    </row>
    <row r="557" spans="1:2" x14ac:dyDescent="0.25">
      <c r="A557" t="s">
        <v>9</v>
      </c>
      <c r="B557" t="s">
        <v>28</v>
      </c>
    </row>
    <row r="558" spans="1:2" x14ac:dyDescent="0.25">
      <c r="A558" t="s">
        <v>9</v>
      </c>
      <c r="B558" t="s">
        <v>27</v>
      </c>
    </row>
    <row r="559" spans="1:2" x14ac:dyDescent="0.25">
      <c r="A559" t="s">
        <v>9</v>
      </c>
      <c r="B559" t="s">
        <v>28</v>
      </c>
    </row>
    <row r="560" spans="1:2" x14ac:dyDescent="0.25">
      <c r="A560" t="s">
        <v>9</v>
      </c>
      <c r="B560" t="s">
        <v>28</v>
      </c>
    </row>
    <row r="561" spans="1:2" x14ac:dyDescent="0.25">
      <c r="A561" t="s">
        <v>9</v>
      </c>
      <c r="B561" t="s">
        <v>28</v>
      </c>
    </row>
    <row r="562" spans="1:2" x14ac:dyDescent="0.25">
      <c r="A562" t="s">
        <v>9</v>
      </c>
      <c r="B562" t="s">
        <v>27</v>
      </c>
    </row>
    <row r="563" spans="1:2" x14ac:dyDescent="0.25">
      <c r="A563" t="s">
        <v>9</v>
      </c>
      <c r="B563" t="s">
        <v>28</v>
      </c>
    </row>
    <row r="564" spans="1:2" x14ac:dyDescent="0.25">
      <c r="A564" t="s">
        <v>9</v>
      </c>
      <c r="B564" t="s">
        <v>28</v>
      </c>
    </row>
    <row r="565" spans="1:2" x14ac:dyDescent="0.25">
      <c r="A565" t="s">
        <v>9</v>
      </c>
      <c r="B565" t="s">
        <v>28</v>
      </c>
    </row>
    <row r="566" spans="1:2" x14ac:dyDescent="0.25">
      <c r="A566" t="s">
        <v>9</v>
      </c>
      <c r="B566" t="s">
        <v>28</v>
      </c>
    </row>
    <row r="567" spans="1:2" x14ac:dyDescent="0.25">
      <c r="A567" t="s">
        <v>9</v>
      </c>
      <c r="B567" t="s">
        <v>27</v>
      </c>
    </row>
    <row r="568" spans="1:2" x14ac:dyDescent="0.25">
      <c r="A568" t="s">
        <v>9</v>
      </c>
      <c r="B568" t="s">
        <v>27</v>
      </c>
    </row>
    <row r="569" spans="1:2" x14ac:dyDescent="0.25">
      <c r="A569" t="s">
        <v>10</v>
      </c>
      <c r="B569" t="s">
        <v>28</v>
      </c>
    </row>
    <row r="570" spans="1:2" x14ac:dyDescent="0.25">
      <c r="A570" t="s">
        <v>9</v>
      </c>
      <c r="B570" t="s">
        <v>27</v>
      </c>
    </row>
    <row r="571" spans="1:2" x14ac:dyDescent="0.25">
      <c r="A571" t="s">
        <v>9</v>
      </c>
      <c r="B571" t="s">
        <v>28</v>
      </c>
    </row>
    <row r="572" spans="1:2" x14ac:dyDescent="0.25">
      <c r="A572" t="s">
        <v>9</v>
      </c>
      <c r="B572" t="s">
        <v>28</v>
      </c>
    </row>
    <row r="573" spans="1:2" x14ac:dyDescent="0.25">
      <c r="A573" t="s">
        <v>10</v>
      </c>
      <c r="B573" t="s">
        <v>27</v>
      </c>
    </row>
    <row r="574" spans="1:2" x14ac:dyDescent="0.25">
      <c r="A574" t="s">
        <v>9</v>
      </c>
      <c r="B574" t="s">
        <v>28</v>
      </c>
    </row>
    <row r="575" spans="1:2" x14ac:dyDescent="0.25">
      <c r="A575" t="s">
        <v>9</v>
      </c>
      <c r="B575" t="s">
        <v>28</v>
      </c>
    </row>
    <row r="576" spans="1:2" x14ac:dyDescent="0.25">
      <c r="A576" t="s">
        <v>9</v>
      </c>
      <c r="B576" t="s">
        <v>28</v>
      </c>
    </row>
    <row r="577" spans="1:2" x14ac:dyDescent="0.25">
      <c r="A577" t="s">
        <v>9</v>
      </c>
      <c r="B577" t="s">
        <v>26</v>
      </c>
    </row>
    <row r="578" spans="1:2" x14ac:dyDescent="0.25">
      <c r="A578" t="s">
        <v>9</v>
      </c>
      <c r="B578" t="s">
        <v>27</v>
      </c>
    </row>
    <row r="579" spans="1:2" x14ac:dyDescent="0.25">
      <c r="A579" t="s">
        <v>9</v>
      </c>
      <c r="B579" t="s">
        <v>27</v>
      </c>
    </row>
    <row r="580" spans="1:2" x14ac:dyDescent="0.25">
      <c r="A580" t="s">
        <v>9</v>
      </c>
      <c r="B580" t="s">
        <v>27</v>
      </c>
    </row>
    <row r="581" spans="1:2" x14ac:dyDescent="0.25">
      <c r="A581" t="s">
        <v>9</v>
      </c>
      <c r="B581" t="s">
        <v>26</v>
      </c>
    </row>
    <row r="582" spans="1:2" x14ac:dyDescent="0.25">
      <c r="A582" t="s">
        <v>9</v>
      </c>
      <c r="B582" t="s">
        <v>28</v>
      </c>
    </row>
    <row r="583" spans="1:2" x14ac:dyDescent="0.25">
      <c r="A583" t="s">
        <v>9</v>
      </c>
      <c r="B583" t="s">
        <v>27</v>
      </c>
    </row>
    <row r="584" spans="1:2" x14ac:dyDescent="0.25">
      <c r="A584" t="s">
        <v>9</v>
      </c>
      <c r="B584" t="s">
        <v>28</v>
      </c>
    </row>
    <row r="585" spans="1:2" x14ac:dyDescent="0.25">
      <c r="A585" t="s">
        <v>9</v>
      </c>
      <c r="B585" t="s">
        <v>28</v>
      </c>
    </row>
    <row r="586" spans="1:2" x14ac:dyDescent="0.25">
      <c r="A586" t="s">
        <v>9</v>
      </c>
      <c r="B586" t="s">
        <v>28</v>
      </c>
    </row>
    <row r="587" spans="1:2" x14ac:dyDescent="0.25">
      <c r="A587" t="s">
        <v>9</v>
      </c>
      <c r="B587" t="s">
        <v>28</v>
      </c>
    </row>
    <row r="588" spans="1:2" x14ac:dyDescent="0.25">
      <c r="A588" t="s">
        <v>9</v>
      </c>
      <c r="B588" t="s">
        <v>26</v>
      </c>
    </row>
    <row r="589" spans="1:2" x14ac:dyDescent="0.25">
      <c r="A589" t="s">
        <v>10</v>
      </c>
      <c r="B589" t="s">
        <v>27</v>
      </c>
    </row>
    <row r="590" spans="1:2" x14ac:dyDescent="0.25">
      <c r="A590" t="s">
        <v>9</v>
      </c>
      <c r="B590" t="s">
        <v>27</v>
      </c>
    </row>
    <row r="591" spans="1:2" x14ac:dyDescent="0.25">
      <c r="A591" t="s">
        <v>9</v>
      </c>
      <c r="B591" t="s">
        <v>28</v>
      </c>
    </row>
    <row r="592" spans="1:2" x14ac:dyDescent="0.25">
      <c r="A592" t="s">
        <v>9</v>
      </c>
      <c r="B592" t="s">
        <v>28</v>
      </c>
    </row>
    <row r="593" spans="1:2" x14ac:dyDescent="0.25">
      <c r="A593" t="s">
        <v>10</v>
      </c>
      <c r="B593" t="s">
        <v>27</v>
      </c>
    </row>
    <row r="594" spans="1:2" x14ac:dyDescent="0.25">
      <c r="A594" t="s">
        <v>10</v>
      </c>
      <c r="B594" t="s">
        <v>28</v>
      </c>
    </row>
    <row r="595" spans="1:2" x14ac:dyDescent="0.25">
      <c r="A595" t="s">
        <v>9</v>
      </c>
      <c r="B595" t="s">
        <v>28</v>
      </c>
    </row>
    <row r="596" spans="1:2" x14ac:dyDescent="0.25">
      <c r="A596" t="s">
        <v>9</v>
      </c>
      <c r="B596" t="s">
        <v>28</v>
      </c>
    </row>
    <row r="597" spans="1:2" x14ac:dyDescent="0.25">
      <c r="A597" t="s">
        <v>9</v>
      </c>
      <c r="B597" t="s">
        <v>26</v>
      </c>
    </row>
    <row r="598" spans="1:2" x14ac:dyDescent="0.25">
      <c r="A598" t="s">
        <v>9</v>
      </c>
      <c r="B598" t="s">
        <v>28</v>
      </c>
    </row>
    <row r="599" spans="1:2" x14ac:dyDescent="0.25">
      <c r="A599" t="s">
        <v>9</v>
      </c>
      <c r="B599" t="s">
        <v>28</v>
      </c>
    </row>
    <row r="600" spans="1:2" x14ac:dyDescent="0.25">
      <c r="A600" t="s">
        <v>9</v>
      </c>
      <c r="B600" t="s">
        <v>28</v>
      </c>
    </row>
    <row r="601" spans="1:2" x14ac:dyDescent="0.25">
      <c r="A601" t="s">
        <v>10</v>
      </c>
      <c r="B601" t="s">
        <v>28</v>
      </c>
    </row>
    <row r="602" spans="1:2" x14ac:dyDescent="0.25">
      <c r="A602" t="s">
        <v>9</v>
      </c>
      <c r="B602" t="s">
        <v>28</v>
      </c>
    </row>
    <row r="603" spans="1:2" x14ac:dyDescent="0.25">
      <c r="A603" t="s">
        <v>9</v>
      </c>
      <c r="B603" t="s">
        <v>28</v>
      </c>
    </row>
    <row r="604" spans="1:2" x14ac:dyDescent="0.25">
      <c r="A604" t="s">
        <v>9</v>
      </c>
      <c r="B604" t="s">
        <v>28</v>
      </c>
    </row>
    <row r="605" spans="1:2" x14ac:dyDescent="0.25">
      <c r="A605" t="s">
        <v>9</v>
      </c>
      <c r="B605" t="s">
        <v>28</v>
      </c>
    </row>
    <row r="606" spans="1:2" x14ac:dyDescent="0.25">
      <c r="A606" t="s">
        <v>10</v>
      </c>
      <c r="B606" t="s">
        <v>27</v>
      </c>
    </row>
    <row r="607" spans="1:2" x14ac:dyDescent="0.25">
      <c r="A607" t="s">
        <v>9</v>
      </c>
      <c r="B607" t="s">
        <v>28</v>
      </c>
    </row>
    <row r="608" spans="1:2" x14ac:dyDescent="0.25">
      <c r="A608" t="s">
        <v>9</v>
      </c>
      <c r="B608" t="s">
        <v>27</v>
      </c>
    </row>
    <row r="609" spans="1:2" x14ac:dyDescent="0.25">
      <c r="A609" t="s">
        <v>9</v>
      </c>
      <c r="B609" t="s">
        <v>26</v>
      </c>
    </row>
    <row r="610" spans="1:2" x14ac:dyDescent="0.25">
      <c r="A610" t="s">
        <v>9</v>
      </c>
      <c r="B610" t="s">
        <v>27</v>
      </c>
    </row>
    <row r="611" spans="1:2" x14ac:dyDescent="0.25">
      <c r="A611" t="s">
        <v>9</v>
      </c>
      <c r="B611" t="s">
        <v>27</v>
      </c>
    </row>
    <row r="612" spans="1:2" x14ac:dyDescent="0.25">
      <c r="A612" t="s">
        <v>9</v>
      </c>
      <c r="B612" t="s">
        <v>28</v>
      </c>
    </row>
    <row r="613" spans="1:2" x14ac:dyDescent="0.25">
      <c r="A613" t="s">
        <v>9</v>
      </c>
      <c r="B613" t="s">
        <v>27</v>
      </c>
    </row>
    <row r="614" spans="1:2" x14ac:dyDescent="0.25">
      <c r="A614" t="s">
        <v>10</v>
      </c>
      <c r="B614" t="s">
        <v>28</v>
      </c>
    </row>
    <row r="615" spans="1:2" x14ac:dyDescent="0.25">
      <c r="A615" t="s">
        <v>10</v>
      </c>
      <c r="B615" t="s">
        <v>27</v>
      </c>
    </row>
    <row r="616" spans="1:2" x14ac:dyDescent="0.25">
      <c r="A616" t="s">
        <v>9</v>
      </c>
      <c r="B616" t="s">
        <v>26</v>
      </c>
    </row>
    <row r="617" spans="1:2" x14ac:dyDescent="0.25">
      <c r="A617" t="s">
        <v>9</v>
      </c>
      <c r="B617" t="s">
        <v>28</v>
      </c>
    </row>
    <row r="618" spans="1:2" x14ac:dyDescent="0.25">
      <c r="A618" t="s">
        <v>9</v>
      </c>
      <c r="B618" t="s">
        <v>28</v>
      </c>
    </row>
    <row r="619" spans="1:2" x14ac:dyDescent="0.25">
      <c r="A619" t="s">
        <v>9</v>
      </c>
      <c r="B619" t="s">
        <v>26</v>
      </c>
    </row>
    <row r="620" spans="1:2" x14ac:dyDescent="0.25">
      <c r="A620" t="s">
        <v>9</v>
      </c>
      <c r="B620" t="s">
        <v>28</v>
      </c>
    </row>
    <row r="621" spans="1:2" x14ac:dyDescent="0.25">
      <c r="A621" t="s">
        <v>9</v>
      </c>
      <c r="B621" t="s">
        <v>28</v>
      </c>
    </row>
    <row r="622" spans="1:2" x14ac:dyDescent="0.25">
      <c r="A622" t="s">
        <v>10</v>
      </c>
      <c r="B622" t="s">
        <v>27</v>
      </c>
    </row>
    <row r="623" spans="1:2" x14ac:dyDescent="0.25">
      <c r="A623" t="s">
        <v>9</v>
      </c>
      <c r="B623" t="s">
        <v>26</v>
      </c>
    </row>
    <row r="624" spans="1:2" x14ac:dyDescent="0.25">
      <c r="A624" t="s">
        <v>9</v>
      </c>
      <c r="B624" t="s">
        <v>27</v>
      </c>
    </row>
    <row r="625" spans="1:2" x14ac:dyDescent="0.25">
      <c r="A625" t="s">
        <v>9</v>
      </c>
      <c r="B625" t="s">
        <v>27</v>
      </c>
    </row>
    <row r="626" spans="1:2" x14ac:dyDescent="0.25">
      <c r="A626" t="s">
        <v>10</v>
      </c>
      <c r="B626" t="s">
        <v>27</v>
      </c>
    </row>
    <row r="627" spans="1:2" x14ac:dyDescent="0.25">
      <c r="A627" t="s">
        <v>9</v>
      </c>
      <c r="B627" t="s">
        <v>26</v>
      </c>
    </row>
    <row r="628" spans="1:2" x14ac:dyDescent="0.25">
      <c r="A628" t="s">
        <v>9</v>
      </c>
      <c r="B628" t="s">
        <v>28</v>
      </c>
    </row>
    <row r="629" spans="1:2" x14ac:dyDescent="0.25">
      <c r="A629" t="s">
        <v>9</v>
      </c>
      <c r="B629" t="s">
        <v>26</v>
      </c>
    </row>
    <row r="630" spans="1:2" x14ac:dyDescent="0.25">
      <c r="A630" t="s">
        <v>9</v>
      </c>
      <c r="B630" t="s">
        <v>28</v>
      </c>
    </row>
    <row r="631" spans="1:2" x14ac:dyDescent="0.25">
      <c r="A631" t="s">
        <v>9</v>
      </c>
      <c r="B631" t="s">
        <v>27</v>
      </c>
    </row>
    <row r="632" spans="1:2" x14ac:dyDescent="0.25">
      <c r="A632" t="s">
        <v>9</v>
      </c>
      <c r="B632" t="s">
        <v>28</v>
      </c>
    </row>
    <row r="633" spans="1:2" x14ac:dyDescent="0.25">
      <c r="A633" t="s">
        <v>9</v>
      </c>
      <c r="B633" t="s">
        <v>27</v>
      </c>
    </row>
    <row r="634" spans="1:2" x14ac:dyDescent="0.25">
      <c r="A634" t="s">
        <v>9</v>
      </c>
      <c r="B634" t="s">
        <v>27</v>
      </c>
    </row>
    <row r="635" spans="1:2" x14ac:dyDescent="0.25">
      <c r="A635" t="s">
        <v>9</v>
      </c>
      <c r="B635" t="s">
        <v>26</v>
      </c>
    </row>
    <row r="636" spans="1:2" x14ac:dyDescent="0.25">
      <c r="A636" t="s">
        <v>9</v>
      </c>
      <c r="B636" t="s">
        <v>28</v>
      </c>
    </row>
    <row r="637" spans="1:2" x14ac:dyDescent="0.25">
      <c r="A637" t="s">
        <v>9</v>
      </c>
      <c r="B637" t="s">
        <v>28</v>
      </c>
    </row>
    <row r="638" spans="1:2" x14ac:dyDescent="0.25">
      <c r="A638" t="s">
        <v>9</v>
      </c>
      <c r="B638" t="s">
        <v>28</v>
      </c>
    </row>
    <row r="639" spans="1:2" x14ac:dyDescent="0.25">
      <c r="A639" t="s">
        <v>9</v>
      </c>
      <c r="B639" t="s">
        <v>26</v>
      </c>
    </row>
    <row r="640" spans="1:2" x14ac:dyDescent="0.25">
      <c r="A640" t="s">
        <v>9</v>
      </c>
      <c r="B640" t="s">
        <v>28</v>
      </c>
    </row>
    <row r="641" spans="1:2" x14ac:dyDescent="0.25">
      <c r="A641" t="s">
        <v>10</v>
      </c>
      <c r="B641" t="s">
        <v>26</v>
      </c>
    </row>
    <row r="642" spans="1:2" x14ac:dyDescent="0.25">
      <c r="A642" t="s">
        <v>9</v>
      </c>
      <c r="B642" t="s">
        <v>26</v>
      </c>
    </row>
    <row r="643" spans="1:2" x14ac:dyDescent="0.25">
      <c r="A643" t="s">
        <v>9</v>
      </c>
      <c r="B643" t="s">
        <v>26</v>
      </c>
    </row>
    <row r="644" spans="1:2" x14ac:dyDescent="0.25">
      <c r="A644" t="s">
        <v>9</v>
      </c>
      <c r="B644" t="s">
        <v>27</v>
      </c>
    </row>
    <row r="645" spans="1:2" x14ac:dyDescent="0.25">
      <c r="A645" t="s">
        <v>10</v>
      </c>
      <c r="B645" t="s">
        <v>28</v>
      </c>
    </row>
    <row r="646" spans="1:2" x14ac:dyDescent="0.25">
      <c r="A646" t="s">
        <v>10</v>
      </c>
      <c r="B646" t="s">
        <v>26</v>
      </c>
    </row>
    <row r="647" spans="1:2" x14ac:dyDescent="0.25">
      <c r="A647" t="s">
        <v>9</v>
      </c>
      <c r="B647" t="s">
        <v>28</v>
      </c>
    </row>
    <row r="648" spans="1:2" x14ac:dyDescent="0.25">
      <c r="A648" t="s">
        <v>10</v>
      </c>
      <c r="B648" t="s">
        <v>27</v>
      </c>
    </row>
    <row r="649" spans="1:2" x14ac:dyDescent="0.25">
      <c r="A649" t="s">
        <v>9</v>
      </c>
      <c r="B649" t="s">
        <v>28</v>
      </c>
    </row>
    <row r="650" spans="1:2" x14ac:dyDescent="0.25">
      <c r="A650" t="s">
        <v>9</v>
      </c>
      <c r="B650" t="s">
        <v>27</v>
      </c>
    </row>
    <row r="651" spans="1:2" x14ac:dyDescent="0.25">
      <c r="A651" t="s">
        <v>10</v>
      </c>
      <c r="B651" t="s">
        <v>27</v>
      </c>
    </row>
    <row r="652" spans="1:2" x14ac:dyDescent="0.25">
      <c r="A652" t="s">
        <v>9</v>
      </c>
      <c r="B652" t="s">
        <v>27</v>
      </c>
    </row>
    <row r="653" spans="1:2" x14ac:dyDescent="0.25">
      <c r="A653" t="s">
        <v>9</v>
      </c>
      <c r="B653" t="s">
        <v>26</v>
      </c>
    </row>
    <row r="654" spans="1:2" x14ac:dyDescent="0.25">
      <c r="A654" t="s">
        <v>9</v>
      </c>
      <c r="B654" t="s">
        <v>27</v>
      </c>
    </row>
    <row r="655" spans="1:2" x14ac:dyDescent="0.25">
      <c r="A655" t="s">
        <v>9</v>
      </c>
      <c r="B655" t="s">
        <v>28</v>
      </c>
    </row>
    <row r="656" spans="1:2" x14ac:dyDescent="0.25">
      <c r="A656" t="s">
        <v>10</v>
      </c>
      <c r="B656" t="s">
        <v>27</v>
      </c>
    </row>
    <row r="657" spans="1:2" x14ac:dyDescent="0.25">
      <c r="A657" t="s">
        <v>9</v>
      </c>
      <c r="B657" t="s">
        <v>28</v>
      </c>
    </row>
    <row r="658" spans="1:2" x14ac:dyDescent="0.25">
      <c r="A658" t="s">
        <v>9</v>
      </c>
      <c r="B658" t="s">
        <v>28</v>
      </c>
    </row>
    <row r="659" spans="1:2" x14ac:dyDescent="0.25">
      <c r="A659" t="s">
        <v>9</v>
      </c>
      <c r="B659" t="s">
        <v>26</v>
      </c>
    </row>
    <row r="660" spans="1:2" x14ac:dyDescent="0.25">
      <c r="A660" t="s">
        <v>9</v>
      </c>
      <c r="B660" t="s">
        <v>27</v>
      </c>
    </row>
    <row r="661" spans="1:2" x14ac:dyDescent="0.25">
      <c r="A661" t="s">
        <v>9</v>
      </c>
      <c r="B661" t="s">
        <v>27</v>
      </c>
    </row>
    <row r="662" spans="1:2" x14ac:dyDescent="0.25">
      <c r="A662" t="s">
        <v>9</v>
      </c>
      <c r="B662" t="s">
        <v>28</v>
      </c>
    </row>
    <row r="663" spans="1:2" x14ac:dyDescent="0.25">
      <c r="A663" t="s">
        <v>9</v>
      </c>
      <c r="B663" t="s">
        <v>26</v>
      </c>
    </row>
    <row r="664" spans="1:2" x14ac:dyDescent="0.25">
      <c r="A664" t="s">
        <v>9</v>
      </c>
      <c r="B664" t="s">
        <v>26</v>
      </c>
    </row>
    <row r="665" spans="1:2" x14ac:dyDescent="0.25">
      <c r="A665" t="s">
        <v>9</v>
      </c>
      <c r="B665" t="s">
        <v>26</v>
      </c>
    </row>
    <row r="666" spans="1:2" x14ac:dyDescent="0.25">
      <c r="A666" t="s">
        <v>9</v>
      </c>
      <c r="B666" t="s">
        <v>27</v>
      </c>
    </row>
    <row r="667" spans="1:2" x14ac:dyDescent="0.25">
      <c r="A667" t="s">
        <v>9</v>
      </c>
      <c r="B667" t="s">
        <v>27</v>
      </c>
    </row>
    <row r="668" spans="1:2" x14ac:dyDescent="0.25">
      <c r="A668" t="s">
        <v>9</v>
      </c>
      <c r="B668" t="s">
        <v>28</v>
      </c>
    </row>
    <row r="669" spans="1:2" x14ac:dyDescent="0.25">
      <c r="A669" t="s">
        <v>10</v>
      </c>
      <c r="B669" t="s">
        <v>26</v>
      </c>
    </row>
    <row r="670" spans="1:2" x14ac:dyDescent="0.25">
      <c r="A670" t="s">
        <v>10</v>
      </c>
      <c r="B670" t="s">
        <v>28</v>
      </c>
    </row>
    <row r="671" spans="1:2" x14ac:dyDescent="0.25">
      <c r="A671" t="s">
        <v>9</v>
      </c>
      <c r="B671" t="s">
        <v>28</v>
      </c>
    </row>
    <row r="672" spans="1:2" x14ac:dyDescent="0.25">
      <c r="A672" t="s">
        <v>9</v>
      </c>
      <c r="B672" t="s">
        <v>27</v>
      </c>
    </row>
    <row r="673" spans="1:2" x14ac:dyDescent="0.25">
      <c r="A673" t="s">
        <v>9</v>
      </c>
      <c r="B673" t="s">
        <v>26</v>
      </c>
    </row>
    <row r="674" spans="1:2" x14ac:dyDescent="0.25">
      <c r="A674" t="s">
        <v>9</v>
      </c>
      <c r="B674" t="s">
        <v>27</v>
      </c>
    </row>
    <row r="675" spans="1:2" x14ac:dyDescent="0.25">
      <c r="A675" t="s">
        <v>10</v>
      </c>
      <c r="B675" t="s">
        <v>26</v>
      </c>
    </row>
    <row r="676" spans="1:2" x14ac:dyDescent="0.25">
      <c r="A676" t="s">
        <v>9</v>
      </c>
      <c r="B676" t="s">
        <v>28</v>
      </c>
    </row>
    <row r="677" spans="1:2" x14ac:dyDescent="0.25">
      <c r="A677" t="s">
        <v>9</v>
      </c>
      <c r="B677" t="s">
        <v>28</v>
      </c>
    </row>
    <row r="678" spans="1:2" x14ac:dyDescent="0.25">
      <c r="A678" t="s">
        <v>9</v>
      </c>
      <c r="B678" t="s">
        <v>28</v>
      </c>
    </row>
    <row r="679" spans="1:2" x14ac:dyDescent="0.25">
      <c r="A679" t="s">
        <v>9</v>
      </c>
      <c r="B679" t="s">
        <v>28</v>
      </c>
    </row>
    <row r="680" spans="1:2" x14ac:dyDescent="0.25">
      <c r="A680" t="s">
        <v>9</v>
      </c>
      <c r="B680" t="s">
        <v>26</v>
      </c>
    </row>
    <row r="681" spans="1:2" x14ac:dyDescent="0.25">
      <c r="A681" t="s">
        <v>9</v>
      </c>
      <c r="B681" t="s">
        <v>28</v>
      </c>
    </row>
    <row r="682" spans="1:2" x14ac:dyDescent="0.25">
      <c r="A682" t="s">
        <v>9</v>
      </c>
      <c r="B682" t="s">
        <v>28</v>
      </c>
    </row>
    <row r="683" spans="1:2" x14ac:dyDescent="0.25">
      <c r="A683" t="s">
        <v>9</v>
      </c>
      <c r="B683" t="s">
        <v>28</v>
      </c>
    </row>
    <row r="684" spans="1:2" x14ac:dyDescent="0.25">
      <c r="A684" t="s">
        <v>9</v>
      </c>
      <c r="B684" t="s">
        <v>28</v>
      </c>
    </row>
    <row r="685" spans="1:2" x14ac:dyDescent="0.25">
      <c r="A685" t="s">
        <v>9</v>
      </c>
      <c r="B685" t="s">
        <v>26</v>
      </c>
    </row>
    <row r="686" spans="1:2" x14ac:dyDescent="0.25">
      <c r="A686" t="s">
        <v>9</v>
      </c>
      <c r="B686" t="s">
        <v>28</v>
      </c>
    </row>
    <row r="687" spans="1:2" x14ac:dyDescent="0.25">
      <c r="A687" t="s">
        <v>9</v>
      </c>
      <c r="B687" t="s">
        <v>26</v>
      </c>
    </row>
    <row r="688" spans="1:2" x14ac:dyDescent="0.25">
      <c r="A688" t="s">
        <v>10</v>
      </c>
      <c r="B688" t="s">
        <v>27</v>
      </c>
    </row>
    <row r="689" spans="1:2" x14ac:dyDescent="0.25">
      <c r="A689" t="s">
        <v>9</v>
      </c>
      <c r="B689" t="s">
        <v>28</v>
      </c>
    </row>
    <row r="690" spans="1:2" x14ac:dyDescent="0.25">
      <c r="A690" t="s">
        <v>10</v>
      </c>
      <c r="B690" t="s">
        <v>27</v>
      </c>
    </row>
    <row r="691" spans="1:2" x14ac:dyDescent="0.25">
      <c r="A691" t="s">
        <v>9</v>
      </c>
      <c r="B691" t="s">
        <v>26</v>
      </c>
    </row>
    <row r="692" spans="1:2" x14ac:dyDescent="0.25">
      <c r="A692" t="s">
        <v>9</v>
      </c>
      <c r="B692" t="s">
        <v>28</v>
      </c>
    </row>
    <row r="693" spans="1:2" x14ac:dyDescent="0.25">
      <c r="A693" t="s">
        <v>10</v>
      </c>
      <c r="B693" t="s">
        <v>28</v>
      </c>
    </row>
    <row r="694" spans="1:2" x14ac:dyDescent="0.25">
      <c r="A694" t="s">
        <v>9</v>
      </c>
      <c r="B694" t="s">
        <v>27</v>
      </c>
    </row>
    <row r="695" spans="1:2" x14ac:dyDescent="0.25">
      <c r="A695" t="s">
        <v>10</v>
      </c>
      <c r="B695" t="s">
        <v>27</v>
      </c>
    </row>
    <row r="696" spans="1:2" x14ac:dyDescent="0.25">
      <c r="A696" t="s">
        <v>9</v>
      </c>
      <c r="B696" t="s">
        <v>26</v>
      </c>
    </row>
    <row r="697" spans="1:2" x14ac:dyDescent="0.25">
      <c r="A697" t="s">
        <v>9</v>
      </c>
      <c r="B697" t="s">
        <v>27</v>
      </c>
    </row>
    <row r="698" spans="1:2" x14ac:dyDescent="0.25">
      <c r="A698" t="s">
        <v>9</v>
      </c>
      <c r="B698" t="s">
        <v>28</v>
      </c>
    </row>
    <row r="699" spans="1:2" x14ac:dyDescent="0.25">
      <c r="A699" t="s">
        <v>9</v>
      </c>
      <c r="B699" t="s">
        <v>27</v>
      </c>
    </row>
    <row r="700" spans="1:2" x14ac:dyDescent="0.25">
      <c r="A700" t="s">
        <v>10</v>
      </c>
      <c r="B700" t="s">
        <v>27</v>
      </c>
    </row>
    <row r="701" spans="1:2" x14ac:dyDescent="0.25">
      <c r="A701" t="s">
        <v>9</v>
      </c>
      <c r="B701" t="s">
        <v>28</v>
      </c>
    </row>
    <row r="702" spans="1:2" x14ac:dyDescent="0.25">
      <c r="A702" t="s">
        <v>9</v>
      </c>
      <c r="B702" t="s">
        <v>28</v>
      </c>
    </row>
    <row r="703" spans="1:2" x14ac:dyDescent="0.25">
      <c r="A703" t="s">
        <v>9</v>
      </c>
      <c r="B703" t="s">
        <v>28</v>
      </c>
    </row>
    <row r="704" spans="1:2" x14ac:dyDescent="0.25">
      <c r="A704" t="s">
        <v>9</v>
      </c>
      <c r="B704" t="s">
        <v>28</v>
      </c>
    </row>
    <row r="705" spans="1:2" x14ac:dyDescent="0.25">
      <c r="A705" t="s">
        <v>10</v>
      </c>
      <c r="B705" t="s">
        <v>28</v>
      </c>
    </row>
    <row r="706" spans="1:2" x14ac:dyDescent="0.25">
      <c r="A706" t="s">
        <v>9</v>
      </c>
      <c r="B706" t="s">
        <v>28</v>
      </c>
    </row>
    <row r="707" spans="1:2" x14ac:dyDescent="0.25">
      <c r="A707" t="s">
        <v>9</v>
      </c>
      <c r="B707" t="s">
        <v>27</v>
      </c>
    </row>
    <row r="708" spans="1:2" x14ac:dyDescent="0.25">
      <c r="A708" t="s">
        <v>9</v>
      </c>
      <c r="B708" t="s">
        <v>28</v>
      </c>
    </row>
    <row r="709" spans="1:2" x14ac:dyDescent="0.25">
      <c r="A709" t="s">
        <v>9</v>
      </c>
      <c r="B709" t="s">
        <v>27</v>
      </c>
    </row>
    <row r="710" spans="1:2" x14ac:dyDescent="0.25">
      <c r="A710" t="s">
        <v>9</v>
      </c>
      <c r="B710" t="s">
        <v>28</v>
      </c>
    </row>
    <row r="711" spans="1:2" x14ac:dyDescent="0.25">
      <c r="A711" t="s">
        <v>9</v>
      </c>
      <c r="B711" t="s">
        <v>26</v>
      </c>
    </row>
    <row r="712" spans="1:2" x14ac:dyDescent="0.25">
      <c r="A712" t="s">
        <v>9</v>
      </c>
      <c r="B712" t="s">
        <v>28</v>
      </c>
    </row>
    <row r="713" spans="1:2" x14ac:dyDescent="0.25">
      <c r="A713" t="s">
        <v>9</v>
      </c>
      <c r="B713" t="s">
        <v>26</v>
      </c>
    </row>
    <row r="714" spans="1:2" x14ac:dyDescent="0.25">
      <c r="A714" t="s">
        <v>9</v>
      </c>
      <c r="B714" t="s">
        <v>27</v>
      </c>
    </row>
    <row r="715" spans="1:2" x14ac:dyDescent="0.25">
      <c r="A715" t="s">
        <v>9</v>
      </c>
      <c r="B715" t="s">
        <v>28</v>
      </c>
    </row>
    <row r="716" spans="1:2" x14ac:dyDescent="0.25">
      <c r="A716" t="s">
        <v>9</v>
      </c>
      <c r="B716" t="s">
        <v>27</v>
      </c>
    </row>
    <row r="717" spans="1:2" x14ac:dyDescent="0.25">
      <c r="A717" t="s">
        <v>10</v>
      </c>
      <c r="B717" t="s">
        <v>28</v>
      </c>
    </row>
    <row r="718" spans="1:2" x14ac:dyDescent="0.25">
      <c r="A718" t="s">
        <v>9</v>
      </c>
      <c r="B718" t="s">
        <v>28</v>
      </c>
    </row>
    <row r="719" spans="1:2" x14ac:dyDescent="0.25">
      <c r="A719" t="s">
        <v>9</v>
      </c>
      <c r="B719" t="s">
        <v>27</v>
      </c>
    </row>
    <row r="720" spans="1:2" x14ac:dyDescent="0.25">
      <c r="A720" t="s">
        <v>10</v>
      </c>
      <c r="B720" t="s">
        <v>27</v>
      </c>
    </row>
    <row r="721" spans="1:2" x14ac:dyDescent="0.25">
      <c r="A721" t="s">
        <v>9</v>
      </c>
      <c r="B721" t="s">
        <v>26</v>
      </c>
    </row>
    <row r="722" spans="1:2" x14ac:dyDescent="0.25">
      <c r="A722" t="s">
        <v>9</v>
      </c>
      <c r="B722" t="s">
        <v>28</v>
      </c>
    </row>
    <row r="723" spans="1:2" x14ac:dyDescent="0.25">
      <c r="A723" t="s">
        <v>9</v>
      </c>
      <c r="B723" t="s">
        <v>28</v>
      </c>
    </row>
    <row r="724" spans="1:2" x14ac:dyDescent="0.25">
      <c r="A724" t="s">
        <v>9</v>
      </c>
      <c r="B724" t="s">
        <v>26</v>
      </c>
    </row>
    <row r="725" spans="1:2" x14ac:dyDescent="0.25">
      <c r="A725" t="s">
        <v>9</v>
      </c>
      <c r="B725" t="s">
        <v>27</v>
      </c>
    </row>
    <row r="726" spans="1:2" x14ac:dyDescent="0.25">
      <c r="A726" t="s">
        <v>9</v>
      </c>
      <c r="B726" t="s">
        <v>27</v>
      </c>
    </row>
    <row r="727" spans="1:2" x14ac:dyDescent="0.25">
      <c r="A727" t="s">
        <v>9</v>
      </c>
      <c r="B727" t="s">
        <v>28</v>
      </c>
    </row>
    <row r="728" spans="1:2" x14ac:dyDescent="0.25">
      <c r="A728" t="s">
        <v>9</v>
      </c>
      <c r="B728" t="s">
        <v>28</v>
      </c>
    </row>
    <row r="729" spans="1:2" x14ac:dyDescent="0.25">
      <c r="A729" t="s">
        <v>9</v>
      </c>
      <c r="B729" t="s">
        <v>26</v>
      </c>
    </row>
    <row r="730" spans="1:2" x14ac:dyDescent="0.25">
      <c r="A730" t="s">
        <v>10</v>
      </c>
      <c r="B730" t="s">
        <v>27</v>
      </c>
    </row>
    <row r="731" spans="1:2" x14ac:dyDescent="0.25">
      <c r="A731" t="s">
        <v>9</v>
      </c>
      <c r="B731" t="s">
        <v>28</v>
      </c>
    </row>
    <row r="732" spans="1:2" x14ac:dyDescent="0.25">
      <c r="A732" t="s">
        <v>9</v>
      </c>
      <c r="B732" t="s">
        <v>26</v>
      </c>
    </row>
    <row r="733" spans="1:2" x14ac:dyDescent="0.25">
      <c r="A733" t="s">
        <v>10</v>
      </c>
      <c r="B733" t="s">
        <v>28</v>
      </c>
    </row>
    <row r="734" spans="1:2" x14ac:dyDescent="0.25">
      <c r="A734" t="s">
        <v>10</v>
      </c>
      <c r="B734" t="s">
        <v>28</v>
      </c>
    </row>
    <row r="735" spans="1:2" x14ac:dyDescent="0.25">
      <c r="A735" t="s">
        <v>10</v>
      </c>
      <c r="B735" t="s">
        <v>28</v>
      </c>
    </row>
    <row r="736" spans="1:2" x14ac:dyDescent="0.25">
      <c r="A736" t="s">
        <v>9</v>
      </c>
      <c r="B736" t="s">
        <v>27</v>
      </c>
    </row>
    <row r="737" spans="1:2" x14ac:dyDescent="0.25">
      <c r="A737" t="s">
        <v>9</v>
      </c>
      <c r="B737" t="s">
        <v>27</v>
      </c>
    </row>
    <row r="738" spans="1:2" x14ac:dyDescent="0.25">
      <c r="A738" t="s">
        <v>9</v>
      </c>
      <c r="B738" t="s">
        <v>28</v>
      </c>
    </row>
    <row r="739" spans="1:2" x14ac:dyDescent="0.25">
      <c r="A739" t="s">
        <v>9</v>
      </c>
      <c r="B739" t="s">
        <v>27</v>
      </c>
    </row>
    <row r="740" spans="1:2" x14ac:dyDescent="0.25">
      <c r="A740" t="s">
        <v>9</v>
      </c>
      <c r="B740" t="s">
        <v>28</v>
      </c>
    </row>
    <row r="741" spans="1:2" x14ac:dyDescent="0.25">
      <c r="A741" t="s">
        <v>9</v>
      </c>
      <c r="B741" t="s">
        <v>27</v>
      </c>
    </row>
    <row r="742" spans="1:2" x14ac:dyDescent="0.25">
      <c r="A742" t="s">
        <v>9</v>
      </c>
      <c r="B742" t="s">
        <v>28</v>
      </c>
    </row>
    <row r="743" spans="1:2" x14ac:dyDescent="0.25">
      <c r="A743" t="s">
        <v>9</v>
      </c>
      <c r="B743" t="s">
        <v>26</v>
      </c>
    </row>
    <row r="744" spans="1:2" x14ac:dyDescent="0.25">
      <c r="A744" t="s">
        <v>9</v>
      </c>
      <c r="B744" t="s">
        <v>28</v>
      </c>
    </row>
    <row r="745" spans="1:2" x14ac:dyDescent="0.25">
      <c r="A745" t="s">
        <v>9</v>
      </c>
      <c r="B745" t="s">
        <v>27</v>
      </c>
    </row>
    <row r="746" spans="1:2" x14ac:dyDescent="0.25">
      <c r="A746" t="s">
        <v>9</v>
      </c>
      <c r="B746" t="s">
        <v>26</v>
      </c>
    </row>
    <row r="747" spans="1:2" x14ac:dyDescent="0.25">
      <c r="A747" t="s">
        <v>9</v>
      </c>
      <c r="B747" t="s">
        <v>26</v>
      </c>
    </row>
    <row r="748" spans="1:2" x14ac:dyDescent="0.25">
      <c r="A748" t="s">
        <v>10</v>
      </c>
      <c r="B748" t="s">
        <v>26</v>
      </c>
    </row>
    <row r="749" spans="1:2" x14ac:dyDescent="0.25">
      <c r="A749" t="s">
        <v>9</v>
      </c>
      <c r="B749" t="s">
        <v>27</v>
      </c>
    </row>
    <row r="750" spans="1:2" x14ac:dyDescent="0.25">
      <c r="A750" t="s">
        <v>9</v>
      </c>
      <c r="B750" t="s">
        <v>26</v>
      </c>
    </row>
    <row r="751" spans="1:2" x14ac:dyDescent="0.25">
      <c r="A751" t="s">
        <v>9</v>
      </c>
      <c r="B751" t="s">
        <v>27</v>
      </c>
    </row>
    <row r="752" spans="1:2" x14ac:dyDescent="0.25">
      <c r="A752" t="s">
        <v>10</v>
      </c>
      <c r="B752" t="s">
        <v>27</v>
      </c>
    </row>
    <row r="753" spans="1:2" x14ac:dyDescent="0.25">
      <c r="A753" t="s">
        <v>10</v>
      </c>
      <c r="B753" t="s">
        <v>27</v>
      </c>
    </row>
    <row r="754" spans="1:2" x14ac:dyDescent="0.25">
      <c r="A754" t="s">
        <v>9</v>
      </c>
      <c r="B754" t="s">
        <v>28</v>
      </c>
    </row>
    <row r="755" spans="1:2" x14ac:dyDescent="0.25">
      <c r="A755" t="s">
        <v>10</v>
      </c>
      <c r="B755" t="s">
        <v>28</v>
      </c>
    </row>
    <row r="756" spans="1:2" x14ac:dyDescent="0.25">
      <c r="A756" t="s">
        <v>9</v>
      </c>
      <c r="B756" t="s">
        <v>28</v>
      </c>
    </row>
    <row r="757" spans="1:2" x14ac:dyDescent="0.25">
      <c r="A757" t="s">
        <v>9</v>
      </c>
      <c r="B757" t="s">
        <v>27</v>
      </c>
    </row>
    <row r="758" spans="1:2" x14ac:dyDescent="0.25">
      <c r="A758" t="s">
        <v>9</v>
      </c>
      <c r="B758" t="s">
        <v>28</v>
      </c>
    </row>
    <row r="759" spans="1:2" x14ac:dyDescent="0.25">
      <c r="A759" t="s">
        <v>9</v>
      </c>
      <c r="B759" t="s">
        <v>28</v>
      </c>
    </row>
    <row r="760" spans="1:2" x14ac:dyDescent="0.25">
      <c r="A760" t="s">
        <v>9</v>
      </c>
      <c r="B760" t="s">
        <v>28</v>
      </c>
    </row>
    <row r="761" spans="1:2" x14ac:dyDescent="0.25">
      <c r="A761" t="s">
        <v>10</v>
      </c>
      <c r="B761" t="s">
        <v>27</v>
      </c>
    </row>
    <row r="762" spans="1:2" x14ac:dyDescent="0.25">
      <c r="A762" t="s">
        <v>10</v>
      </c>
      <c r="B762" t="s">
        <v>27</v>
      </c>
    </row>
    <row r="763" spans="1:2" x14ac:dyDescent="0.25">
      <c r="A763" t="s">
        <v>9</v>
      </c>
      <c r="B763" t="s">
        <v>28</v>
      </c>
    </row>
    <row r="764" spans="1:2" x14ac:dyDescent="0.25">
      <c r="A764" t="s">
        <v>9</v>
      </c>
      <c r="B764" t="s">
        <v>27</v>
      </c>
    </row>
    <row r="765" spans="1:2" x14ac:dyDescent="0.25">
      <c r="A765" t="s">
        <v>9</v>
      </c>
      <c r="B765" t="s">
        <v>28</v>
      </c>
    </row>
    <row r="766" spans="1:2" x14ac:dyDescent="0.25">
      <c r="A766" t="s">
        <v>9</v>
      </c>
      <c r="B766" t="s">
        <v>28</v>
      </c>
    </row>
    <row r="767" spans="1:2" x14ac:dyDescent="0.25">
      <c r="A767" t="s">
        <v>9</v>
      </c>
      <c r="B767" t="s">
        <v>27</v>
      </c>
    </row>
    <row r="768" spans="1:2" x14ac:dyDescent="0.25">
      <c r="A768" t="s">
        <v>9</v>
      </c>
      <c r="B768" t="s">
        <v>28</v>
      </c>
    </row>
    <row r="769" spans="1:2" x14ac:dyDescent="0.25">
      <c r="A769" t="s">
        <v>9</v>
      </c>
      <c r="B769" t="s">
        <v>26</v>
      </c>
    </row>
    <row r="770" spans="1:2" x14ac:dyDescent="0.25">
      <c r="A770" t="s">
        <v>9</v>
      </c>
      <c r="B770" t="s">
        <v>26</v>
      </c>
    </row>
    <row r="771" spans="1:2" x14ac:dyDescent="0.25">
      <c r="A771" t="s">
        <v>9</v>
      </c>
      <c r="B771" t="s">
        <v>28</v>
      </c>
    </row>
    <row r="772" spans="1:2" x14ac:dyDescent="0.25">
      <c r="A772" t="s">
        <v>9</v>
      </c>
      <c r="B772" t="s">
        <v>27</v>
      </c>
    </row>
    <row r="773" spans="1:2" x14ac:dyDescent="0.25">
      <c r="A773" t="s">
        <v>9</v>
      </c>
      <c r="B773" t="s">
        <v>26</v>
      </c>
    </row>
    <row r="774" spans="1:2" x14ac:dyDescent="0.25">
      <c r="A774" t="s">
        <v>9</v>
      </c>
      <c r="B774" t="s">
        <v>27</v>
      </c>
    </row>
    <row r="775" spans="1:2" x14ac:dyDescent="0.25">
      <c r="A775" t="s">
        <v>10</v>
      </c>
      <c r="B775" t="s">
        <v>28</v>
      </c>
    </row>
    <row r="776" spans="1:2" x14ac:dyDescent="0.25">
      <c r="A776" t="s">
        <v>9</v>
      </c>
      <c r="B776" t="s">
        <v>28</v>
      </c>
    </row>
    <row r="777" spans="1:2" x14ac:dyDescent="0.25">
      <c r="A777" t="s">
        <v>9</v>
      </c>
      <c r="B777" t="s">
        <v>27</v>
      </c>
    </row>
    <row r="778" spans="1:2" x14ac:dyDescent="0.25">
      <c r="A778" t="s">
        <v>9</v>
      </c>
      <c r="B778" t="s">
        <v>26</v>
      </c>
    </row>
    <row r="779" spans="1:2" x14ac:dyDescent="0.25">
      <c r="A779" t="s">
        <v>9</v>
      </c>
      <c r="B779" t="s">
        <v>26</v>
      </c>
    </row>
    <row r="780" spans="1:2" x14ac:dyDescent="0.25">
      <c r="A780" t="s">
        <v>9</v>
      </c>
      <c r="B780" t="s">
        <v>27</v>
      </c>
    </row>
    <row r="781" spans="1:2" x14ac:dyDescent="0.25">
      <c r="A781" t="s">
        <v>10</v>
      </c>
      <c r="B781" t="s">
        <v>28</v>
      </c>
    </row>
    <row r="782" spans="1:2" x14ac:dyDescent="0.25">
      <c r="A782" t="s">
        <v>10</v>
      </c>
      <c r="B782" t="s">
        <v>27</v>
      </c>
    </row>
    <row r="783" spans="1:2" x14ac:dyDescent="0.25">
      <c r="A783" t="s">
        <v>9</v>
      </c>
      <c r="B783" t="s">
        <v>27</v>
      </c>
    </row>
    <row r="784" spans="1:2" x14ac:dyDescent="0.25">
      <c r="A784" t="s">
        <v>9</v>
      </c>
      <c r="B784" t="s">
        <v>26</v>
      </c>
    </row>
    <row r="785" spans="1:2" x14ac:dyDescent="0.25">
      <c r="A785" t="s">
        <v>9</v>
      </c>
      <c r="B785" t="s">
        <v>28</v>
      </c>
    </row>
    <row r="786" spans="1:2" x14ac:dyDescent="0.25">
      <c r="A786" t="s">
        <v>9</v>
      </c>
      <c r="B786" t="s">
        <v>28</v>
      </c>
    </row>
    <row r="787" spans="1:2" x14ac:dyDescent="0.25">
      <c r="A787" t="s">
        <v>9</v>
      </c>
      <c r="B787" t="s">
        <v>27</v>
      </c>
    </row>
    <row r="788" spans="1:2" x14ac:dyDescent="0.25">
      <c r="A788" t="s">
        <v>9</v>
      </c>
      <c r="B788" t="s">
        <v>28</v>
      </c>
    </row>
    <row r="789" spans="1:2" x14ac:dyDescent="0.25">
      <c r="A789" t="s">
        <v>10</v>
      </c>
      <c r="B789" t="s">
        <v>28</v>
      </c>
    </row>
    <row r="790" spans="1:2" x14ac:dyDescent="0.25">
      <c r="A790" t="s">
        <v>9</v>
      </c>
      <c r="B790" t="s">
        <v>28</v>
      </c>
    </row>
    <row r="791" spans="1:2" x14ac:dyDescent="0.25">
      <c r="A791" t="s">
        <v>9</v>
      </c>
      <c r="B791" t="s">
        <v>27</v>
      </c>
    </row>
    <row r="792" spans="1:2" x14ac:dyDescent="0.25">
      <c r="A792" t="s">
        <v>9</v>
      </c>
      <c r="B792" t="s">
        <v>28</v>
      </c>
    </row>
    <row r="793" spans="1:2" x14ac:dyDescent="0.25">
      <c r="A793" t="s">
        <v>9</v>
      </c>
      <c r="B793" t="s">
        <v>27</v>
      </c>
    </row>
    <row r="794" spans="1:2" x14ac:dyDescent="0.25">
      <c r="A794" t="s">
        <v>9</v>
      </c>
      <c r="B794" t="s">
        <v>28</v>
      </c>
    </row>
    <row r="795" spans="1:2" x14ac:dyDescent="0.25">
      <c r="A795" t="s">
        <v>9</v>
      </c>
      <c r="B795" t="s">
        <v>26</v>
      </c>
    </row>
    <row r="796" spans="1:2" x14ac:dyDescent="0.25">
      <c r="A796" t="s">
        <v>9</v>
      </c>
      <c r="B796" t="s">
        <v>26</v>
      </c>
    </row>
    <row r="797" spans="1:2" x14ac:dyDescent="0.25">
      <c r="A797" t="s">
        <v>10</v>
      </c>
      <c r="B797" t="s">
        <v>27</v>
      </c>
    </row>
    <row r="798" spans="1:2" x14ac:dyDescent="0.25">
      <c r="A798" t="s">
        <v>9</v>
      </c>
      <c r="B798" t="s">
        <v>28</v>
      </c>
    </row>
    <row r="799" spans="1:2" x14ac:dyDescent="0.25">
      <c r="A799" t="s">
        <v>10</v>
      </c>
      <c r="B799" t="s">
        <v>28</v>
      </c>
    </row>
    <row r="800" spans="1:2" x14ac:dyDescent="0.25">
      <c r="A800" t="s">
        <v>10</v>
      </c>
      <c r="B800" t="s">
        <v>27</v>
      </c>
    </row>
    <row r="801" spans="1:2" x14ac:dyDescent="0.25">
      <c r="A801" t="s">
        <v>9</v>
      </c>
      <c r="B801" t="s">
        <v>26</v>
      </c>
    </row>
    <row r="802" spans="1:2" x14ac:dyDescent="0.25">
      <c r="A802" t="s">
        <v>9</v>
      </c>
      <c r="B802" t="s">
        <v>28</v>
      </c>
    </row>
    <row r="803" spans="1:2" x14ac:dyDescent="0.25">
      <c r="A803" t="s">
        <v>9</v>
      </c>
      <c r="B803" t="s">
        <v>27</v>
      </c>
    </row>
    <row r="804" spans="1:2" x14ac:dyDescent="0.25">
      <c r="A804" t="s">
        <v>9</v>
      </c>
      <c r="B804" t="s">
        <v>28</v>
      </c>
    </row>
    <row r="805" spans="1:2" x14ac:dyDescent="0.25">
      <c r="A805" t="s">
        <v>10</v>
      </c>
      <c r="B805" t="s">
        <v>27</v>
      </c>
    </row>
    <row r="806" spans="1:2" x14ac:dyDescent="0.25">
      <c r="A806" t="s">
        <v>9</v>
      </c>
      <c r="B806" t="s">
        <v>28</v>
      </c>
    </row>
    <row r="807" spans="1:2" x14ac:dyDescent="0.25">
      <c r="A807" t="s">
        <v>9</v>
      </c>
      <c r="B807" t="s">
        <v>28</v>
      </c>
    </row>
    <row r="808" spans="1:2" x14ac:dyDescent="0.25">
      <c r="A808" t="s">
        <v>9</v>
      </c>
      <c r="B808" t="s">
        <v>28</v>
      </c>
    </row>
    <row r="809" spans="1:2" x14ac:dyDescent="0.25">
      <c r="A809" t="s">
        <v>9</v>
      </c>
      <c r="B809" t="s">
        <v>28</v>
      </c>
    </row>
    <row r="810" spans="1:2" x14ac:dyDescent="0.25">
      <c r="A810" t="s">
        <v>9</v>
      </c>
      <c r="B810" t="s">
        <v>28</v>
      </c>
    </row>
    <row r="811" spans="1:2" x14ac:dyDescent="0.25">
      <c r="A811" t="s">
        <v>9</v>
      </c>
      <c r="B811" t="s">
        <v>28</v>
      </c>
    </row>
    <row r="812" spans="1:2" x14ac:dyDescent="0.25">
      <c r="A812" t="s">
        <v>9</v>
      </c>
      <c r="B812" t="s">
        <v>26</v>
      </c>
    </row>
    <row r="813" spans="1:2" x14ac:dyDescent="0.25">
      <c r="A813" t="s">
        <v>9</v>
      </c>
      <c r="B813" t="s">
        <v>28</v>
      </c>
    </row>
    <row r="814" spans="1:2" x14ac:dyDescent="0.25">
      <c r="A814" t="s">
        <v>9</v>
      </c>
      <c r="B814" t="s">
        <v>26</v>
      </c>
    </row>
    <row r="815" spans="1:2" x14ac:dyDescent="0.25">
      <c r="A815" t="s">
        <v>9</v>
      </c>
      <c r="B815" t="s">
        <v>28</v>
      </c>
    </row>
    <row r="816" spans="1:2" x14ac:dyDescent="0.25">
      <c r="A816" t="s">
        <v>9</v>
      </c>
      <c r="B816" t="s">
        <v>28</v>
      </c>
    </row>
    <row r="817" spans="1:2" x14ac:dyDescent="0.25">
      <c r="A817" t="s">
        <v>9</v>
      </c>
      <c r="B817" t="s">
        <v>28</v>
      </c>
    </row>
    <row r="818" spans="1:2" x14ac:dyDescent="0.25">
      <c r="A818" t="s">
        <v>9</v>
      </c>
      <c r="B818" t="s">
        <v>27</v>
      </c>
    </row>
    <row r="819" spans="1:2" x14ac:dyDescent="0.25">
      <c r="A819" t="s">
        <v>9</v>
      </c>
      <c r="B819" t="s">
        <v>28</v>
      </c>
    </row>
    <row r="820" spans="1:2" x14ac:dyDescent="0.25">
      <c r="A820" t="s">
        <v>9</v>
      </c>
      <c r="B820" t="s">
        <v>27</v>
      </c>
    </row>
    <row r="821" spans="1:2" x14ac:dyDescent="0.25">
      <c r="A821" t="s">
        <v>10</v>
      </c>
      <c r="B821" t="s">
        <v>27</v>
      </c>
    </row>
    <row r="822" spans="1:2" x14ac:dyDescent="0.25">
      <c r="A822" t="s">
        <v>9</v>
      </c>
      <c r="B822" t="s">
        <v>28</v>
      </c>
    </row>
    <row r="823" spans="1:2" x14ac:dyDescent="0.25">
      <c r="A823" t="s">
        <v>9</v>
      </c>
      <c r="B823" t="s">
        <v>26</v>
      </c>
    </row>
    <row r="824" spans="1:2" x14ac:dyDescent="0.25">
      <c r="A824" t="s">
        <v>9</v>
      </c>
      <c r="B824" t="s">
        <v>28</v>
      </c>
    </row>
    <row r="825" spans="1:2" x14ac:dyDescent="0.25">
      <c r="A825" t="s">
        <v>10</v>
      </c>
      <c r="B825" t="s">
        <v>28</v>
      </c>
    </row>
    <row r="826" spans="1:2" x14ac:dyDescent="0.25">
      <c r="A826" t="s">
        <v>9</v>
      </c>
      <c r="B826" t="s">
        <v>28</v>
      </c>
    </row>
    <row r="827" spans="1:2" x14ac:dyDescent="0.25">
      <c r="A827" t="s">
        <v>9</v>
      </c>
      <c r="B827" t="s">
        <v>26</v>
      </c>
    </row>
    <row r="828" spans="1:2" x14ac:dyDescent="0.25">
      <c r="A828" t="s">
        <v>10</v>
      </c>
      <c r="B828" t="s">
        <v>28</v>
      </c>
    </row>
    <row r="829" spans="1:2" x14ac:dyDescent="0.25">
      <c r="A829" t="s">
        <v>9</v>
      </c>
      <c r="B829" t="s">
        <v>27</v>
      </c>
    </row>
    <row r="830" spans="1:2" x14ac:dyDescent="0.25">
      <c r="A830" t="s">
        <v>9</v>
      </c>
      <c r="B830" t="s">
        <v>28</v>
      </c>
    </row>
    <row r="831" spans="1:2" x14ac:dyDescent="0.25">
      <c r="A831" t="s">
        <v>9</v>
      </c>
      <c r="B831" t="s">
        <v>28</v>
      </c>
    </row>
    <row r="832" spans="1:2" x14ac:dyDescent="0.25">
      <c r="A832" t="s">
        <v>9</v>
      </c>
      <c r="B832" t="s">
        <v>28</v>
      </c>
    </row>
    <row r="833" spans="1:2" x14ac:dyDescent="0.25">
      <c r="A833" t="s">
        <v>10</v>
      </c>
      <c r="B833" t="s">
        <v>27</v>
      </c>
    </row>
    <row r="834" spans="1:2" x14ac:dyDescent="0.25">
      <c r="A834" t="s">
        <v>9</v>
      </c>
      <c r="B834" t="s">
        <v>28</v>
      </c>
    </row>
    <row r="835" spans="1:2" x14ac:dyDescent="0.25">
      <c r="A835" t="s">
        <v>9</v>
      </c>
      <c r="B835" t="s">
        <v>27</v>
      </c>
    </row>
    <row r="836" spans="1:2" x14ac:dyDescent="0.25">
      <c r="A836" t="s">
        <v>9</v>
      </c>
      <c r="B836" t="s">
        <v>26</v>
      </c>
    </row>
    <row r="837" spans="1:2" x14ac:dyDescent="0.25">
      <c r="A837" t="s">
        <v>9</v>
      </c>
      <c r="B837" t="s">
        <v>26</v>
      </c>
    </row>
    <row r="838" spans="1:2" x14ac:dyDescent="0.25">
      <c r="A838" t="s">
        <v>9</v>
      </c>
      <c r="B838" t="s">
        <v>28</v>
      </c>
    </row>
    <row r="839" spans="1:2" x14ac:dyDescent="0.25">
      <c r="A839" t="s">
        <v>9</v>
      </c>
      <c r="B839" t="s">
        <v>27</v>
      </c>
    </row>
    <row r="840" spans="1:2" x14ac:dyDescent="0.25">
      <c r="A840" t="s">
        <v>9</v>
      </c>
      <c r="B840" t="s">
        <v>26</v>
      </c>
    </row>
    <row r="841" spans="1:2" x14ac:dyDescent="0.25">
      <c r="A841" t="s">
        <v>9</v>
      </c>
      <c r="B841" t="s">
        <v>28</v>
      </c>
    </row>
    <row r="842" spans="1:2" x14ac:dyDescent="0.25">
      <c r="A842" t="s">
        <v>10</v>
      </c>
      <c r="B842" t="s">
        <v>27</v>
      </c>
    </row>
    <row r="843" spans="1:2" x14ac:dyDescent="0.25">
      <c r="A843" t="s">
        <v>9</v>
      </c>
      <c r="B843" t="s">
        <v>27</v>
      </c>
    </row>
    <row r="844" spans="1:2" x14ac:dyDescent="0.25">
      <c r="A844" t="s">
        <v>9</v>
      </c>
      <c r="B844" t="s">
        <v>28</v>
      </c>
    </row>
    <row r="845" spans="1:2" x14ac:dyDescent="0.25">
      <c r="A845" t="s">
        <v>9</v>
      </c>
      <c r="B845" t="s">
        <v>26</v>
      </c>
    </row>
    <row r="846" spans="1:2" x14ac:dyDescent="0.25">
      <c r="A846" t="s">
        <v>9</v>
      </c>
      <c r="B846" t="s">
        <v>27</v>
      </c>
    </row>
    <row r="847" spans="1:2" x14ac:dyDescent="0.25">
      <c r="A847" t="s">
        <v>9</v>
      </c>
      <c r="B847" t="s">
        <v>26</v>
      </c>
    </row>
    <row r="848" spans="1:2" x14ac:dyDescent="0.25">
      <c r="A848" t="s">
        <v>9</v>
      </c>
      <c r="B848" t="s">
        <v>27</v>
      </c>
    </row>
    <row r="849" spans="1:2" x14ac:dyDescent="0.25">
      <c r="A849" t="s">
        <v>9</v>
      </c>
      <c r="B849" t="s">
        <v>26</v>
      </c>
    </row>
    <row r="850" spans="1:2" x14ac:dyDescent="0.25">
      <c r="A850" t="s">
        <v>10</v>
      </c>
      <c r="B850" t="s">
        <v>28</v>
      </c>
    </row>
    <row r="851" spans="1:2" x14ac:dyDescent="0.25">
      <c r="A851" t="s">
        <v>9</v>
      </c>
      <c r="B851" t="s">
        <v>28</v>
      </c>
    </row>
    <row r="852" spans="1:2" x14ac:dyDescent="0.25">
      <c r="A852" t="s">
        <v>10</v>
      </c>
      <c r="B852" t="s">
        <v>28</v>
      </c>
    </row>
    <row r="853" spans="1:2" x14ac:dyDescent="0.25">
      <c r="A853" t="s">
        <v>9</v>
      </c>
      <c r="B853" t="s">
        <v>27</v>
      </c>
    </row>
    <row r="854" spans="1:2" x14ac:dyDescent="0.25">
      <c r="A854" t="s">
        <v>9</v>
      </c>
      <c r="B854" t="s">
        <v>27</v>
      </c>
    </row>
    <row r="855" spans="1:2" x14ac:dyDescent="0.25">
      <c r="A855" t="s">
        <v>9</v>
      </c>
      <c r="B855" t="s">
        <v>27</v>
      </c>
    </row>
    <row r="856" spans="1:2" x14ac:dyDescent="0.25">
      <c r="A856" t="s">
        <v>9</v>
      </c>
      <c r="B856" t="s">
        <v>28</v>
      </c>
    </row>
    <row r="857" spans="1:2" x14ac:dyDescent="0.25">
      <c r="A857" t="s">
        <v>9</v>
      </c>
      <c r="B857" t="s">
        <v>28</v>
      </c>
    </row>
    <row r="858" spans="1:2" x14ac:dyDescent="0.25">
      <c r="A858" t="s">
        <v>10</v>
      </c>
      <c r="B858" t="s">
        <v>27</v>
      </c>
    </row>
    <row r="859" spans="1:2" x14ac:dyDescent="0.25">
      <c r="A859" t="s">
        <v>9</v>
      </c>
      <c r="B859" t="s">
        <v>28</v>
      </c>
    </row>
    <row r="860" spans="1:2" x14ac:dyDescent="0.25">
      <c r="A860" t="s">
        <v>9</v>
      </c>
      <c r="B860" t="s">
        <v>28</v>
      </c>
    </row>
    <row r="861" spans="1:2" x14ac:dyDescent="0.25">
      <c r="A861" t="s">
        <v>10</v>
      </c>
      <c r="B861" t="s">
        <v>28</v>
      </c>
    </row>
    <row r="862" spans="1:2" x14ac:dyDescent="0.25">
      <c r="A862" t="s">
        <v>9</v>
      </c>
      <c r="B862" t="s">
        <v>27</v>
      </c>
    </row>
    <row r="863" spans="1:2" x14ac:dyDescent="0.25">
      <c r="A863" t="s">
        <v>9</v>
      </c>
      <c r="B863" t="s">
        <v>27</v>
      </c>
    </row>
    <row r="864" spans="1:2" x14ac:dyDescent="0.25">
      <c r="A864" t="s">
        <v>10</v>
      </c>
      <c r="B864" t="s">
        <v>27</v>
      </c>
    </row>
    <row r="865" spans="1:2" x14ac:dyDescent="0.25">
      <c r="A865" t="s">
        <v>9</v>
      </c>
      <c r="B865" t="s">
        <v>26</v>
      </c>
    </row>
    <row r="866" spans="1:2" x14ac:dyDescent="0.25">
      <c r="A866" t="s">
        <v>9</v>
      </c>
      <c r="B866" t="s">
        <v>28</v>
      </c>
    </row>
    <row r="867" spans="1:2" x14ac:dyDescent="0.25">
      <c r="A867" t="s">
        <v>9</v>
      </c>
      <c r="B867" t="s">
        <v>27</v>
      </c>
    </row>
    <row r="868" spans="1:2" x14ac:dyDescent="0.25">
      <c r="A868" t="s">
        <v>9</v>
      </c>
      <c r="B868" t="s">
        <v>28</v>
      </c>
    </row>
    <row r="869" spans="1:2" x14ac:dyDescent="0.25">
      <c r="A869" t="s">
        <v>9</v>
      </c>
      <c r="B869" t="s">
        <v>28</v>
      </c>
    </row>
    <row r="870" spans="1:2" x14ac:dyDescent="0.25">
      <c r="A870" t="s">
        <v>9</v>
      </c>
      <c r="B870" t="s">
        <v>28</v>
      </c>
    </row>
    <row r="871" spans="1:2" x14ac:dyDescent="0.25">
      <c r="A871" t="s">
        <v>9</v>
      </c>
      <c r="B871" t="s">
        <v>27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C346-70A0-410E-A50F-879C2B562455}">
  <dimension ref="A1:G871"/>
  <sheetViews>
    <sheetView workbookViewId="0">
      <selection activeCell="G1" sqref="G1"/>
    </sheetView>
  </sheetViews>
  <sheetFormatPr defaultRowHeight="15" x14ac:dyDescent="0.25"/>
  <cols>
    <col min="3" max="3" width="13.140625" bestFit="1" customWidth="1"/>
    <col min="4" max="4" width="18" bestFit="1" customWidth="1"/>
  </cols>
  <sheetData>
    <row r="1" spans="1:7" x14ac:dyDescent="0.25">
      <c r="A1" t="s">
        <v>117</v>
      </c>
      <c r="B1" t="s">
        <v>113</v>
      </c>
      <c r="C1" s="12" t="s">
        <v>115</v>
      </c>
      <c r="D1" t="s">
        <v>124</v>
      </c>
      <c r="F1" t="s">
        <v>125</v>
      </c>
      <c r="G1" t="s">
        <v>121</v>
      </c>
    </row>
    <row r="2" spans="1:7" x14ac:dyDescent="0.25">
      <c r="A2" t="s">
        <v>9</v>
      </c>
      <c r="B2" t="s">
        <v>9</v>
      </c>
      <c r="C2" s="13" t="s">
        <v>9</v>
      </c>
      <c r="D2">
        <v>618</v>
      </c>
      <c r="F2" s="13" t="s">
        <v>9</v>
      </c>
      <c r="G2">
        <v>618</v>
      </c>
    </row>
    <row r="3" spans="1:7" x14ac:dyDescent="0.25">
      <c r="A3" t="s">
        <v>9</v>
      </c>
      <c r="B3" t="s">
        <v>9</v>
      </c>
      <c r="C3" s="13" t="s">
        <v>10</v>
      </c>
      <c r="D3">
        <v>252</v>
      </c>
      <c r="F3" s="13" t="s">
        <v>10</v>
      </c>
      <c r="G3">
        <v>252</v>
      </c>
    </row>
    <row r="4" spans="1:7" x14ac:dyDescent="0.25">
      <c r="A4" t="s">
        <v>9</v>
      </c>
      <c r="B4" t="s">
        <v>9</v>
      </c>
      <c r="C4" s="13" t="s">
        <v>123</v>
      </c>
    </row>
    <row r="5" spans="1:7" x14ac:dyDescent="0.25">
      <c r="A5" t="s">
        <v>9</v>
      </c>
      <c r="B5" t="s">
        <v>9</v>
      </c>
      <c r="C5" s="13" t="s">
        <v>116</v>
      </c>
      <c r="D5">
        <v>870</v>
      </c>
    </row>
    <row r="6" spans="1:7" x14ac:dyDescent="0.25">
      <c r="A6" t="s">
        <v>9</v>
      </c>
      <c r="B6" t="s">
        <v>10</v>
      </c>
    </row>
    <row r="7" spans="1:7" x14ac:dyDescent="0.25">
      <c r="A7" t="s">
        <v>9</v>
      </c>
      <c r="B7" t="s">
        <v>9</v>
      </c>
    </row>
    <row r="8" spans="1:7" x14ac:dyDescent="0.25">
      <c r="A8" t="s">
        <v>9</v>
      </c>
      <c r="B8" t="s">
        <v>10</v>
      </c>
    </row>
    <row r="9" spans="1:7" x14ac:dyDescent="0.25">
      <c r="A9" t="s">
        <v>9</v>
      </c>
      <c r="B9" t="s">
        <v>10</v>
      </c>
    </row>
    <row r="10" spans="1:7" x14ac:dyDescent="0.25">
      <c r="A10" t="s">
        <v>9</v>
      </c>
      <c r="B10" t="s">
        <v>10</v>
      </c>
    </row>
    <row r="11" spans="1:7" x14ac:dyDescent="0.25">
      <c r="A11" t="s">
        <v>9</v>
      </c>
      <c r="B11" t="s">
        <v>9</v>
      </c>
    </row>
    <row r="12" spans="1:7" x14ac:dyDescent="0.25">
      <c r="A12" t="s">
        <v>9</v>
      </c>
      <c r="B12" t="s">
        <v>9</v>
      </c>
    </row>
    <row r="13" spans="1:7" x14ac:dyDescent="0.25">
      <c r="A13" t="s">
        <v>9</v>
      </c>
      <c r="B13" t="s">
        <v>9</v>
      </c>
    </row>
    <row r="14" spans="1:7" x14ac:dyDescent="0.25">
      <c r="A14" t="s">
        <v>9</v>
      </c>
      <c r="B14" t="s">
        <v>9</v>
      </c>
    </row>
    <row r="15" spans="1:7" x14ac:dyDescent="0.25">
      <c r="A15" t="s">
        <v>9</v>
      </c>
      <c r="B15" t="s">
        <v>9</v>
      </c>
    </row>
    <row r="16" spans="1:7" x14ac:dyDescent="0.25">
      <c r="A16" t="s">
        <v>9</v>
      </c>
      <c r="B16" t="s">
        <v>9</v>
      </c>
    </row>
    <row r="17" spans="1:2" x14ac:dyDescent="0.25">
      <c r="A17" t="s">
        <v>9</v>
      </c>
      <c r="B17" t="s">
        <v>9</v>
      </c>
    </row>
    <row r="18" spans="1:2" x14ac:dyDescent="0.25">
      <c r="A18" t="s">
        <v>9</v>
      </c>
      <c r="B18" t="s">
        <v>9</v>
      </c>
    </row>
    <row r="19" spans="1:2" x14ac:dyDescent="0.25">
      <c r="A19" t="s">
        <v>9</v>
      </c>
      <c r="B19" t="s">
        <v>9</v>
      </c>
    </row>
    <row r="20" spans="1:2" x14ac:dyDescent="0.25">
      <c r="A20" t="s">
        <v>9</v>
      </c>
      <c r="B20" t="s">
        <v>10</v>
      </c>
    </row>
    <row r="21" spans="1:2" x14ac:dyDescent="0.25">
      <c r="A21" t="s">
        <v>9</v>
      </c>
      <c r="B21" t="s">
        <v>9</v>
      </c>
    </row>
    <row r="22" spans="1:2" x14ac:dyDescent="0.25">
      <c r="A22" t="s">
        <v>9</v>
      </c>
      <c r="B22" t="s">
        <v>10</v>
      </c>
    </row>
    <row r="23" spans="1:2" x14ac:dyDescent="0.25">
      <c r="A23" t="s">
        <v>9</v>
      </c>
      <c r="B23" t="s">
        <v>9</v>
      </c>
    </row>
    <row r="24" spans="1:2" x14ac:dyDescent="0.25">
      <c r="A24" t="s">
        <v>9</v>
      </c>
      <c r="B24" t="s">
        <v>10</v>
      </c>
    </row>
    <row r="25" spans="1:2" x14ac:dyDescent="0.25">
      <c r="A25" t="s">
        <v>9</v>
      </c>
      <c r="B25" t="s">
        <v>9</v>
      </c>
    </row>
    <row r="26" spans="1:2" x14ac:dyDescent="0.25">
      <c r="A26" t="s">
        <v>9</v>
      </c>
      <c r="B26" t="s">
        <v>9</v>
      </c>
    </row>
    <row r="27" spans="1:2" x14ac:dyDescent="0.25">
      <c r="A27" t="s">
        <v>9</v>
      </c>
      <c r="B27" t="s">
        <v>9</v>
      </c>
    </row>
    <row r="28" spans="1:2" x14ac:dyDescent="0.25">
      <c r="A28" t="s">
        <v>9</v>
      </c>
      <c r="B28" t="s">
        <v>9</v>
      </c>
    </row>
    <row r="29" spans="1:2" x14ac:dyDescent="0.25">
      <c r="A29" t="s">
        <v>10</v>
      </c>
      <c r="B29" t="s">
        <v>10</v>
      </c>
    </row>
    <row r="30" spans="1:2" x14ac:dyDescent="0.25">
      <c r="A30" t="s">
        <v>10</v>
      </c>
      <c r="B30" t="s">
        <v>10</v>
      </c>
    </row>
    <row r="31" spans="1:2" x14ac:dyDescent="0.25">
      <c r="A31" t="s">
        <v>9</v>
      </c>
      <c r="B31" t="s">
        <v>9</v>
      </c>
    </row>
    <row r="32" spans="1:2" x14ac:dyDescent="0.25">
      <c r="A32" t="s">
        <v>9</v>
      </c>
      <c r="B32" t="s">
        <v>9</v>
      </c>
    </row>
    <row r="33" spans="1:2" x14ac:dyDescent="0.25">
      <c r="A33" t="s">
        <v>9</v>
      </c>
      <c r="B33" t="s">
        <v>9</v>
      </c>
    </row>
    <row r="34" spans="1:2" x14ac:dyDescent="0.25">
      <c r="A34" t="s">
        <v>9</v>
      </c>
      <c r="B34" t="s">
        <v>10</v>
      </c>
    </row>
    <row r="35" spans="1:2" x14ac:dyDescent="0.25">
      <c r="A35" t="s">
        <v>9</v>
      </c>
      <c r="B35" t="s">
        <v>9</v>
      </c>
    </row>
    <row r="36" spans="1:2" x14ac:dyDescent="0.25">
      <c r="A36" t="s">
        <v>9</v>
      </c>
      <c r="B36" t="s">
        <v>9</v>
      </c>
    </row>
    <row r="37" spans="1:2" x14ac:dyDescent="0.25">
      <c r="A37" t="s">
        <v>9</v>
      </c>
      <c r="B37" t="s">
        <v>9</v>
      </c>
    </row>
    <row r="38" spans="1:2" x14ac:dyDescent="0.25">
      <c r="A38" t="s">
        <v>10</v>
      </c>
      <c r="B38" t="s">
        <v>9</v>
      </c>
    </row>
    <row r="39" spans="1:2" x14ac:dyDescent="0.25">
      <c r="A39" t="s">
        <v>10</v>
      </c>
      <c r="B39" t="s">
        <v>10</v>
      </c>
    </row>
    <row r="40" spans="1:2" x14ac:dyDescent="0.25">
      <c r="A40" t="s">
        <v>9</v>
      </c>
      <c r="B40" t="s">
        <v>9</v>
      </c>
    </row>
    <row r="41" spans="1:2" x14ac:dyDescent="0.25">
      <c r="A41" t="s">
        <v>9</v>
      </c>
      <c r="B41" t="s">
        <v>9</v>
      </c>
    </row>
    <row r="42" spans="1:2" x14ac:dyDescent="0.25">
      <c r="A42" t="s">
        <v>9</v>
      </c>
      <c r="B42" t="s">
        <v>9</v>
      </c>
    </row>
    <row r="43" spans="1:2" x14ac:dyDescent="0.25">
      <c r="A43" t="s">
        <v>9</v>
      </c>
      <c r="B43" t="s">
        <v>9</v>
      </c>
    </row>
    <row r="44" spans="1:2" x14ac:dyDescent="0.25">
      <c r="A44" t="s">
        <v>9</v>
      </c>
      <c r="B44" t="s">
        <v>10</v>
      </c>
    </row>
    <row r="45" spans="1:2" x14ac:dyDescent="0.25">
      <c r="A45" t="s">
        <v>9</v>
      </c>
      <c r="B45" t="s">
        <v>9</v>
      </c>
    </row>
    <row r="46" spans="1:2" x14ac:dyDescent="0.25">
      <c r="A46" t="s">
        <v>9</v>
      </c>
      <c r="B46" t="s">
        <v>9</v>
      </c>
    </row>
    <row r="47" spans="1:2" x14ac:dyDescent="0.25">
      <c r="A47" t="s">
        <v>9</v>
      </c>
      <c r="B47" t="s">
        <v>9</v>
      </c>
    </row>
    <row r="48" spans="1:2" x14ac:dyDescent="0.25">
      <c r="A48" t="s">
        <v>10</v>
      </c>
      <c r="B48" t="s">
        <v>9</v>
      </c>
    </row>
    <row r="49" spans="1:2" x14ac:dyDescent="0.25">
      <c r="A49" t="s">
        <v>9</v>
      </c>
      <c r="B49" t="s">
        <v>10</v>
      </c>
    </row>
    <row r="50" spans="1:2" x14ac:dyDescent="0.25">
      <c r="A50" t="s">
        <v>10</v>
      </c>
      <c r="B50" t="s">
        <v>10</v>
      </c>
    </row>
    <row r="51" spans="1:2" x14ac:dyDescent="0.25">
      <c r="A51" t="s">
        <v>9</v>
      </c>
      <c r="B51" t="s">
        <v>9</v>
      </c>
    </row>
    <row r="52" spans="1:2" x14ac:dyDescent="0.25">
      <c r="A52" t="s">
        <v>9</v>
      </c>
      <c r="B52" t="s">
        <v>9</v>
      </c>
    </row>
    <row r="53" spans="1:2" x14ac:dyDescent="0.25">
      <c r="A53" t="s">
        <v>9</v>
      </c>
      <c r="B53" t="s">
        <v>10</v>
      </c>
    </row>
    <row r="54" spans="1:2" x14ac:dyDescent="0.25">
      <c r="A54" t="s">
        <v>9</v>
      </c>
      <c r="B54" t="s">
        <v>9</v>
      </c>
    </row>
    <row r="55" spans="1:2" x14ac:dyDescent="0.25">
      <c r="A55" t="s">
        <v>9</v>
      </c>
      <c r="B55" t="s">
        <v>9</v>
      </c>
    </row>
    <row r="56" spans="1:2" x14ac:dyDescent="0.25">
      <c r="A56" t="s">
        <v>9</v>
      </c>
      <c r="B56" t="s">
        <v>9</v>
      </c>
    </row>
    <row r="57" spans="1:2" x14ac:dyDescent="0.25">
      <c r="A57" t="s">
        <v>9</v>
      </c>
      <c r="B57" t="s">
        <v>9</v>
      </c>
    </row>
    <row r="58" spans="1:2" x14ac:dyDescent="0.25">
      <c r="A58" t="s">
        <v>10</v>
      </c>
      <c r="B58" t="s">
        <v>10</v>
      </c>
    </row>
    <row r="59" spans="1:2" x14ac:dyDescent="0.25">
      <c r="A59" t="s">
        <v>9</v>
      </c>
      <c r="B59" t="s">
        <v>10</v>
      </c>
    </row>
    <row r="60" spans="1:2" x14ac:dyDescent="0.25">
      <c r="A60" t="s">
        <v>9</v>
      </c>
      <c r="B60" t="s">
        <v>10</v>
      </c>
    </row>
    <row r="61" spans="1:2" x14ac:dyDescent="0.25">
      <c r="A61" t="s">
        <v>10</v>
      </c>
      <c r="B61" t="s">
        <v>10</v>
      </c>
    </row>
    <row r="62" spans="1:2" x14ac:dyDescent="0.25">
      <c r="A62" t="s">
        <v>10</v>
      </c>
      <c r="B62" t="s">
        <v>10</v>
      </c>
    </row>
    <row r="63" spans="1:2" x14ac:dyDescent="0.25">
      <c r="A63" t="s">
        <v>9</v>
      </c>
      <c r="B63" t="s">
        <v>9</v>
      </c>
    </row>
    <row r="64" spans="1:2" x14ac:dyDescent="0.25">
      <c r="A64" t="s">
        <v>9</v>
      </c>
      <c r="B64" t="s">
        <v>9</v>
      </c>
    </row>
    <row r="65" spans="1:2" x14ac:dyDescent="0.25">
      <c r="A65" t="s">
        <v>9</v>
      </c>
      <c r="B65" t="s">
        <v>9</v>
      </c>
    </row>
    <row r="66" spans="1:2" x14ac:dyDescent="0.25">
      <c r="A66" t="s">
        <v>10</v>
      </c>
      <c r="B66" t="s">
        <v>9</v>
      </c>
    </row>
    <row r="67" spans="1:2" x14ac:dyDescent="0.25">
      <c r="A67" t="s">
        <v>9</v>
      </c>
      <c r="B67" t="s">
        <v>10</v>
      </c>
    </row>
    <row r="68" spans="1:2" x14ac:dyDescent="0.25">
      <c r="A68" t="s">
        <v>9</v>
      </c>
      <c r="B68" t="s">
        <v>9</v>
      </c>
    </row>
    <row r="69" spans="1:2" x14ac:dyDescent="0.25">
      <c r="A69" t="s">
        <v>9</v>
      </c>
      <c r="B69" t="s">
        <v>9</v>
      </c>
    </row>
    <row r="70" spans="1:2" x14ac:dyDescent="0.25">
      <c r="A70" t="s">
        <v>9</v>
      </c>
      <c r="B70" t="s">
        <v>9</v>
      </c>
    </row>
    <row r="71" spans="1:2" x14ac:dyDescent="0.25">
      <c r="A71" t="s">
        <v>9</v>
      </c>
      <c r="B71" t="s">
        <v>9</v>
      </c>
    </row>
    <row r="72" spans="1:2" x14ac:dyDescent="0.25">
      <c r="A72" t="s">
        <v>9</v>
      </c>
      <c r="B72" t="s">
        <v>9</v>
      </c>
    </row>
    <row r="73" spans="1:2" x14ac:dyDescent="0.25">
      <c r="A73" t="s">
        <v>9</v>
      </c>
      <c r="B73" t="s">
        <v>9</v>
      </c>
    </row>
    <row r="74" spans="1:2" x14ac:dyDescent="0.25">
      <c r="A74" t="s">
        <v>10</v>
      </c>
      <c r="B74" t="s">
        <v>10</v>
      </c>
    </row>
    <row r="75" spans="1:2" x14ac:dyDescent="0.25">
      <c r="A75" t="s">
        <v>9</v>
      </c>
      <c r="B75" t="s">
        <v>10</v>
      </c>
    </row>
    <row r="76" spans="1:2" x14ac:dyDescent="0.25">
      <c r="A76" t="s">
        <v>10</v>
      </c>
      <c r="B76" t="s">
        <v>10</v>
      </c>
    </row>
    <row r="77" spans="1:2" x14ac:dyDescent="0.25">
      <c r="A77" t="s">
        <v>9</v>
      </c>
      <c r="B77" t="s">
        <v>9</v>
      </c>
    </row>
    <row r="78" spans="1:2" x14ac:dyDescent="0.25">
      <c r="A78" t="s">
        <v>9</v>
      </c>
      <c r="B78" t="s">
        <v>10</v>
      </c>
    </row>
    <row r="79" spans="1:2" x14ac:dyDescent="0.25">
      <c r="A79" t="s">
        <v>9</v>
      </c>
      <c r="B79" t="s">
        <v>9</v>
      </c>
    </row>
    <row r="80" spans="1:2" x14ac:dyDescent="0.25">
      <c r="A80" t="s">
        <v>9</v>
      </c>
      <c r="B80" t="s">
        <v>9</v>
      </c>
    </row>
    <row r="81" spans="1:2" x14ac:dyDescent="0.25">
      <c r="A81" t="s">
        <v>9</v>
      </c>
      <c r="B81" t="s">
        <v>10</v>
      </c>
    </row>
    <row r="82" spans="1:2" x14ac:dyDescent="0.25">
      <c r="A82" t="s">
        <v>10</v>
      </c>
      <c r="B82" t="s">
        <v>9</v>
      </c>
    </row>
    <row r="83" spans="1:2" x14ac:dyDescent="0.25">
      <c r="A83" t="s">
        <v>9</v>
      </c>
      <c r="B83" t="s">
        <v>9</v>
      </c>
    </row>
    <row r="84" spans="1:2" x14ac:dyDescent="0.25">
      <c r="A84" t="s">
        <v>9</v>
      </c>
      <c r="B84" t="s">
        <v>9</v>
      </c>
    </row>
    <row r="85" spans="1:2" x14ac:dyDescent="0.25">
      <c r="A85" t="s">
        <v>9</v>
      </c>
      <c r="B85" t="s">
        <v>10</v>
      </c>
    </row>
    <row r="86" spans="1:2" x14ac:dyDescent="0.25">
      <c r="A86" t="s">
        <v>9</v>
      </c>
      <c r="B86" t="s">
        <v>10</v>
      </c>
    </row>
    <row r="87" spans="1:2" x14ac:dyDescent="0.25">
      <c r="A87" t="s">
        <v>9</v>
      </c>
      <c r="B87" t="s">
        <v>10</v>
      </c>
    </row>
    <row r="88" spans="1:2" x14ac:dyDescent="0.25">
      <c r="A88" t="s">
        <v>9</v>
      </c>
      <c r="B88" t="s">
        <v>9</v>
      </c>
    </row>
    <row r="89" spans="1:2" x14ac:dyDescent="0.25">
      <c r="A89" t="s">
        <v>10</v>
      </c>
      <c r="B89" t="s">
        <v>10</v>
      </c>
    </row>
    <row r="90" spans="1:2" x14ac:dyDescent="0.25">
      <c r="A90" t="s">
        <v>9</v>
      </c>
      <c r="B90" t="s">
        <v>9</v>
      </c>
    </row>
    <row r="91" spans="1:2" x14ac:dyDescent="0.25">
      <c r="A91" t="s">
        <v>9</v>
      </c>
      <c r="B91" t="s">
        <v>9</v>
      </c>
    </row>
    <row r="92" spans="1:2" x14ac:dyDescent="0.25">
      <c r="A92" t="s">
        <v>9</v>
      </c>
      <c r="B92" t="s">
        <v>10</v>
      </c>
    </row>
    <row r="93" spans="1:2" x14ac:dyDescent="0.25">
      <c r="A93" t="s">
        <v>10</v>
      </c>
      <c r="B93" t="s">
        <v>9</v>
      </c>
    </row>
    <row r="94" spans="1:2" x14ac:dyDescent="0.25">
      <c r="A94" t="s">
        <v>10</v>
      </c>
      <c r="B94" t="s">
        <v>10</v>
      </c>
    </row>
    <row r="95" spans="1:2" x14ac:dyDescent="0.25">
      <c r="A95" t="s">
        <v>9</v>
      </c>
      <c r="B95" t="s">
        <v>10</v>
      </c>
    </row>
    <row r="96" spans="1:2" x14ac:dyDescent="0.25">
      <c r="A96" t="s">
        <v>9</v>
      </c>
      <c r="B96" t="s">
        <v>9</v>
      </c>
    </row>
    <row r="97" spans="1:2" x14ac:dyDescent="0.25">
      <c r="A97" t="s">
        <v>9</v>
      </c>
      <c r="B97" t="s">
        <v>9</v>
      </c>
    </row>
    <row r="98" spans="1:2" x14ac:dyDescent="0.25">
      <c r="A98" t="s">
        <v>9</v>
      </c>
      <c r="B98" t="s">
        <v>9</v>
      </c>
    </row>
    <row r="99" spans="1:2" x14ac:dyDescent="0.25">
      <c r="A99" t="s">
        <v>9</v>
      </c>
      <c r="B99" t="s">
        <v>9</v>
      </c>
    </row>
    <row r="100" spans="1:2" x14ac:dyDescent="0.25">
      <c r="A100" t="s">
        <v>9</v>
      </c>
      <c r="B100" t="s">
        <v>9</v>
      </c>
    </row>
    <row r="101" spans="1:2" x14ac:dyDescent="0.25">
      <c r="A101" t="s">
        <v>9</v>
      </c>
      <c r="B101" t="s">
        <v>9</v>
      </c>
    </row>
    <row r="102" spans="1:2" x14ac:dyDescent="0.25">
      <c r="A102" t="s">
        <v>9</v>
      </c>
      <c r="B102" t="s">
        <v>9</v>
      </c>
    </row>
    <row r="103" spans="1:2" x14ac:dyDescent="0.25">
      <c r="A103" t="s">
        <v>9</v>
      </c>
      <c r="B103" t="s">
        <v>9</v>
      </c>
    </row>
    <row r="104" spans="1:2" x14ac:dyDescent="0.25">
      <c r="A104" t="s">
        <v>9</v>
      </c>
      <c r="B104" t="s">
        <v>9</v>
      </c>
    </row>
    <row r="105" spans="1:2" x14ac:dyDescent="0.25">
      <c r="A105" t="s">
        <v>9</v>
      </c>
      <c r="B105" t="s">
        <v>9</v>
      </c>
    </row>
    <row r="106" spans="1:2" x14ac:dyDescent="0.25">
      <c r="A106" t="s">
        <v>9</v>
      </c>
      <c r="B106" t="s">
        <v>9</v>
      </c>
    </row>
    <row r="107" spans="1:2" x14ac:dyDescent="0.25">
      <c r="A107" t="s">
        <v>9</v>
      </c>
      <c r="B107" t="s">
        <v>9</v>
      </c>
    </row>
    <row r="108" spans="1:2" x14ac:dyDescent="0.25">
      <c r="A108" t="s">
        <v>9</v>
      </c>
      <c r="B108" t="s">
        <v>9</v>
      </c>
    </row>
    <row r="109" spans="1:2" x14ac:dyDescent="0.25">
      <c r="A109" t="s">
        <v>9</v>
      </c>
      <c r="B109" t="s">
        <v>10</v>
      </c>
    </row>
    <row r="110" spans="1:2" x14ac:dyDescent="0.25">
      <c r="A110" t="s">
        <v>10</v>
      </c>
      <c r="B110" t="s">
        <v>9</v>
      </c>
    </row>
    <row r="111" spans="1:2" x14ac:dyDescent="0.25">
      <c r="A111" t="s">
        <v>9</v>
      </c>
      <c r="B111" t="s">
        <v>9</v>
      </c>
    </row>
    <row r="112" spans="1:2" x14ac:dyDescent="0.25">
      <c r="A112" t="s">
        <v>9</v>
      </c>
      <c r="B112" t="s">
        <v>10</v>
      </c>
    </row>
    <row r="113" spans="1:2" x14ac:dyDescent="0.25">
      <c r="A113" t="s">
        <v>9</v>
      </c>
      <c r="B113" t="s">
        <v>9</v>
      </c>
    </row>
    <row r="114" spans="1:2" x14ac:dyDescent="0.25">
      <c r="A114" t="s">
        <v>9</v>
      </c>
      <c r="B114" t="s">
        <v>9</v>
      </c>
    </row>
    <row r="115" spans="1:2" x14ac:dyDescent="0.25">
      <c r="A115" t="s">
        <v>9</v>
      </c>
      <c r="B115" t="s">
        <v>9</v>
      </c>
    </row>
    <row r="116" spans="1:2" x14ac:dyDescent="0.25">
      <c r="A116" t="s">
        <v>9</v>
      </c>
      <c r="B116" t="s">
        <v>10</v>
      </c>
    </row>
    <row r="117" spans="1:2" x14ac:dyDescent="0.25">
      <c r="A117" t="s">
        <v>9</v>
      </c>
      <c r="B117" t="s">
        <v>10</v>
      </c>
    </row>
    <row r="118" spans="1:2" x14ac:dyDescent="0.25">
      <c r="A118" t="s">
        <v>9</v>
      </c>
      <c r="B118" t="s">
        <v>9</v>
      </c>
    </row>
    <row r="119" spans="1:2" x14ac:dyDescent="0.25">
      <c r="A119" t="s">
        <v>9</v>
      </c>
      <c r="B119" t="s">
        <v>10</v>
      </c>
    </row>
    <row r="120" spans="1:2" x14ac:dyDescent="0.25">
      <c r="A120" t="s">
        <v>9</v>
      </c>
      <c r="B120" t="s">
        <v>9</v>
      </c>
    </row>
    <row r="121" spans="1:2" x14ac:dyDescent="0.25">
      <c r="A121" t="s">
        <v>9</v>
      </c>
      <c r="B121" t="s">
        <v>9</v>
      </c>
    </row>
    <row r="122" spans="1:2" x14ac:dyDescent="0.25">
      <c r="A122" t="s">
        <v>9</v>
      </c>
      <c r="B122" t="s">
        <v>9</v>
      </c>
    </row>
    <row r="123" spans="1:2" x14ac:dyDescent="0.25">
      <c r="A123" t="s">
        <v>9</v>
      </c>
      <c r="B123" t="s">
        <v>10</v>
      </c>
    </row>
    <row r="124" spans="1:2" x14ac:dyDescent="0.25">
      <c r="A124" t="s">
        <v>9</v>
      </c>
      <c r="B124" t="s">
        <v>10</v>
      </c>
    </row>
    <row r="125" spans="1:2" x14ac:dyDescent="0.25">
      <c r="A125" t="s">
        <v>9</v>
      </c>
      <c r="B125" t="s">
        <v>9</v>
      </c>
    </row>
    <row r="126" spans="1:2" x14ac:dyDescent="0.25">
      <c r="A126" t="s">
        <v>9</v>
      </c>
      <c r="B126" t="s">
        <v>9</v>
      </c>
    </row>
    <row r="127" spans="1:2" x14ac:dyDescent="0.25">
      <c r="A127" t="s">
        <v>9</v>
      </c>
      <c r="B127" t="s">
        <v>10</v>
      </c>
    </row>
    <row r="128" spans="1:2" x14ac:dyDescent="0.25">
      <c r="A128" t="s">
        <v>10</v>
      </c>
      <c r="B128" t="s">
        <v>10</v>
      </c>
    </row>
    <row r="129" spans="1:2" x14ac:dyDescent="0.25">
      <c r="A129" t="s">
        <v>9</v>
      </c>
      <c r="B129" t="s">
        <v>9</v>
      </c>
    </row>
    <row r="130" spans="1:2" x14ac:dyDescent="0.25">
      <c r="A130" t="s">
        <v>9</v>
      </c>
      <c r="B130" t="s">
        <v>10</v>
      </c>
    </row>
    <row r="131" spans="1:2" x14ac:dyDescent="0.25">
      <c r="A131" t="s">
        <v>9</v>
      </c>
      <c r="B131" t="s">
        <v>9</v>
      </c>
    </row>
    <row r="132" spans="1:2" x14ac:dyDescent="0.25">
      <c r="A132" t="s">
        <v>9</v>
      </c>
      <c r="B132" t="s">
        <v>10</v>
      </c>
    </row>
    <row r="133" spans="1:2" x14ac:dyDescent="0.25">
      <c r="A133" t="s">
        <v>9</v>
      </c>
      <c r="B133" t="s">
        <v>9</v>
      </c>
    </row>
    <row r="134" spans="1:2" x14ac:dyDescent="0.25">
      <c r="A134" t="s">
        <v>9</v>
      </c>
      <c r="B134" t="s">
        <v>9</v>
      </c>
    </row>
    <row r="135" spans="1:2" x14ac:dyDescent="0.25">
      <c r="A135" t="s">
        <v>9</v>
      </c>
      <c r="B135" t="s">
        <v>9</v>
      </c>
    </row>
    <row r="136" spans="1:2" x14ac:dyDescent="0.25">
      <c r="A136" t="s">
        <v>9</v>
      </c>
      <c r="B136" t="s">
        <v>9</v>
      </c>
    </row>
    <row r="137" spans="1:2" x14ac:dyDescent="0.25">
      <c r="A137" t="s">
        <v>9</v>
      </c>
      <c r="B137" t="s">
        <v>9</v>
      </c>
    </row>
    <row r="138" spans="1:2" x14ac:dyDescent="0.25">
      <c r="A138" t="s">
        <v>10</v>
      </c>
      <c r="B138" t="s">
        <v>10</v>
      </c>
    </row>
    <row r="139" spans="1:2" x14ac:dyDescent="0.25">
      <c r="A139" t="s">
        <v>9</v>
      </c>
      <c r="B139" t="s">
        <v>9</v>
      </c>
    </row>
    <row r="140" spans="1:2" x14ac:dyDescent="0.25">
      <c r="A140" t="s">
        <v>10</v>
      </c>
      <c r="B140" t="s">
        <v>10</v>
      </c>
    </row>
    <row r="141" spans="1:2" x14ac:dyDescent="0.25">
      <c r="A141" t="s">
        <v>9</v>
      </c>
      <c r="B141" t="s">
        <v>9</v>
      </c>
    </row>
    <row r="142" spans="1:2" x14ac:dyDescent="0.25">
      <c r="A142" t="s">
        <v>9</v>
      </c>
      <c r="B142" t="s">
        <v>10</v>
      </c>
    </row>
    <row r="143" spans="1:2" x14ac:dyDescent="0.25">
      <c r="A143" t="s">
        <v>9</v>
      </c>
      <c r="B143" t="s">
        <v>9</v>
      </c>
    </row>
    <row r="144" spans="1:2" x14ac:dyDescent="0.25">
      <c r="A144" t="s">
        <v>9</v>
      </c>
      <c r="B144" t="s">
        <v>9</v>
      </c>
    </row>
    <row r="145" spans="1:2" x14ac:dyDescent="0.25">
      <c r="A145" t="s">
        <v>9</v>
      </c>
      <c r="B145" t="s">
        <v>9</v>
      </c>
    </row>
    <row r="146" spans="1:2" x14ac:dyDescent="0.25">
      <c r="A146" t="s">
        <v>9</v>
      </c>
      <c r="B146" t="s">
        <v>9</v>
      </c>
    </row>
    <row r="147" spans="1:2" x14ac:dyDescent="0.25">
      <c r="A147" t="s">
        <v>9</v>
      </c>
      <c r="B147" t="s">
        <v>9</v>
      </c>
    </row>
    <row r="148" spans="1:2" x14ac:dyDescent="0.25">
      <c r="A148" t="s">
        <v>9</v>
      </c>
      <c r="B148" t="s">
        <v>9</v>
      </c>
    </row>
    <row r="149" spans="1:2" x14ac:dyDescent="0.25">
      <c r="A149" t="s">
        <v>9</v>
      </c>
      <c r="B149" t="s">
        <v>9</v>
      </c>
    </row>
    <row r="150" spans="1:2" x14ac:dyDescent="0.25">
      <c r="A150" t="s">
        <v>9</v>
      </c>
      <c r="B150" t="s">
        <v>9</v>
      </c>
    </row>
    <row r="151" spans="1:2" x14ac:dyDescent="0.25">
      <c r="A151" t="s">
        <v>9</v>
      </c>
      <c r="B151" t="s">
        <v>9</v>
      </c>
    </row>
    <row r="152" spans="1:2" x14ac:dyDescent="0.25">
      <c r="A152" t="s">
        <v>10</v>
      </c>
      <c r="B152" t="s">
        <v>9</v>
      </c>
    </row>
    <row r="153" spans="1:2" x14ac:dyDescent="0.25">
      <c r="A153" t="s">
        <v>9</v>
      </c>
      <c r="B153" t="s">
        <v>9</v>
      </c>
    </row>
    <row r="154" spans="1:2" x14ac:dyDescent="0.25">
      <c r="A154" t="s">
        <v>9</v>
      </c>
      <c r="B154" t="s">
        <v>9</v>
      </c>
    </row>
    <row r="155" spans="1:2" x14ac:dyDescent="0.25">
      <c r="A155" t="s">
        <v>9</v>
      </c>
      <c r="B155" t="s">
        <v>9</v>
      </c>
    </row>
    <row r="156" spans="1:2" x14ac:dyDescent="0.25">
      <c r="A156" t="s">
        <v>9</v>
      </c>
      <c r="B156" t="s">
        <v>9</v>
      </c>
    </row>
    <row r="157" spans="1:2" x14ac:dyDescent="0.25">
      <c r="A157" t="s">
        <v>9</v>
      </c>
      <c r="B157" t="s">
        <v>10</v>
      </c>
    </row>
    <row r="158" spans="1:2" x14ac:dyDescent="0.25">
      <c r="A158" t="s">
        <v>9</v>
      </c>
      <c r="B158" t="s">
        <v>9</v>
      </c>
    </row>
    <row r="159" spans="1:2" x14ac:dyDescent="0.25">
      <c r="A159" t="s">
        <v>10</v>
      </c>
      <c r="B159" t="s">
        <v>9</v>
      </c>
    </row>
    <row r="160" spans="1:2" x14ac:dyDescent="0.25">
      <c r="A160" t="s">
        <v>9</v>
      </c>
      <c r="B160" t="s">
        <v>9</v>
      </c>
    </row>
    <row r="161" spans="1:2" x14ac:dyDescent="0.25">
      <c r="A161" t="s">
        <v>9</v>
      </c>
      <c r="B161" t="s">
        <v>10</v>
      </c>
    </row>
    <row r="162" spans="1:2" x14ac:dyDescent="0.25">
      <c r="A162" t="s">
        <v>9</v>
      </c>
      <c r="B162" t="s">
        <v>10</v>
      </c>
    </row>
    <row r="163" spans="1:2" x14ac:dyDescent="0.25">
      <c r="A163" t="s">
        <v>10</v>
      </c>
      <c r="B163" t="s">
        <v>9</v>
      </c>
    </row>
    <row r="164" spans="1:2" x14ac:dyDescent="0.25">
      <c r="A164" t="s">
        <v>9</v>
      </c>
      <c r="B164" t="s">
        <v>9</v>
      </c>
    </row>
    <row r="165" spans="1:2" x14ac:dyDescent="0.25">
      <c r="A165" t="s">
        <v>9</v>
      </c>
      <c r="B165" t="s">
        <v>10</v>
      </c>
    </row>
    <row r="166" spans="1:2" x14ac:dyDescent="0.25">
      <c r="A166" t="s">
        <v>9</v>
      </c>
      <c r="B166" t="s">
        <v>9</v>
      </c>
    </row>
    <row r="167" spans="1:2" x14ac:dyDescent="0.25">
      <c r="A167" t="s">
        <v>10</v>
      </c>
      <c r="B167" t="s">
        <v>9</v>
      </c>
    </row>
    <row r="168" spans="1:2" x14ac:dyDescent="0.25">
      <c r="A168" t="s">
        <v>9</v>
      </c>
      <c r="B168" t="s">
        <v>9</v>
      </c>
    </row>
    <row r="169" spans="1:2" x14ac:dyDescent="0.25">
      <c r="A169" t="s">
        <v>9</v>
      </c>
      <c r="B169" t="s">
        <v>9</v>
      </c>
    </row>
    <row r="170" spans="1:2" x14ac:dyDescent="0.25">
      <c r="A170" t="s">
        <v>9</v>
      </c>
      <c r="B170" t="s">
        <v>10</v>
      </c>
    </row>
    <row r="171" spans="1:2" x14ac:dyDescent="0.25">
      <c r="A171" t="s">
        <v>9</v>
      </c>
      <c r="B171" t="s">
        <v>9</v>
      </c>
    </row>
    <row r="172" spans="1:2" x14ac:dyDescent="0.25">
      <c r="A172" t="s">
        <v>9</v>
      </c>
      <c r="B172" t="s">
        <v>9</v>
      </c>
    </row>
    <row r="173" spans="1:2" x14ac:dyDescent="0.25">
      <c r="A173" t="s">
        <v>9</v>
      </c>
      <c r="B173" t="s">
        <v>9</v>
      </c>
    </row>
    <row r="174" spans="1:2" x14ac:dyDescent="0.25">
      <c r="A174" t="s">
        <v>9</v>
      </c>
      <c r="B174" t="s">
        <v>9</v>
      </c>
    </row>
    <row r="175" spans="1:2" x14ac:dyDescent="0.25">
      <c r="A175" t="s">
        <v>9</v>
      </c>
      <c r="B175" t="s">
        <v>10</v>
      </c>
    </row>
    <row r="176" spans="1:2" x14ac:dyDescent="0.25">
      <c r="A176" t="s">
        <v>9</v>
      </c>
      <c r="B176" t="s">
        <v>9</v>
      </c>
    </row>
    <row r="177" spans="1:2" x14ac:dyDescent="0.25">
      <c r="A177" t="s">
        <v>9</v>
      </c>
      <c r="B177" t="s">
        <v>10</v>
      </c>
    </row>
    <row r="178" spans="1:2" x14ac:dyDescent="0.25">
      <c r="A178" t="s">
        <v>10</v>
      </c>
      <c r="B178" t="s">
        <v>10</v>
      </c>
    </row>
    <row r="179" spans="1:2" x14ac:dyDescent="0.25">
      <c r="A179" t="s">
        <v>10</v>
      </c>
      <c r="B179" t="s">
        <v>10</v>
      </c>
    </row>
    <row r="180" spans="1:2" x14ac:dyDescent="0.25">
      <c r="A180" t="s">
        <v>9</v>
      </c>
      <c r="B180" t="s">
        <v>9</v>
      </c>
    </row>
    <row r="181" spans="1:2" x14ac:dyDescent="0.25">
      <c r="A181" t="s">
        <v>9</v>
      </c>
      <c r="B181" t="s">
        <v>9</v>
      </c>
    </row>
    <row r="182" spans="1:2" x14ac:dyDescent="0.25">
      <c r="A182" t="s">
        <v>9</v>
      </c>
      <c r="B182" t="s">
        <v>9</v>
      </c>
    </row>
    <row r="183" spans="1:2" x14ac:dyDescent="0.25">
      <c r="A183" t="s">
        <v>9</v>
      </c>
      <c r="B183" t="s">
        <v>9</v>
      </c>
    </row>
    <row r="184" spans="1:2" x14ac:dyDescent="0.25">
      <c r="A184" t="s">
        <v>9</v>
      </c>
      <c r="B184" t="s">
        <v>9</v>
      </c>
    </row>
    <row r="185" spans="1:2" x14ac:dyDescent="0.25">
      <c r="A185" t="s">
        <v>9</v>
      </c>
      <c r="B185" t="s">
        <v>9</v>
      </c>
    </row>
    <row r="186" spans="1:2" x14ac:dyDescent="0.25">
      <c r="A186" t="s">
        <v>9</v>
      </c>
      <c r="B186" t="s">
        <v>9</v>
      </c>
    </row>
    <row r="187" spans="1:2" x14ac:dyDescent="0.25">
      <c r="A187" t="s">
        <v>9</v>
      </c>
      <c r="B187" t="s">
        <v>9</v>
      </c>
    </row>
    <row r="188" spans="1:2" x14ac:dyDescent="0.25">
      <c r="A188" t="s">
        <v>9</v>
      </c>
      <c r="B188" t="s">
        <v>9</v>
      </c>
    </row>
    <row r="189" spans="1:2" x14ac:dyDescent="0.25">
      <c r="A189" t="s">
        <v>9</v>
      </c>
      <c r="B189" t="s">
        <v>9</v>
      </c>
    </row>
    <row r="190" spans="1:2" x14ac:dyDescent="0.25">
      <c r="A190" t="s">
        <v>9</v>
      </c>
      <c r="B190" t="s">
        <v>9</v>
      </c>
    </row>
    <row r="191" spans="1:2" x14ac:dyDescent="0.25">
      <c r="A191" t="s">
        <v>9</v>
      </c>
      <c r="B191" t="s">
        <v>9</v>
      </c>
    </row>
    <row r="192" spans="1:2" x14ac:dyDescent="0.25">
      <c r="A192" t="s">
        <v>9</v>
      </c>
      <c r="B192" t="s">
        <v>9</v>
      </c>
    </row>
    <row r="193" spans="1:2" x14ac:dyDescent="0.25">
      <c r="A193" t="s">
        <v>9</v>
      </c>
      <c r="B193" t="s">
        <v>9</v>
      </c>
    </row>
    <row r="194" spans="1:2" x14ac:dyDescent="0.25">
      <c r="A194" t="s">
        <v>9</v>
      </c>
      <c r="B194" t="s">
        <v>9</v>
      </c>
    </row>
    <row r="195" spans="1:2" x14ac:dyDescent="0.25">
      <c r="A195" t="s">
        <v>9</v>
      </c>
      <c r="B195" t="s">
        <v>9</v>
      </c>
    </row>
    <row r="196" spans="1:2" x14ac:dyDescent="0.25">
      <c r="A196" t="s">
        <v>9</v>
      </c>
      <c r="B196" t="s">
        <v>9</v>
      </c>
    </row>
    <row r="197" spans="1:2" x14ac:dyDescent="0.25">
      <c r="A197" t="s">
        <v>9</v>
      </c>
      <c r="B197" t="s">
        <v>9</v>
      </c>
    </row>
    <row r="198" spans="1:2" x14ac:dyDescent="0.25">
      <c r="A198" t="s">
        <v>9</v>
      </c>
      <c r="B198" t="s">
        <v>9</v>
      </c>
    </row>
    <row r="199" spans="1:2" x14ac:dyDescent="0.25">
      <c r="A199" t="s">
        <v>9</v>
      </c>
      <c r="B199" t="s">
        <v>9</v>
      </c>
    </row>
    <row r="200" spans="1:2" x14ac:dyDescent="0.25">
      <c r="A200" t="s">
        <v>9</v>
      </c>
      <c r="B200" t="s">
        <v>9</v>
      </c>
    </row>
    <row r="201" spans="1:2" x14ac:dyDescent="0.25">
      <c r="A201" t="s">
        <v>9</v>
      </c>
      <c r="B201" t="s">
        <v>9</v>
      </c>
    </row>
    <row r="202" spans="1:2" x14ac:dyDescent="0.25">
      <c r="A202" t="s">
        <v>10</v>
      </c>
      <c r="B202" t="s">
        <v>10</v>
      </c>
    </row>
    <row r="203" spans="1:2" x14ac:dyDescent="0.25">
      <c r="A203" t="s">
        <v>9</v>
      </c>
      <c r="B203" t="s">
        <v>9</v>
      </c>
    </row>
    <row r="204" spans="1:2" x14ac:dyDescent="0.25">
      <c r="A204" t="s">
        <v>9</v>
      </c>
      <c r="B204" t="s">
        <v>9</v>
      </c>
    </row>
    <row r="205" spans="1:2" x14ac:dyDescent="0.25">
      <c r="A205" t="s">
        <v>10</v>
      </c>
      <c r="B205" t="s">
        <v>10</v>
      </c>
    </row>
    <row r="206" spans="1:2" x14ac:dyDescent="0.25">
      <c r="A206" t="s">
        <v>9</v>
      </c>
      <c r="B206" t="s">
        <v>9</v>
      </c>
    </row>
    <row r="207" spans="1:2" x14ac:dyDescent="0.25">
      <c r="A207" t="s">
        <v>9</v>
      </c>
      <c r="B207" t="s">
        <v>10</v>
      </c>
    </row>
    <row r="208" spans="1:2" x14ac:dyDescent="0.25">
      <c r="A208" t="s">
        <v>10</v>
      </c>
      <c r="B208" t="s">
        <v>9</v>
      </c>
    </row>
    <row r="209" spans="1:2" x14ac:dyDescent="0.25">
      <c r="A209" t="s">
        <v>10</v>
      </c>
      <c r="B209" t="s">
        <v>10</v>
      </c>
    </row>
    <row r="210" spans="1:2" x14ac:dyDescent="0.25">
      <c r="A210" t="s">
        <v>9</v>
      </c>
      <c r="B210" t="s">
        <v>9</v>
      </c>
    </row>
    <row r="211" spans="1:2" x14ac:dyDescent="0.25">
      <c r="A211" t="s">
        <v>9</v>
      </c>
      <c r="B211" t="s">
        <v>10</v>
      </c>
    </row>
    <row r="212" spans="1:2" x14ac:dyDescent="0.25">
      <c r="A212" t="s">
        <v>9</v>
      </c>
      <c r="B212" t="s">
        <v>9</v>
      </c>
    </row>
    <row r="213" spans="1:2" x14ac:dyDescent="0.25">
      <c r="A213" t="s">
        <v>9</v>
      </c>
      <c r="B213" t="s">
        <v>9</v>
      </c>
    </row>
    <row r="214" spans="1:2" x14ac:dyDescent="0.25">
      <c r="A214" t="s">
        <v>9</v>
      </c>
      <c r="B214" t="s">
        <v>9</v>
      </c>
    </row>
    <row r="215" spans="1:2" x14ac:dyDescent="0.25">
      <c r="A215" t="s">
        <v>9</v>
      </c>
      <c r="B215" t="s">
        <v>10</v>
      </c>
    </row>
    <row r="216" spans="1:2" x14ac:dyDescent="0.25">
      <c r="A216" t="s">
        <v>9</v>
      </c>
      <c r="B216" t="s">
        <v>9</v>
      </c>
    </row>
    <row r="217" spans="1:2" x14ac:dyDescent="0.25">
      <c r="A217" t="s">
        <v>9</v>
      </c>
      <c r="B217" t="s">
        <v>9</v>
      </c>
    </row>
    <row r="218" spans="1:2" x14ac:dyDescent="0.25">
      <c r="A218" t="s">
        <v>9</v>
      </c>
      <c r="B218" t="s">
        <v>9</v>
      </c>
    </row>
    <row r="219" spans="1:2" x14ac:dyDescent="0.25">
      <c r="A219" t="s">
        <v>9</v>
      </c>
      <c r="B219" t="s">
        <v>9</v>
      </c>
    </row>
    <row r="220" spans="1:2" x14ac:dyDescent="0.25">
      <c r="A220" t="s">
        <v>9</v>
      </c>
      <c r="B220" t="s">
        <v>9</v>
      </c>
    </row>
    <row r="221" spans="1:2" x14ac:dyDescent="0.25">
      <c r="A221" t="s">
        <v>9</v>
      </c>
      <c r="B221" t="s">
        <v>10</v>
      </c>
    </row>
    <row r="222" spans="1:2" x14ac:dyDescent="0.25">
      <c r="A222" t="s">
        <v>9</v>
      </c>
      <c r="B222" t="s">
        <v>9</v>
      </c>
    </row>
    <row r="223" spans="1:2" x14ac:dyDescent="0.25">
      <c r="A223" t="s">
        <v>10</v>
      </c>
      <c r="B223" t="s">
        <v>9</v>
      </c>
    </row>
    <row r="224" spans="1:2" x14ac:dyDescent="0.25">
      <c r="A224" t="s">
        <v>9</v>
      </c>
      <c r="B224" t="s">
        <v>10</v>
      </c>
    </row>
    <row r="225" spans="1:2" x14ac:dyDescent="0.25">
      <c r="A225" t="s">
        <v>9</v>
      </c>
      <c r="B225" t="s">
        <v>9</v>
      </c>
    </row>
    <row r="226" spans="1:2" x14ac:dyDescent="0.25">
      <c r="A226" t="s">
        <v>9</v>
      </c>
      <c r="B226" t="s">
        <v>9</v>
      </c>
    </row>
    <row r="227" spans="1:2" x14ac:dyDescent="0.25">
      <c r="A227" t="s">
        <v>9</v>
      </c>
      <c r="B227" t="s">
        <v>9</v>
      </c>
    </row>
    <row r="228" spans="1:2" x14ac:dyDescent="0.25">
      <c r="A228" t="s">
        <v>9</v>
      </c>
      <c r="B228" t="s">
        <v>9</v>
      </c>
    </row>
    <row r="229" spans="1:2" x14ac:dyDescent="0.25">
      <c r="A229" t="s">
        <v>9</v>
      </c>
      <c r="B229" t="s">
        <v>10</v>
      </c>
    </row>
    <row r="230" spans="1:2" x14ac:dyDescent="0.25">
      <c r="A230" t="s">
        <v>9</v>
      </c>
      <c r="B230" t="s">
        <v>9</v>
      </c>
    </row>
    <row r="231" spans="1:2" x14ac:dyDescent="0.25">
      <c r="A231" t="s">
        <v>9</v>
      </c>
      <c r="B231" t="s">
        <v>10</v>
      </c>
    </row>
    <row r="232" spans="1:2" x14ac:dyDescent="0.25">
      <c r="A232" t="s">
        <v>9</v>
      </c>
      <c r="B232" t="s">
        <v>9</v>
      </c>
    </row>
    <row r="233" spans="1:2" x14ac:dyDescent="0.25">
      <c r="A233" t="s">
        <v>9</v>
      </c>
      <c r="B233" t="s">
        <v>9</v>
      </c>
    </row>
    <row r="234" spans="1:2" x14ac:dyDescent="0.25">
      <c r="A234" t="s">
        <v>10</v>
      </c>
      <c r="B234" t="s">
        <v>9</v>
      </c>
    </row>
    <row r="235" spans="1:2" x14ac:dyDescent="0.25">
      <c r="A235" t="s">
        <v>9</v>
      </c>
      <c r="B235" t="s">
        <v>9</v>
      </c>
    </row>
    <row r="236" spans="1:2" x14ac:dyDescent="0.25">
      <c r="A236" t="s">
        <v>9</v>
      </c>
      <c r="B236" t="s">
        <v>10</v>
      </c>
    </row>
    <row r="237" spans="1:2" x14ac:dyDescent="0.25">
      <c r="A237" t="s">
        <v>10</v>
      </c>
      <c r="B237" t="s">
        <v>9</v>
      </c>
    </row>
    <row r="238" spans="1:2" x14ac:dyDescent="0.25">
      <c r="A238" t="s">
        <v>9</v>
      </c>
      <c r="B238" t="s">
        <v>9</v>
      </c>
    </row>
    <row r="239" spans="1:2" x14ac:dyDescent="0.25">
      <c r="A239" t="s">
        <v>9</v>
      </c>
      <c r="B239" t="s">
        <v>10</v>
      </c>
    </row>
    <row r="240" spans="1:2" x14ac:dyDescent="0.25">
      <c r="A240" t="s">
        <v>9</v>
      </c>
      <c r="B240" t="s">
        <v>9</v>
      </c>
    </row>
    <row r="241" spans="1:2" x14ac:dyDescent="0.25">
      <c r="A241" t="s">
        <v>9</v>
      </c>
      <c r="B241" t="s">
        <v>9</v>
      </c>
    </row>
    <row r="242" spans="1:2" x14ac:dyDescent="0.25">
      <c r="A242" t="s">
        <v>9</v>
      </c>
      <c r="B242" t="s">
        <v>10</v>
      </c>
    </row>
    <row r="243" spans="1:2" x14ac:dyDescent="0.25">
      <c r="A243" t="s">
        <v>9</v>
      </c>
      <c r="B243" t="s">
        <v>9</v>
      </c>
    </row>
    <row r="244" spans="1:2" x14ac:dyDescent="0.25">
      <c r="A244" t="s">
        <v>9</v>
      </c>
      <c r="B244" t="s">
        <v>9</v>
      </c>
    </row>
    <row r="245" spans="1:2" x14ac:dyDescent="0.25">
      <c r="A245" t="s">
        <v>10</v>
      </c>
      <c r="B245" t="s">
        <v>9</v>
      </c>
    </row>
    <row r="246" spans="1:2" x14ac:dyDescent="0.25">
      <c r="A246" t="s">
        <v>9</v>
      </c>
      <c r="B246" t="s">
        <v>10</v>
      </c>
    </row>
    <row r="247" spans="1:2" x14ac:dyDescent="0.25">
      <c r="A247" t="s">
        <v>9</v>
      </c>
      <c r="B247" t="s">
        <v>9</v>
      </c>
    </row>
    <row r="248" spans="1:2" x14ac:dyDescent="0.25">
      <c r="A248" t="s">
        <v>9</v>
      </c>
      <c r="B248" t="s">
        <v>10</v>
      </c>
    </row>
    <row r="249" spans="1:2" x14ac:dyDescent="0.25">
      <c r="A249" t="s">
        <v>9</v>
      </c>
      <c r="B249" t="s">
        <v>9</v>
      </c>
    </row>
    <row r="250" spans="1:2" x14ac:dyDescent="0.25">
      <c r="A250" t="s">
        <v>9</v>
      </c>
      <c r="B250" t="s">
        <v>10</v>
      </c>
    </row>
    <row r="251" spans="1:2" x14ac:dyDescent="0.25">
      <c r="A251" t="s">
        <v>9</v>
      </c>
      <c r="B251" t="s">
        <v>9</v>
      </c>
    </row>
    <row r="252" spans="1:2" x14ac:dyDescent="0.25">
      <c r="A252" t="s">
        <v>9</v>
      </c>
      <c r="B252" t="s">
        <v>9</v>
      </c>
    </row>
    <row r="253" spans="1:2" x14ac:dyDescent="0.25">
      <c r="A253" t="s">
        <v>9</v>
      </c>
      <c r="B253" t="s">
        <v>9</v>
      </c>
    </row>
    <row r="254" spans="1:2" x14ac:dyDescent="0.25">
      <c r="A254" t="s">
        <v>9</v>
      </c>
      <c r="B254" t="s">
        <v>9</v>
      </c>
    </row>
    <row r="255" spans="1:2" x14ac:dyDescent="0.25">
      <c r="A255" t="s">
        <v>10</v>
      </c>
      <c r="B255" t="s">
        <v>9</v>
      </c>
    </row>
    <row r="256" spans="1:2" x14ac:dyDescent="0.25">
      <c r="A256" t="s">
        <v>9</v>
      </c>
      <c r="B256" t="s">
        <v>9</v>
      </c>
    </row>
    <row r="257" spans="1:2" x14ac:dyDescent="0.25">
      <c r="A257" t="s">
        <v>9</v>
      </c>
      <c r="B257" t="s">
        <v>9</v>
      </c>
    </row>
    <row r="258" spans="1:2" x14ac:dyDescent="0.25">
      <c r="A258" t="s">
        <v>9</v>
      </c>
      <c r="B258" t="s">
        <v>9</v>
      </c>
    </row>
    <row r="259" spans="1:2" x14ac:dyDescent="0.25">
      <c r="A259" t="s">
        <v>9</v>
      </c>
      <c r="B259" t="s">
        <v>9</v>
      </c>
    </row>
    <row r="260" spans="1:2" x14ac:dyDescent="0.25">
      <c r="A260" t="s">
        <v>9</v>
      </c>
      <c r="B260" t="s">
        <v>10</v>
      </c>
    </row>
    <row r="261" spans="1:2" x14ac:dyDescent="0.25">
      <c r="A261" t="s">
        <v>9</v>
      </c>
      <c r="B261" t="s">
        <v>10</v>
      </c>
    </row>
    <row r="262" spans="1:2" x14ac:dyDescent="0.25">
      <c r="A262" t="s">
        <v>10</v>
      </c>
      <c r="B262" t="s">
        <v>9</v>
      </c>
    </row>
    <row r="263" spans="1:2" x14ac:dyDescent="0.25">
      <c r="A263" t="s">
        <v>10</v>
      </c>
      <c r="B263" t="s">
        <v>9</v>
      </c>
    </row>
    <row r="264" spans="1:2" x14ac:dyDescent="0.25">
      <c r="A264" t="s">
        <v>10</v>
      </c>
      <c r="B264" t="s">
        <v>10</v>
      </c>
    </row>
    <row r="265" spans="1:2" x14ac:dyDescent="0.25">
      <c r="A265" t="s">
        <v>9</v>
      </c>
      <c r="B265" t="s">
        <v>9</v>
      </c>
    </row>
    <row r="266" spans="1:2" x14ac:dyDescent="0.25">
      <c r="A266" t="s">
        <v>9</v>
      </c>
      <c r="B266" t="s">
        <v>9</v>
      </c>
    </row>
    <row r="267" spans="1:2" x14ac:dyDescent="0.25">
      <c r="A267" t="s">
        <v>9</v>
      </c>
      <c r="B267" t="s">
        <v>9</v>
      </c>
    </row>
    <row r="268" spans="1:2" x14ac:dyDescent="0.25">
      <c r="A268" t="s">
        <v>9</v>
      </c>
      <c r="B268" t="s">
        <v>9</v>
      </c>
    </row>
    <row r="269" spans="1:2" x14ac:dyDescent="0.25">
      <c r="A269" t="s">
        <v>10</v>
      </c>
      <c r="B269" t="s">
        <v>9</v>
      </c>
    </row>
    <row r="270" spans="1:2" x14ac:dyDescent="0.25">
      <c r="A270" t="s">
        <v>9</v>
      </c>
      <c r="B270" t="s">
        <v>9</v>
      </c>
    </row>
    <row r="271" spans="1:2" x14ac:dyDescent="0.25">
      <c r="A271" t="s">
        <v>9</v>
      </c>
      <c r="B271" t="s">
        <v>9</v>
      </c>
    </row>
    <row r="272" spans="1:2" x14ac:dyDescent="0.25">
      <c r="A272" t="s">
        <v>9</v>
      </c>
      <c r="B272" t="s">
        <v>9</v>
      </c>
    </row>
    <row r="273" spans="1:2" x14ac:dyDescent="0.25">
      <c r="A273" t="s">
        <v>9</v>
      </c>
      <c r="B273" t="s">
        <v>9</v>
      </c>
    </row>
    <row r="274" spans="1:2" x14ac:dyDescent="0.25">
      <c r="A274" t="s">
        <v>9</v>
      </c>
      <c r="B274" t="s">
        <v>9</v>
      </c>
    </row>
    <row r="275" spans="1:2" x14ac:dyDescent="0.25">
      <c r="A275" t="s">
        <v>9</v>
      </c>
      <c r="B275" t="s">
        <v>9</v>
      </c>
    </row>
    <row r="276" spans="1:2" x14ac:dyDescent="0.25">
      <c r="A276" t="s">
        <v>9</v>
      </c>
      <c r="B276" t="s">
        <v>9</v>
      </c>
    </row>
    <row r="277" spans="1:2" x14ac:dyDescent="0.25">
      <c r="A277" t="s">
        <v>9</v>
      </c>
      <c r="B277" t="s">
        <v>9</v>
      </c>
    </row>
    <row r="278" spans="1:2" x14ac:dyDescent="0.25">
      <c r="A278" t="s">
        <v>9</v>
      </c>
      <c r="B278" t="s">
        <v>9</v>
      </c>
    </row>
    <row r="279" spans="1:2" x14ac:dyDescent="0.25">
      <c r="A279" t="s">
        <v>9</v>
      </c>
      <c r="B279" t="s">
        <v>9</v>
      </c>
    </row>
    <row r="280" spans="1:2" x14ac:dyDescent="0.25">
      <c r="A280" t="s">
        <v>10</v>
      </c>
      <c r="B280" t="s">
        <v>10</v>
      </c>
    </row>
    <row r="281" spans="1:2" x14ac:dyDescent="0.25">
      <c r="A281" t="s">
        <v>9</v>
      </c>
      <c r="B281" t="s">
        <v>10</v>
      </c>
    </row>
    <row r="282" spans="1:2" x14ac:dyDescent="0.25">
      <c r="A282" t="s">
        <v>9</v>
      </c>
      <c r="B282" t="s">
        <v>10</v>
      </c>
    </row>
    <row r="283" spans="1:2" x14ac:dyDescent="0.25">
      <c r="A283" t="s">
        <v>9</v>
      </c>
      <c r="B283" t="s">
        <v>10</v>
      </c>
    </row>
    <row r="284" spans="1:2" x14ac:dyDescent="0.25">
      <c r="A284" t="s">
        <v>9</v>
      </c>
      <c r="B284" t="s">
        <v>9</v>
      </c>
    </row>
    <row r="285" spans="1:2" x14ac:dyDescent="0.25">
      <c r="A285" t="s">
        <v>9</v>
      </c>
      <c r="B285" t="s">
        <v>9</v>
      </c>
    </row>
    <row r="286" spans="1:2" x14ac:dyDescent="0.25">
      <c r="A286" t="s">
        <v>9</v>
      </c>
      <c r="B286" t="s">
        <v>9</v>
      </c>
    </row>
    <row r="287" spans="1:2" x14ac:dyDescent="0.25">
      <c r="A287" t="s">
        <v>9</v>
      </c>
      <c r="B287" t="s">
        <v>10</v>
      </c>
    </row>
    <row r="288" spans="1:2" x14ac:dyDescent="0.25">
      <c r="A288" t="s">
        <v>10</v>
      </c>
      <c r="B288" t="s">
        <v>10</v>
      </c>
    </row>
    <row r="289" spans="1:2" x14ac:dyDescent="0.25">
      <c r="A289" t="s">
        <v>9</v>
      </c>
      <c r="B289" t="s">
        <v>9</v>
      </c>
    </row>
    <row r="290" spans="1:2" x14ac:dyDescent="0.25">
      <c r="A290" t="s">
        <v>9</v>
      </c>
      <c r="B290" t="s">
        <v>9</v>
      </c>
    </row>
    <row r="291" spans="1:2" x14ac:dyDescent="0.25">
      <c r="A291" t="s">
        <v>9</v>
      </c>
      <c r="B291" t="s">
        <v>9</v>
      </c>
    </row>
    <row r="292" spans="1:2" x14ac:dyDescent="0.25">
      <c r="A292" t="s">
        <v>9</v>
      </c>
      <c r="B292" t="s">
        <v>9</v>
      </c>
    </row>
    <row r="293" spans="1:2" x14ac:dyDescent="0.25">
      <c r="A293" t="s">
        <v>9</v>
      </c>
      <c r="B293" t="s">
        <v>9</v>
      </c>
    </row>
    <row r="294" spans="1:2" x14ac:dyDescent="0.25">
      <c r="A294" t="s">
        <v>9</v>
      </c>
      <c r="B294" t="s">
        <v>9</v>
      </c>
    </row>
    <row r="295" spans="1:2" x14ac:dyDescent="0.25">
      <c r="A295" t="s">
        <v>9</v>
      </c>
      <c r="B295" t="s">
        <v>9</v>
      </c>
    </row>
    <row r="296" spans="1:2" x14ac:dyDescent="0.25">
      <c r="A296" t="s">
        <v>9</v>
      </c>
      <c r="B296" t="s">
        <v>10</v>
      </c>
    </row>
    <row r="297" spans="1:2" x14ac:dyDescent="0.25">
      <c r="A297" t="s">
        <v>9</v>
      </c>
      <c r="B297" t="s">
        <v>10</v>
      </c>
    </row>
    <row r="298" spans="1:2" x14ac:dyDescent="0.25">
      <c r="A298" t="s">
        <v>9</v>
      </c>
      <c r="B298" t="s">
        <v>9</v>
      </c>
    </row>
    <row r="299" spans="1:2" x14ac:dyDescent="0.25">
      <c r="A299" t="s">
        <v>10</v>
      </c>
      <c r="B299" t="s">
        <v>10</v>
      </c>
    </row>
    <row r="300" spans="1:2" x14ac:dyDescent="0.25">
      <c r="A300" t="s">
        <v>10</v>
      </c>
      <c r="B300" t="s">
        <v>10</v>
      </c>
    </row>
    <row r="301" spans="1:2" x14ac:dyDescent="0.25">
      <c r="A301" t="s">
        <v>10</v>
      </c>
      <c r="B301" t="s">
        <v>10</v>
      </c>
    </row>
    <row r="302" spans="1:2" x14ac:dyDescent="0.25">
      <c r="A302" t="s">
        <v>9</v>
      </c>
      <c r="B302" t="s">
        <v>9</v>
      </c>
    </row>
    <row r="303" spans="1:2" x14ac:dyDescent="0.25">
      <c r="A303" t="s">
        <v>9</v>
      </c>
      <c r="B303" t="s">
        <v>9</v>
      </c>
    </row>
    <row r="304" spans="1:2" x14ac:dyDescent="0.25">
      <c r="A304" t="s">
        <v>9</v>
      </c>
      <c r="B304" t="s">
        <v>9</v>
      </c>
    </row>
    <row r="305" spans="1:2" x14ac:dyDescent="0.25">
      <c r="A305" t="s">
        <v>9</v>
      </c>
      <c r="B305" t="s">
        <v>9</v>
      </c>
    </row>
    <row r="306" spans="1:2" x14ac:dyDescent="0.25">
      <c r="A306" t="s">
        <v>10</v>
      </c>
      <c r="B306" t="s">
        <v>9</v>
      </c>
    </row>
    <row r="307" spans="1:2" x14ac:dyDescent="0.25">
      <c r="A307" t="s">
        <v>9</v>
      </c>
      <c r="B307" t="s">
        <v>9</v>
      </c>
    </row>
    <row r="308" spans="1:2" x14ac:dyDescent="0.25">
      <c r="A308" t="s">
        <v>9</v>
      </c>
      <c r="B308" t="s">
        <v>9</v>
      </c>
    </row>
    <row r="309" spans="1:2" x14ac:dyDescent="0.25">
      <c r="A309" t="s">
        <v>9</v>
      </c>
      <c r="B309" t="s">
        <v>9</v>
      </c>
    </row>
    <row r="310" spans="1:2" x14ac:dyDescent="0.25">
      <c r="A310" t="s">
        <v>9</v>
      </c>
      <c r="B310" t="s">
        <v>10</v>
      </c>
    </row>
    <row r="311" spans="1:2" x14ac:dyDescent="0.25">
      <c r="A311" t="s">
        <v>9</v>
      </c>
      <c r="B311" t="s">
        <v>9</v>
      </c>
    </row>
    <row r="312" spans="1:2" x14ac:dyDescent="0.25">
      <c r="A312" t="s">
        <v>9</v>
      </c>
      <c r="B312" t="s">
        <v>9</v>
      </c>
    </row>
    <row r="313" spans="1:2" x14ac:dyDescent="0.25">
      <c r="A313" t="s">
        <v>9</v>
      </c>
      <c r="B313" t="s">
        <v>9</v>
      </c>
    </row>
    <row r="314" spans="1:2" x14ac:dyDescent="0.25">
      <c r="A314" t="s">
        <v>10</v>
      </c>
      <c r="B314" t="s">
        <v>9</v>
      </c>
    </row>
    <row r="315" spans="1:2" x14ac:dyDescent="0.25">
      <c r="A315" t="s">
        <v>9</v>
      </c>
      <c r="B315" t="s">
        <v>9</v>
      </c>
    </row>
    <row r="316" spans="1:2" x14ac:dyDescent="0.25">
      <c r="A316" t="s">
        <v>9</v>
      </c>
      <c r="B316" t="s">
        <v>9</v>
      </c>
    </row>
    <row r="317" spans="1:2" x14ac:dyDescent="0.25">
      <c r="A317" t="s">
        <v>9</v>
      </c>
      <c r="B317" t="s">
        <v>10</v>
      </c>
    </row>
    <row r="318" spans="1:2" x14ac:dyDescent="0.25">
      <c r="A318" t="s">
        <v>9</v>
      </c>
      <c r="B318" t="s">
        <v>9</v>
      </c>
    </row>
    <row r="319" spans="1:2" x14ac:dyDescent="0.25">
      <c r="A319" t="s">
        <v>9</v>
      </c>
      <c r="B319" t="s">
        <v>9</v>
      </c>
    </row>
    <row r="320" spans="1:2" x14ac:dyDescent="0.25">
      <c r="A320" t="s">
        <v>9</v>
      </c>
      <c r="B320" t="s">
        <v>10</v>
      </c>
    </row>
    <row r="321" spans="1:2" x14ac:dyDescent="0.25">
      <c r="A321" t="s">
        <v>9</v>
      </c>
      <c r="B321" t="s">
        <v>10</v>
      </c>
    </row>
    <row r="322" spans="1:2" x14ac:dyDescent="0.25">
      <c r="A322" t="s">
        <v>9</v>
      </c>
      <c r="B322" t="s">
        <v>9</v>
      </c>
    </row>
    <row r="323" spans="1:2" x14ac:dyDescent="0.25">
      <c r="A323" t="s">
        <v>9</v>
      </c>
      <c r="B323" t="s">
        <v>9</v>
      </c>
    </row>
    <row r="324" spans="1:2" x14ac:dyDescent="0.25">
      <c r="A324" t="s">
        <v>9</v>
      </c>
      <c r="B324" t="s">
        <v>9</v>
      </c>
    </row>
    <row r="325" spans="1:2" x14ac:dyDescent="0.25">
      <c r="A325" t="s">
        <v>9</v>
      </c>
      <c r="B325" t="s">
        <v>10</v>
      </c>
    </row>
    <row r="326" spans="1:2" x14ac:dyDescent="0.25">
      <c r="A326" t="s">
        <v>9</v>
      </c>
      <c r="B326" t="s">
        <v>9</v>
      </c>
    </row>
    <row r="327" spans="1:2" x14ac:dyDescent="0.25">
      <c r="A327" t="s">
        <v>9</v>
      </c>
      <c r="B327" t="s">
        <v>9</v>
      </c>
    </row>
    <row r="328" spans="1:2" x14ac:dyDescent="0.25">
      <c r="A328" t="s">
        <v>9</v>
      </c>
      <c r="B328" t="s">
        <v>10</v>
      </c>
    </row>
    <row r="329" spans="1:2" x14ac:dyDescent="0.25">
      <c r="A329" t="s">
        <v>9</v>
      </c>
      <c r="B329" t="s">
        <v>10</v>
      </c>
    </row>
    <row r="330" spans="1:2" x14ac:dyDescent="0.25">
      <c r="A330" t="s">
        <v>9</v>
      </c>
      <c r="B330" t="s">
        <v>10</v>
      </c>
    </row>
    <row r="331" spans="1:2" x14ac:dyDescent="0.25">
      <c r="A331" t="s">
        <v>9</v>
      </c>
      <c r="B331" t="s">
        <v>9</v>
      </c>
    </row>
    <row r="332" spans="1:2" x14ac:dyDescent="0.25">
      <c r="A332" t="s">
        <v>9</v>
      </c>
      <c r="B332" t="s">
        <v>9</v>
      </c>
    </row>
    <row r="333" spans="1:2" x14ac:dyDescent="0.25">
      <c r="A333" t="s">
        <v>10</v>
      </c>
      <c r="B333" t="s">
        <v>9</v>
      </c>
    </row>
    <row r="334" spans="1:2" x14ac:dyDescent="0.25">
      <c r="A334" t="s">
        <v>10</v>
      </c>
      <c r="B334" t="s">
        <v>10</v>
      </c>
    </row>
    <row r="335" spans="1:2" x14ac:dyDescent="0.25">
      <c r="A335" t="s">
        <v>9</v>
      </c>
      <c r="B335" t="s">
        <v>9</v>
      </c>
    </row>
    <row r="336" spans="1:2" x14ac:dyDescent="0.25">
      <c r="A336" t="s">
        <v>9</v>
      </c>
      <c r="B336" t="s">
        <v>9</v>
      </c>
    </row>
    <row r="337" spans="1:2" x14ac:dyDescent="0.25">
      <c r="A337" t="s">
        <v>10</v>
      </c>
      <c r="B337" t="s">
        <v>9</v>
      </c>
    </row>
    <row r="338" spans="1:2" x14ac:dyDescent="0.25">
      <c r="A338" t="s">
        <v>9</v>
      </c>
      <c r="B338" t="s">
        <v>9</v>
      </c>
    </row>
    <row r="339" spans="1:2" x14ac:dyDescent="0.25">
      <c r="A339" t="s">
        <v>9</v>
      </c>
      <c r="B339" t="s">
        <v>9</v>
      </c>
    </row>
    <row r="340" spans="1:2" x14ac:dyDescent="0.25">
      <c r="A340" t="s">
        <v>10</v>
      </c>
      <c r="B340" t="s">
        <v>10</v>
      </c>
    </row>
    <row r="341" spans="1:2" x14ac:dyDescent="0.25">
      <c r="A341" t="s">
        <v>9</v>
      </c>
      <c r="B341" t="s">
        <v>9</v>
      </c>
    </row>
    <row r="342" spans="1:2" x14ac:dyDescent="0.25">
      <c r="A342" t="s">
        <v>9</v>
      </c>
      <c r="B342" t="s">
        <v>10</v>
      </c>
    </row>
    <row r="343" spans="1:2" x14ac:dyDescent="0.25">
      <c r="A343" t="s">
        <v>9</v>
      </c>
      <c r="B343" t="s">
        <v>10</v>
      </c>
    </row>
    <row r="344" spans="1:2" x14ac:dyDescent="0.25">
      <c r="A344" t="s">
        <v>9</v>
      </c>
      <c r="B344" t="s">
        <v>9</v>
      </c>
    </row>
    <row r="345" spans="1:2" x14ac:dyDescent="0.25">
      <c r="A345" t="s">
        <v>9</v>
      </c>
      <c r="B345" t="s">
        <v>9</v>
      </c>
    </row>
    <row r="346" spans="1:2" x14ac:dyDescent="0.25">
      <c r="A346" t="s">
        <v>9</v>
      </c>
      <c r="B346" t="s">
        <v>9</v>
      </c>
    </row>
    <row r="347" spans="1:2" x14ac:dyDescent="0.25">
      <c r="A347" t="s">
        <v>9</v>
      </c>
      <c r="B347" t="s">
        <v>9</v>
      </c>
    </row>
    <row r="348" spans="1:2" x14ac:dyDescent="0.25">
      <c r="A348" t="s">
        <v>9</v>
      </c>
      <c r="B348" t="s">
        <v>9</v>
      </c>
    </row>
    <row r="349" spans="1:2" x14ac:dyDescent="0.25">
      <c r="A349" t="s">
        <v>9</v>
      </c>
      <c r="B349" t="s">
        <v>9</v>
      </c>
    </row>
    <row r="350" spans="1:2" x14ac:dyDescent="0.25">
      <c r="A350" t="s">
        <v>9</v>
      </c>
      <c r="B350" t="s">
        <v>9</v>
      </c>
    </row>
    <row r="351" spans="1:2" x14ac:dyDescent="0.25">
      <c r="A351" t="s">
        <v>9</v>
      </c>
      <c r="B351" t="s">
        <v>9</v>
      </c>
    </row>
    <row r="352" spans="1:2" x14ac:dyDescent="0.25">
      <c r="A352" t="s">
        <v>9</v>
      </c>
      <c r="B352" t="s">
        <v>9</v>
      </c>
    </row>
    <row r="353" spans="1:2" x14ac:dyDescent="0.25">
      <c r="A353" t="s">
        <v>9</v>
      </c>
      <c r="B353" t="s">
        <v>9</v>
      </c>
    </row>
    <row r="354" spans="1:2" x14ac:dyDescent="0.25">
      <c r="A354" t="s">
        <v>9</v>
      </c>
      <c r="B354" t="s">
        <v>10</v>
      </c>
    </row>
    <row r="355" spans="1:2" x14ac:dyDescent="0.25">
      <c r="A355" t="s">
        <v>9</v>
      </c>
      <c r="B355" t="s">
        <v>10</v>
      </c>
    </row>
    <row r="356" spans="1:2" x14ac:dyDescent="0.25">
      <c r="A356" t="s">
        <v>9</v>
      </c>
      <c r="B356" t="s">
        <v>10</v>
      </c>
    </row>
    <row r="357" spans="1:2" x14ac:dyDescent="0.25">
      <c r="A357" t="s">
        <v>9</v>
      </c>
      <c r="B357" t="s">
        <v>9</v>
      </c>
    </row>
    <row r="358" spans="1:2" x14ac:dyDescent="0.25">
      <c r="A358" t="s">
        <v>9</v>
      </c>
      <c r="B358" t="s">
        <v>9</v>
      </c>
    </row>
    <row r="359" spans="1:2" x14ac:dyDescent="0.25">
      <c r="A359" t="s">
        <v>10</v>
      </c>
      <c r="B359" t="s">
        <v>9</v>
      </c>
    </row>
    <row r="360" spans="1:2" x14ac:dyDescent="0.25">
      <c r="A360" t="s">
        <v>9</v>
      </c>
      <c r="B360" t="s">
        <v>10</v>
      </c>
    </row>
    <row r="361" spans="1:2" x14ac:dyDescent="0.25">
      <c r="A361" t="s">
        <v>9</v>
      </c>
      <c r="B361" t="s">
        <v>9</v>
      </c>
    </row>
    <row r="362" spans="1:2" x14ac:dyDescent="0.25">
      <c r="A362" t="s">
        <v>9</v>
      </c>
      <c r="B362" t="s">
        <v>9</v>
      </c>
    </row>
    <row r="363" spans="1:2" x14ac:dyDescent="0.25">
      <c r="A363" t="s">
        <v>10</v>
      </c>
      <c r="B363" t="s">
        <v>9</v>
      </c>
    </row>
    <row r="364" spans="1:2" x14ac:dyDescent="0.25">
      <c r="A364" t="s">
        <v>10</v>
      </c>
      <c r="B364" t="s">
        <v>9</v>
      </c>
    </row>
    <row r="365" spans="1:2" x14ac:dyDescent="0.25">
      <c r="A365" t="s">
        <v>9</v>
      </c>
      <c r="B365" t="s">
        <v>9</v>
      </c>
    </row>
    <row r="366" spans="1:2" x14ac:dyDescent="0.25">
      <c r="A366" t="s">
        <v>9</v>
      </c>
      <c r="B366" t="s">
        <v>9</v>
      </c>
    </row>
    <row r="367" spans="1:2" x14ac:dyDescent="0.25">
      <c r="A367" t="s">
        <v>9</v>
      </c>
      <c r="B367" t="s">
        <v>9</v>
      </c>
    </row>
    <row r="368" spans="1:2" x14ac:dyDescent="0.25">
      <c r="A368" t="s">
        <v>9</v>
      </c>
      <c r="B368" t="s">
        <v>9</v>
      </c>
    </row>
    <row r="369" spans="1:2" x14ac:dyDescent="0.25">
      <c r="A369" t="s">
        <v>9</v>
      </c>
      <c r="B369" t="s">
        <v>9</v>
      </c>
    </row>
    <row r="370" spans="1:2" x14ac:dyDescent="0.25">
      <c r="A370" t="s">
        <v>9</v>
      </c>
      <c r="B370" t="s">
        <v>9</v>
      </c>
    </row>
    <row r="371" spans="1:2" x14ac:dyDescent="0.25">
      <c r="A371" t="s">
        <v>9</v>
      </c>
      <c r="B371" t="s">
        <v>9</v>
      </c>
    </row>
    <row r="372" spans="1:2" x14ac:dyDescent="0.25">
      <c r="A372" t="s">
        <v>9</v>
      </c>
      <c r="B372" t="s">
        <v>9</v>
      </c>
    </row>
    <row r="373" spans="1:2" x14ac:dyDescent="0.25">
      <c r="A373" t="s">
        <v>9</v>
      </c>
      <c r="B373" t="s">
        <v>9</v>
      </c>
    </row>
    <row r="374" spans="1:2" x14ac:dyDescent="0.25">
      <c r="A374" t="s">
        <v>9</v>
      </c>
      <c r="B374" t="s">
        <v>9</v>
      </c>
    </row>
    <row r="375" spans="1:2" x14ac:dyDescent="0.25">
      <c r="A375" t="s">
        <v>9</v>
      </c>
      <c r="B375" t="s">
        <v>9</v>
      </c>
    </row>
    <row r="376" spans="1:2" x14ac:dyDescent="0.25">
      <c r="A376" t="s">
        <v>9</v>
      </c>
      <c r="B376" t="s">
        <v>9</v>
      </c>
    </row>
    <row r="377" spans="1:2" x14ac:dyDescent="0.25">
      <c r="A377" t="s">
        <v>9</v>
      </c>
      <c r="B377" t="s">
        <v>10</v>
      </c>
    </row>
    <row r="378" spans="1:2" x14ac:dyDescent="0.25">
      <c r="A378" t="s">
        <v>10</v>
      </c>
      <c r="B378" t="s">
        <v>9</v>
      </c>
    </row>
    <row r="379" spans="1:2" x14ac:dyDescent="0.25">
      <c r="A379" t="s">
        <v>9</v>
      </c>
      <c r="B379" t="s">
        <v>10</v>
      </c>
    </row>
    <row r="380" spans="1:2" x14ac:dyDescent="0.25">
      <c r="A380" t="s">
        <v>9</v>
      </c>
      <c r="B380" t="s">
        <v>10</v>
      </c>
    </row>
    <row r="381" spans="1:2" x14ac:dyDescent="0.25">
      <c r="A381" t="s">
        <v>10</v>
      </c>
      <c r="B381" t="s">
        <v>10</v>
      </c>
    </row>
    <row r="382" spans="1:2" x14ac:dyDescent="0.25">
      <c r="A382" t="s">
        <v>9</v>
      </c>
      <c r="B382" t="s">
        <v>9</v>
      </c>
    </row>
    <row r="383" spans="1:2" x14ac:dyDescent="0.25">
      <c r="A383" t="s">
        <v>9</v>
      </c>
      <c r="B383" t="s">
        <v>9</v>
      </c>
    </row>
    <row r="384" spans="1:2" x14ac:dyDescent="0.25">
      <c r="A384" t="s">
        <v>9</v>
      </c>
      <c r="B384" t="s">
        <v>9</v>
      </c>
    </row>
    <row r="385" spans="1:2" x14ac:dyDescent="0.25">
      <c r="A385" t="s">
        <v>9</v>
      </c>
      <c r="B385" t="s">
        <v>9</v>
      </c>
    </row>
    <row r="386" spans="1:2" x14ac:dyDescent="0.25">
      <c r="A386" t="s">
        <v>10</v>
      </c>
      <c r="B386" t="s">
        <v>10</v>
      </c>
    </row>
    <row r="387" spans="1:2" x14ac:dyDescent="0.25">
      <c r="A387" t="s">
        <v>9</v>
      </c>
      <c r="B387" t="s">
        <v>9</v>
      </c>
    </row>
    <row r="388" spans="1:2" x14ac:dyDescent="0.25">
      <c r="A388" t="s">
        <v>9</v>
      </c>
      <c r="B388" t="s">
        <v>9</v>
      </c>
    </row>
    <row r="389" spans="1:2" x14ac:dyDescent="0.25">
      <c r="A389" t="s">
        <v>9</v>
      </c>
      <c r="B389" t="s">
        <v>9</v>
      </c>
    </row>
    <row r="390" spans="1:2" x14ac:dyDescent="0.25">
      <c r="A390" t="s">
        <v>9</v>
      </c>
      <c r="B390" t="s">
        <v>9</v>
      </c>
    </row>
    <row r="391" spans="1:2" x14ac:dyDescent="0.25">
      <c r="A391" t="s">
        <v>10</v>
      </c>
      <c r="B391" t="s">
        <v>10</v>
      </c>
    </row>
    <row r="392" spans="1:2" x14ac:dyDescent="0.25">
      <c r="A392" t="s">
        <v>9</v>
      </c>
      <c r="B392" t="s">
        <v>9</v>
      </c>
    </row>
    <row r="393" spans="1:2" x14ac:dyDescent="0.25">
      <c r="A393" t="s">
        <v>9</v>
      </c>
      <c r="B393" t="s">
        <v>10</v>
      </c>
    </row>
    <row r="394" spans="1:2" x14ac:dyDescent="0.25">
      <c r="A394" t="s">
        <v>9</v>
      </c>
      <c r="B394" t="s">
        <v>10</v>
      </c>
    </row>
    <row r="395" spans="1:2" x14ac:dyDescent="0.25">
      <c r="A395" t="s">
        <v>9</v>
      </c>
      <c r="B395" t="s">
        <v>9</v>
      </c>
    </row>
    <row r="396" spans="1:2" x14ac:dyDescent="0.25">
      <c r="A396" t="s">
        <v>9</v>
      </c>
      <c r="B396" t="s">
        <v>10</v>
      </c>
    </row>
    <row r="397" spans="1:2" x14ac:dyDescent="0.25">
      <c r="A397" t="s">
        <v>9</v>
      </c>
      <c r="B397" t="s">
        <v>10</v>
      </c>
    </row>
    <row r="398" spans="1:2" x14ac:dyDescent="0.25">
      <c r="A398" t="s">
        <v>9</v>
      </c>
      <c r="B398" t="s">
        <v>9</v>
      </c>
    </row>
    <row r="399" spans="1:2" x14ac:dyDescent="0.25">
      <c r="A399" t="s">
        <v>10</v>
      </c>
      <c r="B399" t="s">
        <v>9</v>
      </c>
    </row>
    <row r="400" spans="1:2" x14ac:dyDescent="0.25">
      <c r="A400" t="s">
        <v>9</v>
      </c>
      <c r="B400" t="s">
        <v>9</v>
      </c>
    </row>
    <row r="401" spans="1:2" x14ac:dyDescent="0.25">
      <c r="A401" t="s">
        <v>9</v>
      </c>
      <c r="B401" t="s">
        <v>10</v>
      </c>
    </row>
    <row r="402" spans="1:2" x14ac:dyDescent="0.25">
      <c r="A402" t="s">
        <v>9</v>
      </c>
      <c r="B402" t="s">
        <v>9</v>
      </c>
    </row>
    <row r="403" spans="1:2" x14ac:dyDescent="0.25">
      <c r="A403" t="s">
        <v>9</v>
      </c>
      <c r="B403" t="s">
        <v>9</v>
      </c>
    </row>
    <row r="404" spans="1:2" x14ac:dyDescent="0.25">
      <c r="A404" t="s">
        <v>9</v>
      </c>
      <c r="B404" t="s">
        <v>9</v>
      </c>
    </row>
    <row r="405" spans="1:2" x14ac:dyDescent="0.25">
      <c r="A405" t="s">
        <v>9</v>
      </c>
      <c r="B405" t="s">
        <v>9</v>
      </c>
    </row>
    <row r="406" spans="1:2" x14ac:dyDescent="0.25">
      <c r="A406" t="s">
        <v>9</v>
      </c>
      <c r="B406" t="s">
        <v>9</v>
      </c>
    </row>
    <row r="407" spans="1:2" x14ac:dyDescent="0.25">
      <c r="A407" t="s">
        <v>9</v>
      </c>
      <c r="B407" t="s">
        <v>10</v>
      </c>
    </row>
    <row r="408" spans="1:2" x14ac:dyDescent="0.25">
      <c r="A408" t="s">
        <v>9</v>
      </c>
      <c r="B408" t="s">
        <v>9</v>
      </c>
    </row>
    <row r="409" spans="1:2" x14ac:dyDescent="0.25">
      <c r="A409" t="s">
        <v>9</v>
      </c>
      <c r="B409" t="s">
        <v>9</v>
      </c>
    </row>
    <row r="410" spans="1:2" x14ac:dyDescent="0.25">
      <c r="A410" t="s">
        <v>9</v>
      </c>
      <c r="B410" t="s">
        <v>9</v>
      </c>
    </row>
    <row r="411" spans="1:2" x14ac:dyDescent="0.25">
      <c r="A411" t="s">
        <v>9</v>
      </c>
      <c r="B411" t="s">
        <v>9</v>
      </c>
    </row>
    <row r="412" spans="1:2" x14ac:dyDescent="0.25">
      <c r="A412" t="s">
        <v>9</v>
      </c>
      <c r="B412" t="s">
        <v>9</v>
      </c>
    </row>
    <row r="413" spans="1:2" x14ac:dyDescent="0.25">
      <c r="A413" t="s">
        <v>9</v>
      </c>
      <c r="B413" t="s">
        <v>9</v>
      </c>
    </row>
    <row r="414" spans="1:2" x14ac:dyDescent="0.25">
      <c r="A414" t="s">
        <v>9</v>
      </c>
      <c r="B414" t="s">
        <v>9</v>
      </c>
    </row>
    <row r="415" spans="1:2" x14ac:dyDescent="0.25">
      <c r="A415" t="s">
        <v>9</v>
      </c>
      <c r="B415" t="s">
        <v>9</v>
      </c>
    </row>
    <row r="416" spans="1:2" x14ac:dyDescent="0.25">
      <c r="A416" t="s">
        <v>10</v>
      </c>
      <c r="B416" t="s">
        <v>9</v>
      </c>
    </row>
    <row r="417" spans="1:2" x14ac:dyDescent="0.25">
      <c r="A417" t="s">
        <v>9</v>
      </c>
      <c r="B417" t="s">
        <v>9</v>
      </c>
    </row>
    <row r="418" spans="1:2" x14ac:dyDescent="0.25">
      <c r="A418" t="s">
        <v>9</v>
      </c>
      <c r="B418" t="s">
        <v>9</v>
      </c>
    </row>
    <row r="419" spans="1:2" x14ac:dyDescent="0.25">
      <c r="A419" t="s">
        <v>9</v>
      </c>
      <c r="B419" t="s">
        <v>9</v>
      </c>
    </row>
    <row r="420" spans="1:2" x14ac:dyDescent="0.25">
      <c r="A420" t="s">
        <v>9</v>
      </c>
      <c r="B420" t="s">
        <v>9</v>
      </c>
    </row>
    <row r="421" spans="1:2" x14ac:dyDescent="0.25">
      <c r="A421" t="s">
        <v>9</v>
      </c>
      <c r="B421" t="s">
        <v>9</v>
      </c>
    </row>
    <row r="422" spans="1:2" x14ac:dyDescent="0.25">
      <c r="A422" t="s">
        <v>9</v>
      </c>
      <c r="B422" t="s">
        <v>9</v>
      </c>
    </row>
    <row r="423" spans="1:2" x14ac:dyDescent="0.25">
      <c r="A423" t="s">
        <v>9</v>
      </c>
      <c r="B423" t="s">
        <v>10</v>
      </c>
    </row>
    <row r="424" spans="1:2" x14ac:dyDescent="0.25">
      <c r="A424" t="s">
        <v>10</v>
      </c>
      <c r="B424" t="s">
        <v>10</v>
      </c>
    </row>
    <row r="425" spans="1:2" x14ac:dyDescent="0.25">
      <c r="A425" t="s">
        <v>9</v>
      </c>
      <c r="B425" t="s">
        <v>9</v>
      </c>
    </row>
    <row r="426" spans="1:2" x14ac:dyDescent="0.25">
      <c r="A426" t="s">
        <v>9</v>
      </c>
      <c r="B426" t="s">
        <v>9</v>
      </c>
    </row>
    <row r="427" spans="1:2" x14ac:dyDescent="0.25">
      <c r="A427" t="s">
        <v>9</v>
      </c>
      <c r="B427" t="s">
        <v>9</v>
      </c>
    </row>
    <row r="428" spans="1:2" x14ac:dyDescent="0.25">
      <c r="A428" t="s">
        <v>9</v>
      </c>
      <c r="B428" t="s">
        <v>9</v>
      </c>
    </row>
    <row r="429" spans="1:2" x14ac:dyDescent="0.25">
      <c r="A429" t="s">
        <v>9</v>
      </c>
      <c r="B429" t="s">
        <v>9</v>
      </c>
    </row>
    <row r="430" spans="1:2" x14ac:dyDescent="0.25">
      <c r="A430" t="s">
        <v>10</v>
      </c>
      <c r="B430" t="s">
        <v>10</v>
      </c>
    </row>
    <row r="431" spans="1:2" x14ac:dyDescent="0.25">
      <c r="A431" t="s">
        <v>9</v>
      </c>
      <c r="B431" t="s">
        <v>9</v>
      </c>
    </row>
    <row r="432" spans="1:2" x14ac:dyDescent="0.25">
      <c r="A432" t="s">
        <v>9</v>
      </c>
      <c r="B432" t="s">
        <v>10</v>
      </c>
    </row>
    <row r="433" spans="1:2" x14ac:dyDescent="0.25">
      <c r="A433" t="s">
        <v>9</v>
      </c>
      <c r="B433" t="s">
        <v>9</v>
      </c>
    </row>
    <row r="434" spans="1:2" x14ac:dyDescent="0.25">
      <c r="A434" t="s">
        <v>10</v>
      </c>
      <c r="B434" t="s">
        <v>9</v>
      </c>
    </row>
    <row r="435" spans="1:2" x14ac:dyDescent="0.25">
      <c r="A435" t="s">
        <v>9</v>
      </c>
      <c r="B435" t="s">
        <v>9</v>
      </c>
    </row>
    <row r="436" spans="1:2" x14ac:dyDescent="0.25">
      <c r="A436" t="s">
        <v>9</v>
      </c>
      <c r="B436" t="s">
        <v>9</v>
      </c>
    </row>
    <row r="437" spans="1:2" x14ac:dyDescent="0.25">
      <c r="A437" t="s">
        <v>9</v>
      </c>
      <c r="B437" t="s">
        <v>9</v>
      </c>
    </row>
    <row r="438" spans="1:2" x14ac:dyDescent="0.25">
      <c r="A438" t="s">
        <v>10</v>
      </c>
      <c r="B438" t="s">
        <v>9</v>
      </c>
    </row>
    <row r="439" spans="1:2" x14ac:dyDescent="0.25">
      <c r="A439" t="s">
        <v>9</v>
      </c>
      <c r="B439" t="s">
        <v>9</v>
      </c>
    </row>
    <row r="440" spans="1:2" x14ac:dyDescent="0.25">
      <c r="A440" t="s">
        <v>10</v>
      </c>
      <c r="B440" t="s">
        <v>10</v>
      </c>
    </row>
    <row r="441" spans="1:2" x14ac:dyDescent="0.25">
      <c r="A441" t="s">
        <v>9</v>
      </c>
      <c r="B441" t="s">
        <v>9</v>
      </c>
    </row>
    <row r="442" spans="1:2" x14ac:dyDescent="0.25">
      <c r="A442" t="s">
        <v>9</v>
      </c>
      <c r="B442" t="s">
        <v>10</v>
      </c>
    </row>
    <row r="443" spans="1:2" x14ac:dyDescent="0.25">
      <c r="A443" t="s">
        <v>9</v>
      </c>
      <c r="B443" t="s">
        <v>9</v>
      </c>
    </row>
    <row r="444" spans="1:2" x14ac:dyDescent="0.25">
      <c r="A444" t="s">
        <v>10</v>
      </c>
      <c r="B444" t="s">
        <v>9</v>
      </c>
    </row>
    <row r="445" spans="1:2" x14ac:dyDescent="0.25">
      <c r="A445" t="s">
        <v>9</v>
      </c>
      <c r="B445" t="s">
        <v>10</v>
      </c>
    </row>
    <row r="446" spans="1:2" x14ac:dyDescent="0.25">
      <c r="A446" t="s">
        <v>9</v>
      </c>
      <c r="B446" t="s">
        <v>10</v>
      </c>
    </row>
    <row r="447" spans="1:2" x14ac:dyDescent="0.25">
      <c r="A447" t="s">
        <v>9</v>
      </c>
      <c r="B447" t="s">
        <v>9</v>
      </c>
    </row>
    <row r="448" spans="1:2" x14ac:dyDescent="0.25">
      <c r="A448" t="s">
        <v>9</v>
      </c>
      <c r="B448" t="s">
        <v>9</v>
      </c>
    </row>
    <row r="449" spans="1:2" x14ac:dyDescent="0.25">
      <c r="A449" t="s">
        <v>9</v>
      </c>
      <c r="B449" t="s">
        <v>9</v>
      </c>
    </row>
    <row r="450" spans="1:2" x14ac:dyDescent="0.25">
      <c r="A450" t="s">
        <v>9</v>
      </c>
      <c r="B450" t="s">
        <v>9</v>
      </c>
    </row>
    <row r="451" spans="1:2" x14ac:dyDescent="0.25">
      <c r="A451" t="s">
        <v>9</v>
      </c>
      <c r="B451" t="s">
        <v>9</v>
      </c>
    </row>
    <row r="452" spans="1:2" x14ac:dyDescent="0.25">
      <c r="A452" t="s">
        <v>9</v>
      </c>
      <c r="B452" t="s">
        <v>10</v>
      </c>
    </row>
    <row r="453" spans="1:2" x14ac:dyDescent="0.25">
      <c r="A453" t="s">
        <v>9</v>
      </c>
      <c r="B453" t="s">
        <v>9</v>
      </c>
    </row>
    <row r="454" spans="1:2" x14ac:dyDescent="0.25">
      <c r="A454" t="s">
        <v>10</v>
      </c>
      <c r="B454" t="s">
        <v>10</v>
      </c>
    </row>
    <row r="455" spans="1:2" x14ac:dyDescent="0.25">
      <c r="A455" t="s">
        <v>9</v>
      </c>
      <c r="B455" t="s">
        <v>9</v>
      </c>
    </row>
    <row r="456" spans="1:2" x14ac:dyDescent="0.25">
      <c r="A456" t="s">
        <v>9</v>
      </c>
      <c r="B456" t="s">
        <v>9</v>
      </c>
    </row>
    <row r="457" spans="1:2" x14ac:dyDescent="0.25">
      <c r="A457" t="s">
        <v>9</v>
      </c>
      <c r="B457" t="s">
        <v>9</v>
      </c>
    </row>
    <row r="458" spans="1:2" x14ac:dyDescent="0.25">
      <c r="A458" t="s">
        <v>9</v>
      </c>
      <c r="B458" t="s">
        <v>9</v>
      </c>
    </row>
    <row r="459" spans="1:2" x14ac:dyDescent="0.25">
      <c r="A459" t="s">
        <v>9</v>
      </c>
      <c r="B459" t="s">
        <v>10</v>
      </c>
    </row>
    <row r="460" spans="1:2" x14ac:dyDescent="0.25">
      <c r="A460" t="s">
        <v>9</v>
      </c>
      <c r="B460" t="s">
        <v>9</v>
      </c>
    </row>
    <row r="461" spans="1:2" x14ac:dyDescent="0.25">
      <c r="A461" t="s">
        <v>9</v>
      </c>
      <c r="B461" t="s">
        <v>9</v>
      </c>
    </row>
    <row r="462" spans="1:2" x14ac:dyDescent="0.25">
      <c r="A462" t="s">
        <v>9</v>
      </c>
      <c r="B462" t="s">
        <v>9</v>
      </c>
    </row>
    <row r="463" spans="1:2" x14ac:dyDescent="0.25">
      <c r="A463" t="s">
        <v>9</v>
      </c>
      <c r="B463" t="s">
        <v>9</v>
      </c>
    </row>
    <row r="464" spans="1:2" x14ac:dyDescent="0.25">
      <c r="A464" t="s">
        <v>9</v>
      </c>
      <c r="B464" t="s">
        <v>9</v>
      </c>
    </row>
    <row r="465" spans="1:2" x14ac:dyDescent="0.25">
      <c r="A465" t="s">
        <v>9</v>
      </c>
      <c r="B465" t="s">
        <v>9</v>
      </c>
    </row>
    <row r="466" spans="1:2" x14ac:dyDescent="0.25">
      <c r="A466" t="s">
        <v>10</v>
      </c>
      <c r="B466" t="s">
        <v>10</v>
      </c>
    </row>
    <row r="467" spans="1:2" x14ac:dyDescent="0.25">
      <c r="A467" t="s">
        <v>9</v>
      </c>
      <c r="B467" t="s">
        <v>10</v>
      </c>
    </row>
    <row r="468" spans="1:2" x14ac:dyDescent="0.25">
      <c r="A468" t="s">
        <v>9</v>
      </c>
      <c r="B468" t="s">
        <v>10</v>
      </c>
    </row>
    <row r="469" spans="1:2" x14ac:dyDescent="0.25">
      <c r="A469" t="s">
        <v>9</v>
      </c>
      <c r="B469" t="s">
        <v>9</v>
      </c>
    </row>
    <row r="470" spans="1:2" x14ac:dyDescent="0.25">
      <c r="A470" t="s">
        <v>10</v>
      </c>
      <c r="B470" t="s">
        <v>9</v>
      </c>
    </row>
    <row r="471" spans="1:2" x14ac:dyDescent="0.25">
      <c r="A471" t="s">
        <v>9</v>
      </c>
      <c r="B471" t="s">
        <v>9</v>
      </c>
    </row>
    <row r="472" spans="1:2" x14ac:dyDescent="0.25">
      <c r="A472" t="s">
        <v>9</v>
      </c>
      <c r="B472" t="s">
        <v>9</v>
      </c>
    </row>
    <row r="473" spans="1:2" x14ac:dyDescent="0.25">
      <c r="A473" t="s">
        <v>10</v>
      </c>
      <c r="B473" t="s">
        <v>10</v>
      </c>
    </row>
    <row r="474" spans="1:2" x14ac:dyDescent="0.25">
      <c r="A474" t="s">
        <v>9</v>
      </c>
      <c r="B474" t="s">
        <v>10</v>
      </c>
    </row>
    <row r="475" spans="1:2" x14ac:dyDescent="0.25">
      <c r="A475" t="s">
        <v>9</v>
      </c>
      <c r="B475" t="s">
        <v>9</v>
      </c>
    </row>
    <row r="476" spans="1:2" x14ac:dyDescent="0.25">
      <c r="A476" t="s">
        <v>9</v>
      </c>
      <c r="B476" t="s">
        <v>9</v>
      </c>
    </row>
    <row r="477" spans="1:2" x14ac:dyDescent="0.25">
      <c r="A477" t="s">
        <v>9</v>
      </c>
      <c r="B477" t="s">
        <v>10</v>
      </c>
    </row>
    <row r="478" spans="1:2" x14ac:dyDescent="0.25">
      <c r="A478" t="s">
        <v>9</v>
      </c>
      <c r="B478" t="s">
        <v>9</v>
      </c>
    </row>
    <row r="479" spans="1:2" x14ac:dyDescent="0.25">
      <c r="A479" t="s">
        <v>9</v>
      </c>
      <c r="B479" t="s">
        <v>9</v>
      </c>
    </row>
    <row r="480" spans="1:2" x14ac:dyDescent="0.25">
      <c r="A480" t="s">
        <v>9</v>
      </c>
      <c r="B480" t="s">
        <v>9</v>
      </c>
    </row>
    <row r="481" spans="1:2" x14ac:dyDescent="0.25">
      <c r="A481" t="s">
        <v>9</v>
      </c>
      <c r="B481" t="s">
        <v>10</v>
      </c>
    </row>
    <row r="482" spans="1:2" x14ac:dyDescent="0.25">
      <c r="A482" t="s">
        <v>9</v>
      </c>
      <c r="B482" t="s">
        <v>9</v>
      </c>
    </row>
    <row r="483" spans="1:2" x14ac:dyDescent="0.25">
      <c r="A483" t="s">
        <v>9</v>
      </c>
      <c r="B483" t="s">
        <v>10</v>
      </c>
    </row>
    <row r="484" spans="1:2" x14ac:dyDescent="0.25">
      <c r="A484" t="s">
        <v>9</v>
      </c>
      <c r="B484" t="s">
        <v>10</v>
      </c>
    </row>
    <row r="485" spans="1:2" x14ac:dyDescent="0.25">
      <c r="A485" t="s">
        <v>9</v>
      </c>
      <c r="B485" t="s">
        <v>10</v>
      </c>
    </row>
    <row r="486" spans="1:2" x14ac:dyDescent="0.25">
      <c r="A486" t="s">
        <v>10</v>
      </c>
      <c r="B486" t="s">
        <v>9</v>
      </c>
    </row>
    <row r="487" spans="1:2" x14ac:dyDescent="0.25">
      <c r="A487" t="s">
        <v>10</v>
      </c>
      <c r="B487" t="s">
        <v>10</v>
      </c>
    </row>
    <row r="488" spans="1:2" x14ac:dyDescent="0.25">
      <c r="A488" t="s">
        <v>10</v>
      </c>
      <c r="B488" t="s">
        <v>9</v>
      </c>
    </row>
    <row r="489" spans="1:2" x14ac:dyDescent="0.25">
      <c r="A489" t="s">
        <v>9</v>
      </c>
      <c r="B489" t="s">
        <v>9</v>
      </c>
    </row>
    <row r="490" spans="1:2" x14ac:dyDescent="0.25">
      <c r="A490" t="s">
        <v>10</v>
      </c>
      <c r="B490" t="s">
        <v>10</v>
      </c>
    </row>
    <row r="491" spans="1:2" x14ac:dyDescent="0.25">
      <c r="A491" t="s">
        <v>9</v>
      </c>
      <c r="B491" t="s">
        <v>9</v>
      </c>
    </row>
    <row r="492" spans="1:2" x14ac:dyDescent="0.25">
      <c r="A492" t="s">
        <v>9</v>
      </c>
      <c r="B492" t="s">
        <v>10</v>
      </c>
    </row>
    <row r="493" spans="1:2" x14ac:dyDescent="0.25">
      <c r="A493" t="s">
        <v>9</v>
      </c>
      <c r="B493" t="s">
        <v>10</v>
      </c>
    </row>
    <row r="494" spans="1:2" x14ac:dyDescent="0.25">
      <c r="A494" t="s">
        <v>9</v>
      </c>
      <c r="B494" t="s">
        <v>9</v>
      </c>
    </row>
    <row r="495" spans="1:2" x14ac:dyDescent="0.25">
      <c r="A495" t="s">
        <v>9</v>
      </c>
      <c r="B495" t="s">
        <v>9</v>
      </c>
    </row>
    <row r="496" spans="1:2" x14ac:dyDescent="0.25">
      <c r="A496" t="s">
        <v>9</v>
      </c>
      <c r="B496" t="s">
        <v>10</v>
      </c>
    </row>
    <row r="497" spans="1:2" x14ac:dyDescent="0.25">
      <c r="A497" t="s">
        <v>9</v>
      </c>
      <c r="B497" t="s">
        <v>9</v>
      </c>
    </row>
    <row r="498" spans="1:2" x14ac:dyDescent="0.25">
      <c r="A498" t="s">
        <v>9</v>
      </c>
      <c r="B498" t="s">
        <v>9</v>
      </c>
    </row>
    <row r="499" spans="1:2" x14ac:dyDescent="0.25">
      <c r="A499" t="s">
        <v>9</v>
      </c>
      <c r="B499" t="s">
        <v>10</v>
      </c>
    </row>
    <row r="500" spans="1:2" x14ac:dyDescent="0.25">
      <c r="A500" t="s">
        <v>9</v>
      </c>
      <c r="B500" t="s">
        <v>9</v>
      </c>
    </row>
    <row r="501" spans="1:2" x14ac:dyDescent="0.25">
      <c r="A501" t="s">
        <v>9</v>
      </c>
      <c r="B501" t="s">
        <v>9</v>
      </c>
    </row>
    <row r="502" spans="1:2" x14ac:dyDescent="0.25">
      <c r="A502" t="s">
        <v>10</v>
      </c>
      <c r="B502" t="s">
        <v>10</v>
      </c>
    </row>
    <row r="503" spans="1:2" x14ac:dyDescent="0.25">
      <c r="A503" t="s">
        <v>10</v>
      </c>
      <c r="B503" t="s">
        <v>10</v>
      </c>
    </row>
    <row r="504" spans="1:2" x14ac:dyDescent="0.25">
      <c r="A504" t="s">
        <v>10</v>
      </c>
      <c r="B504" t="s">
        <v>10</v>
      </c>
    </row>
    <row r="505" spans="1:2" x14ac:dyDescent="0.25">
      <c r="A505" t="s">
        <v>9</v>
      </c>
      <c r="B505" t="s">
        <v>9</v>
      </c>
    </row>
    <row r="506" spans="1:2" x14ac:dyDescent="0.25">
      <c r="A506" t="s">
        <v>9</v>
      </c>
      <c r="B506" t="s">
        <v>9</v>
      </c>
    </row>
    <row r="507" spans="1:2" x14ac:dyDescent="0.25">
      <c r="A507" t="s">
        <v>9</v>
      </c>
      <c r="B507" t="s">
        <v>9</v>
      </c>
    </row>
    <row r="508" spans="1:2" x14ac:dyDescent="0.25">
      <c r="A508" t="s">
        <v>10</v>
      </c>
      <c r="B508" t="s">
        <v>10</v>
      </c>
    </row>
    <row r="509" spans="1:2" x14ac:dyDescent="0.25">
      <c r="A509" t="s">
        <v>9</v>
      </c>
      <c r="B509" t="s">
        <v>9</v>
      </c>
    </row>
    <row r="510" spans="1:2" x14ac:dyDescent="0.25">
      <c r="A510" t="s">
        <v>9</v>
      </c>
      <c r="B510" t="s">
        <v>9</v>
      </c>
    </row>
    <row r="511" spans="1:2" x14ac:dyDescent="0.25">
      <c r="A511" t="s">
        <v>10</v>
      </c>
      <c r="B511" t="s">
        <v>9</v>
      </c>
    </row>
    <row r="512" spans="1:2" x14ac:dyDescent="0.25">
      <c r="A512" t="s">
        <v>9</v>
      </c>
      <c r="B512" t="s">
        <v>9</v>
      </c>
    </row>
    <row r="513" spans="1:2" x14ac:dyDescent="0.25">
      <c r="A513" t="s">
        <v>9</v>
      </c>
      <c r="B513" t="s">
        <v>9</v>
      </c>
    </row>
    <row r="514" spans="1:2" x14ac:dyDescent="0.25">
      <c r="A514" t="s">
        <v>9</v>
      </c>
      <c r="B514" t="s">
        <v>9</v>
      </c>
    </row>
    <row r="515" spans="1:2" x14ac:dyDescent="0.25">
      <c r="A515" t="s">
        <v>9</v>
      </c>
      <c r="B515" t="s">
        <v>10</v>
      </c>
    </row>
    <row r="516" spans="1:2" x14ac:dyDescent="0.25">
      <c r="A516" t="s">
        <v>9</v>
      </c>
      <c r="B516" t="s">
        <v>9</v>
      </c>
    </row>
    <row r="517" spans="1:2" x14ac:dyDescent="0.25">
      <c r="A517" t="s">
        <v>9</v>
      </c>
      <c r="B517" t="s">
        <v>9</v>
      </c>
    </row>
    <row r="518" spans="1:2" x14ac:dyDescent="0.25">
      <c r="A518" t="s">
        <v>10</v>
      </c>
      <c r="B518" t="s">
        <v>10</v>
      </c>
    </row>
    <row r="519" spans="1:2" x14ac:dyDescent="0.25">
      <c r="A519" t="s">
        <v>9</v>
      </c>
      <c r="B519" t="s">
        <v>9</v>
      </c>
    </row>
    <row r="520" spans="1:2" x14ac:dyDescent="0.25">
      <c r="A520" t="s">
        <v>9</v>
      </c>
      <c r="B520" t="s">
        <v>9</v>
      </c>
    </row>
    <row r="521" spans="1:2" x14ac:dyDescent="0.25">
      <c r="A521" t="s">
        <v>10</v>
      </c>
      <c r="B521" t="s">
        <v>9</v>
      </c>
    </row>
    <row r="522" spans="1:2" x14ac:dyDescent="0.25">
      <c r="A522" t="s">
        <v>9</v>
      </c>
      <c r="B522" t="s">
        <v>9</v>
      </c>
    </row>
    <row r="523" spans="1:2" x14ac:dyDescent="0.25">
      <c r="A523" t="s">
        <v>10</v>
      </c>
      <c r="B523" t="s">
        <v>10</v>
      </c>
    </row>
    <row r="524" spans="1:2" x14ac:dyDescent="0.25">
      <c r="A524" t="s">
        <v>9</v>
      </c>
      <c r="B524" t="s">
        <v>9</v>
      </c>
    </row>
    <row r="525" spans="1:2" x14ac:dyDescent="0.25">
      <c r="A525" t="s">
        <v>9</v>
      </c>
      <c r="B525" t="s">
        <v>10</v>
      </c>
    </row>
    <row r="526" spans="1:2" x14ac:dyDescent="0.25">
      <c r="A526" t="s">
        <v>9</v>
      </c>
      <c r="B526" t="s">
        <v>9</v>
      </c>
    </row>
    <row r="527" spans="1:2" x14ac:dyDescent="0.25">
      <c r="A527" t="s">
        <v>9</v>
      </c>
      <c r="B527" t="s">
        <v>9</v>
      </c>
    </row>
    <row r="528" spans="1:2" x14ac:dyDescent="0.25">
      <c r="A528" t="s">
        <v>9</v>
      </c>
      <c r="B528" t="s">
        <v>10</v>
      </c>
    </row>
    <row r="529" spans="1:2" x14ac:dyDescent="0.25">
      <c r="A529" t="s">
        <v>9</v>
      </c>
      <c r="B529" t="s">
        <v>10</v>
      </c>
    </row>
    <row r="530" spans="1:2" x14ac:dyDescent="0.25">
      <c r="A530" t="s">
        <v>9</v>
      </c>
      <c r="B530" t="s">
        <v>9</v>
      </c>
    </row>
    <row r="531" spans="1:2" x14ac:dyDescent="0.25">
      <c r="A531" t="s">
        <v>10</v>
      </c>
      <c r="B531" t="s">
        <v>10</v>
      </c>
    </row>
    <row r="532" spans="1:2" x14ac:dyDescent="0.25">
      <c r="A532" t="s">
        <v>9</v>
      </c>
      <c r="B532" t="s">
        <v>9</v>
      </c>
    </row>
    <row r="533" spans="1:2" x14ac:dyDescent="0.25">
      <c r="A533" t="s">
        <v>9</v>
      </c>
      <c r="B533" t="s">
        <v>9</v>
      </c>
    </row>
    <row r="534" spans="1:2" x14ac:dyDescent="0.25">
      <c r="A534" t="s">
        <v>9</v>
      </c>
      <c r="B534" t="s">
        <v>9</v>
      </c>
    </row>
    <row r="535" spans="1:2" x14ac:dyDescent="0.25">
      <c r="A535" t="s">
        <v>9</v>
      </c>
      <c r="B535" t="s">
        <v>9</v>
      </c>
    </row>
    <row r="536" spans="1:2" x14ac:dyDescent="0.25">
      <c r="A536" t="s">
        <v>10</v>
      </c>
      <c r="B536" t="s">
        <v>10</v>
      </c>
    </row>
    <row r="537" spans="1:2" x14ac:dyDescent="0.25">
      <c r="A537" t="s">
        <v>9</v>
      </c>
      <c r="B537" t="s">
        <v>9</v>
      </c>
    </row>
    <row r="538" spans="1:2" x14ac:dyDescent="0.25">
      <c r="A538" t="s">
        <v>9</v>
      </c>
      <c r="B538" t="s">
        <v>9</v>
      </c>
    </row>
    <row r="539" spans="1:2" x14ac:dyDescent="0.25">
      <c r="A539" t="s">
        <v>9</v>
      </c>
      <c r="B539" t="s">
        <v>10</v>
      </c>
    </row>
    <row r="540" spans="1:2" x14ac:dyDescent="0.25">
      <c r="A540" t="s">
        <v>10</v>
      </c>
      <c r="B540" t="s">
        <v>10</v>
      </c>
    </row>
    <row r="541" spans="1:2" x14ac:dyDescent="0.25">
      <c r="A541" t="s">
        <v>9</v>
      </c>
      <c r="B541" t="s">
        <v>9</v>
      </c>
    </row>
    <row r="542" spans="1:2" x14ac:dyDescent="0.25">
      <c r="A542" t="s">
        <v>9</v>
      </c>
      <c r="B542" t="s">
        <v>9</v>
      </c>
    </row>
    <row r="543" spans="1:2" x14ac:dyDescent="0.25">
      <c r="A543" t="s">
        <v>9</v>
      </c>
      <c r="B543" t="s">
        <v>9</v>
      </c>
    </row>
    <row r="544" spans="1:2" x14ac:dyDescent="0.25">
      <c r="A544" t="s">
        <v>9</v>
      </c>
      <c r="B544" t="s">
        <v>10</v>
      </c>
    </row>
    <row r="545" spans="1:2" x14ac:dyDescent="0.25">
      <c r="A545" t="s">
        <v>9</v>
      </c>
      <c r="B545" t="s">
        <v>9</v>
      </c>
    </row>
    <row r="546" spans="1:2" x14ac:dyDescent="0.25">
      <c r="A546" t="s">
        <v>9</v>
      </c>
      <c r="B546" t="s">
        <v>9</v>
      </c>
    </row>
    <row r="547" spans="1:2" x14ac:dyDescent="0.25">
      <c r="A547" t="s">
        <v>9</v>
      </c>
      <c r="B547" t="s">
        <v>9</v>
      </c>
    </row>
    <row r="548" spans="1:2" x14ac:dyDescent="0.25">
      <c r="A548" t="s">
        <v>9</v>
      </c>
      <c r="B548" t="s">
        <v>9</v>
      </c>
    </row>
    <row r="549" spans="1:2" x14ac:dyDescent="0.25">
      <c r="A549" t="s">
        <v>9</v>
      </c>
      <c r="B549" t="s">
        <v>9</v>
      </c>
    </row>
    <row r="550" spans="1:2" x14ac:dyDescent="0.25">
      <c r="A550" t="s">
        <v>9</v>
      </c>
      <c r="B550" t="s">
        <v>9</v>
      </c>
    </row>
    <row r="551" spans="1:2" x14ac:dyDescent="0.25">
      <c r="A551" t="s">
        <v>9</v>
      </c>
      <c r="B551" t="s">
        <v>9</v>
      </c>
    </row>
    <row r="552" spans="1:2" x14ac:dyDescent="0.25">
      <c r="A552" t="s">
        <v>9</v>
      </c>
      <c r="B552" t="s">
        <v>9</v>
      </c>
    </row>
    <row r="553" spans="1:2" x14ac:dyDescent="0.25">
      <c r="A553" t="s">
        <v>9</v>
      </c>
      <c r="B553" t="s">
        <v>9</v>
      </c>
    </row>
    <row r="554" spans="1:2" x14ac:dyDescent="0.25">
      <c r="A554" t="s">
        <v>9</v>
      </c>
      <c r="B554" t="s">
        <v>9</v>
      </c>
    </row>
    <row r="555" spans="1:2" x14ac:dyDescent="0.25">
      <c r="A555" t="s">
        <v>9</v>
      </c>
      <c r="B555" t="s">
        <v>9</v>
      </c>
    </row>
    <row r="556" spans="1:2" x14ac:dyDescent="0.25">
      <c r="A556" t="s">
        <v>9</v>
      </c>
      <c r="B556" t="s">
        <v>9</v>
      </c>
    </row>
    <row r="557" spans="1:2" x14ac:dyDescent="0.25">
      <c r="A557" t="s">
        <v>9</v>
      </c>
      <c r="B557" t="s">
        <v>10</v>
      </c>
    </row>
    <row r="558" spans="1:2" x14ac:dyDescent="0.25">
      <c r="A558" t="s">
        <v>9</v>
      </c>
      <c r="B558" t="s">
        <v>9</v>
      </c>
    </row>
    <row r="559" spans="1:2" x14ac:dyDescent="0.25">
      <c r="A559" t="s">
        <v>9</v>
      </c>
      <c r="B559" t="s">
        <v>10</v>
      </c>
    </row>
    <row r="560" spans="1:2" x14ac:dyDescent="0.25">
      <c r="A560" t="s">
        <v>9</v>
      </c>
      <c r="B560" t="s">
        <v>9</v>
      </c>
    </row>
    <row r="561" spans="1:2" x14ac:dyDescent="0.25">
      <c r="A561" t="s">
        <v>9</v>
      </c>
      <c r="B561" t="s">
        <v>9</v>
      </c>
    </row>
    <row r="562" spans="1:2" x14ac:dyDescent="0.25">
      <c r="A562" t="s">
        <v>9</v>
      </c>
      <c r="B562" t="s">
        <v>9</v>
      </c>
    </row>
    <row r="563" spans="1:2" x14ac:dyDescent="0.25">
      <c r="A563" t="s">
        <v>9</v>
      </c>
      <c r="B563" t="s">
        <v>10</v>
      </c>
    </row>
    <row r="564" spans="1:2" x14ac:dyDescent="0.25">
      <c r="A564" t="s">
        <v>9</v>
      </c>
      <c r="B564" t="s">
        <v>9</v>
      </c>
    </row>
    <row r="565" spans="1:2" x14ac:dyDescent="0.25">
      <c r="A565" t="s">
        <v>9</v>
      </c>
      <c r="B565" t="s">
        <v>9</v>
      </c>
    </row>
    <row r="566" spans="1:2" x14ac:dyDescent="0.25">
      <c r="A566" t="s">
        <v>9</v>
      </c>
      <c r="B566" t="s">
        <v>9</v>
      </c>
    </row>
    <row r="567" spans="1:2" x14ac:dyDescent="0.25">
      <c r="A567" t="s">
        <v>9</v>
      </c>
      <c r="B567" t="s">
        <v>10</v>
      </c>
    </row>
    <row r="568" spans="1:2" x14ac:dyDescent="0.25">
      <c r="A568" t="s">
        <v>9</v>
      </c>
      <c r="B568" t="s">
        <v>9</v>
      </c>
    </row>
    <row r="569" spans="1:2" x14ac:dyDescent="0.25">
      <c r="A569" t="s">
        <v>10</v>
      </c>
      <c r="B569" t="s">
        <v>9</v>
      </c>
    </row>
    <row r="570" spans="1:2" x14ac:dyDescent="0.25">
      <c r="A570" t="s">
        <v>9</v>
      </c>
      <c r="B570" t="s">
        <v>9</v>
      </c>
    </row>
    <row r="571" spans="1:2" x14ac:dyDescent="0.25">
      <c r="A571" t="s">
        <v>9</v>
      </c>
      <c r="B571" t="s">
        <v>10</v>
      </c>
    </row>
    <row r="572" spans="1:2" x14ac:dyDescent="0.25">
      <c r="A572" t="s">
        <v>9</v>
      </c>
      <c r="B572" t="s">
        <v>9</v>
      </c>
    </row>
    <row r="573" spans="1:2" x14ac:dyDescent="0.25">
      <c r="A573" t="s">
        <v>10</v>
      </c>
      <c r="B573" t="s">
        <v>9</v>
      </c>
    </row>
    <row r="574" spans="1:2" x14ac:dyDescent="0.25">
      <c r="A574" t="s">
        <v>9</v>
      </c>
      <c r="B574" t="s">
        <v>10</v>
      </c>
    </row>
    <row r="575" spans="1:2" x14ac:dyDescent="0.25">
      <c r="A575" t="s">
        <v>9</v>
      </c>
      <c r="B575" t="s">
        <v>9</v>
      </c>
    </row>
    <row r="576" spans="1:2" x14ac:dyDescent="0.25">
      <c r="A576" t="s">
        <v>9</v>
      </c>
      <c r="B576" t="s">
        <v>9</v>
      </c>
    </row>
    <row r="577" spans="1:2" x14ac:dyDescent="0.25">
      <c r="A577" t="s">
        <v>9</v>
      </c>
      <c r="B577" t="s">
        <v>9</v>
      </c>
    </row>
    <row r="578" spans="1:2" x14ac:dyDescent="0.25">
      <c r="A578" t="s">
        <v>9</v>
      </c>
      <c r="B578" t="s">
        <v>9</v>
      </c>
    </row>
    <row r="579" spans="1:2" x14ac:dyDescent="0.25">
      <c r="A579" t="s">
        <v>9</v>
      </c>
      <c r="B579" t="s">
        <v>9</v>
      </c>
    </row>
    <row r="580" spans="1:2" x14ac:dyDescent="0.25">
      <c r="A580" t="s">
        <v>9</v>
      </c>
      <c r="B580" t="s">
        <v>9</v>
      </c>
    </row>
    <row r="581" spans="1:2" x14ac:dyDescent="0.25">
      <c r="A581" t="s">
        <v>9</v>
      </c>
      <c r="B581" t="s">
        <v>10</v>
      </c>
    </row>
    <row r="582" spans="1:2" x14ac:dyDescent="0.25">
      <c r="A582" t="s">
        <v>9</v>
      </c>
      <c r="B582" t="s">
        <v>9</v>
      </c>
    </row>
    <row r="583" spans="1:2" x14ac:dyDescent="0.25">
      <c r="A583" t="s">
        <v>9</v>
      </c>
      <c r="B583" t="s">
        <v>9</v>
      </c>
    </row>
    <row r="584" spans="1:2" x14ac:dyDescent="0.25">
      <c r="A584" t="s">
        <v>9</v>
      </c>
      <c r="B584" t="s">
        <v>10</v>
      </c>
    </row>
    <row r="585" spans="1:2" x14ac:dyDescent="0.25">
      <c r="A585" t="s">
        <v>9</v>
      </c>
      <c r="B585" t="s">
        <v>10</v>
      </c>
    </row>
    <row r="586" spans="1:2" x14ac:dyDescent="0.25">
      <c r="A586" t="s">
        <v>9</v>
      </c>
      <c r="B586" t="s">
        <v>10</v>
      </c>
    </row>
    <row r="587" spans="1:2" x14ac:dyDescent="0.25">
      <c r="A587" t="s">
        <v>9</v>
      </c>
      <c r="B587" t="s">
        <v>10</v>
      </c>
    </row>
    <row r="588" spans="1:2" x14ac:dyDescent="0.25">
      <c r="A588" t="s">
        <v>9</v>
      </c>
      <c r="B588" t="s">
        <v>10</v>
      </c>
    </row>
    <row r="589" spans="1:2" x14ac:dyDescent="0.25">
      <c r="A589" t="s">
        <v>10</v>
      </c>
      <c r="B589" t="s">
        <v>9</v>
      </c>
    </row>
    <row r="590" spans="1:2" x14ac:dyDescent="0.25">
      <c r="A590" t="s">
        <v>9</v>
      </c>
      <c r="B590" t="s">
        <v>9</v>
      </c>
    </row>
    <row r="591" spans="1:2" x14ac:dyDescent="0.25">
      <c r="A591" t="s">
        <v>9</v>
      </c>
      <c r="B591" t="s">
        <v>10</v>
      </c>
    </row>
    <row r="592" spans="1:2" x14ac:dyDescent="0.25">
      <c r="A592" t="s">
        <v>9</v>
      </c>
      <c r="B592" t="s">
        <v>10</v>
      </c>
    </row>
    <row r="593" spans="1:2" x14ac:dyDescent="0.25">
      <c r="A593" t="s">
        <v>10</v>
      </c>
      <c r="B593" t="s">
        <v>10</v>
      </c>
    </row>
    <row r="594" spans="1:2" x14ac:dyDescent="0.25">
      <c r="A594" t="s">
        <v>10</v>
      </c>
      <c r="B594" t="s">
        <v>9</v>
      </c>
    </row>
    <row r="595" spans="1:2" x14ac:dyDescent="0.25">
      <c r="A595" t="s">
        <v>9</v>
      </c>
      <c r="B595" t="s">
        <v>9</v>
      </c>
    </row>
    <row r="596" spans="1:2" x14ac:dyDescent="0.25">
      <c r="A596" t="s">
        <v>9</v>
      </c>
      <c r="B596" t="s">
        <v>9</v>
      </c>
    </row>
    <row r="597" spans="1:2" x14ac:dyDescent="0.25">
      <c r="A597" t="s">
        <v>9</v>
      </c>
      <c r="B597" t="s">
        <v>9</v>
      </c>
    </row>
    <row r="598" spans="1:2" x14ac:dyDescent="0.25">
      <c r="A598" t="s">
        <v>9</v>
      </c>
      <c r="B598" t="s">
        <v>9</v>
      </c>
    </row>
    <row r="599" spans="1:2" x14ac:dyDescent="0.25">
      <c r="A599" t="s">
        <v>9</v>
      </c>
      <c r="B599" t="s">
        <v>9</v>
      </c>
    </row>
    <row r="600" spans="1:2" x14ac:dyDescent="0.25">
      <c r="A600" t="s">
        <v>9</v>
      </c>
      <c r="B600" t="s">
        <v>10</v>
      </c>
    </row>
    <row r="601" spans="1:2" x14ac:dyDescent="0.25">
      <c r="A601" t="s">
        <v>10</v>
      </c>
      <c r="B601" t="s">
        <v>10</v>
      </c>
    </row>
    <row r="602" spans="1:2" x14ac:dyDescent="0.25">
      <c r="A602" t="s">
        <v>9</v>
      </c>
      <c r="B602" t="s">
        <v>9</v>
      </c>
    </row>
    <row r="603" spans="1:2" x14ac:dyDescent="0.25">
      <c r="A603" t="s">
        <v>9</v>
      </c>
      <c r="B603" t="s">
        <v>9</v>
      </c>
    </row>
    <row r="604" spans="1:2" x14ac:dyDescent="0.25">
      <c r="A604" t="s">
        <v>9</v>
      </c>
      <c r="B604" t="s">
        <v>10</v>
      </c>
    </row>
    <row r="605" spans="1:2" x14ac:dyDescent="0.25">
      <c r="A605" t="s">
        <v>9</v>
      </c>
      <c r="B605" t="s">
        <v>9</v>
      </c>
    </row>
    <row r="606" spans="1:2" x14ac:dyDescent="0.25">
      <c r="A606" t="s">
        <v>10</v>
      </c>
      <c r="B606" t="s">
        <v>9</v>
      </c>
    </row>
    <row r="607" spans="1:2" x14ac:dyDescent="0.25">
      <c r="A607" t="s">
        <v>9</v>
      </c>
      <c r="B607" t="s">
        <v>9</v>
      </c>
    </row>
    <row r="608" spans="1:2" x14ac:dyDescent="0.25">
      <c r="A608" t="s">
        <v>9</v>
      </c>
      <c r="B608" t="s">
        <v>9</v>
      </c>
    </row>
    <row r="609" spans="1:2" x14ac:dyDescent="0.25">
      <c r="A609" t="s">
        <v>9</v>
      </c>
      <c r="B609" t="s">
        <v>10</v>
      </c>
    </row>
    <row r="610" spans="1:2" x14ac:dyDescent="0.25">
      <c r="A610" t="s">
        <v>9</v>
      </c>
      <c r="B610" t="s">
        <v>9</v>
      </c>
    </row>
    <row r="611" spans="1:2" x14ac:dyDescent="0.25">
      <c r="A611" t="s">
        <v>9</v>
      </c>
      <c r="B611" t="s">
        <v>9</v>
      </c>
    </row>
    <row r="612" spans="1:2" x14ac:dyDescent="0.25">
      <c r="A612" t="s">
        <v>9</v>
      </c>
      <c r="B612" t="s">
        <v>9</v>
      </c>
    </row>
    <row r="613" spans="1:2" x14ac:dyDescent="0.25">
      <c r="A613" t="s">
        <v>9</v>
      </c>
      <c r="B613" t="s">
        <v>10</v>
      </c>
    </row>
    <row r="614" spans="1:2" x14ac:dyDescent="0.25">
      <c r="A614" t="s">
        <v>10</v>
      </c>
      <c r="B614" t="s">
        <v>9</v>
      </c>
    </row>
    <row r="615" spans="1:2" x14ac:dyDescent="0.25">
      <c r="A615" t="s">
        <v>10</v>
      </c>
      <c r="B615" t="s">
        <v>10</v>
      </c>
    </row>
    <row r="616" spans="1:2" x14ac:dyDescent="0.25">
      <c r="A616" t="s">
        <v>9</v>
      </c>
      <c r="B616" t="s">
        <v>9</v>
      </c>
    </row>
    <row r="617" spans="1:2" x14ac:dyDescent="0.25">
      <c r="A617" t="s">
        <v>9</v>
      </c>
      <c r="B617" t="s">
        <v>9</v>
      </c>
    </row>
    <row r="618" spans="1:2" x14ac:dyDescent="0.25">
      <c r="A618" t="s">
        <v>9</v>
      </c>
      <c r="B618" t="s">
        <v>9</v>
      </c>
    </row>
    <row r="619" spans="1:2" x14ac:dyDescent="0.25">
      <c r="A619" t="s">
        <v>9</v>
      </c>
      <c r="B619" t="s">
        <v>10</v>
      </c>
    </row>
    <row r="620" spans="1:2" x14ac:dyDescent="0.25">
      <c r="A620" t="s">
        <v>9</v>
      </c>
      <c r="B620" t="s">
        <v>9</v>
      </c>
    </row>
    <row r="621" spans="1:2" x14ac:dyDescent="0.25">
      <c r="A621" t="s">
        <v>9</v>
      </c>
      <c r="B621" t="s">
        <v>9</v>
      </c>
    </row>
    <row r="622" spans="1:2" x14ac:dyDescent="0.25">
      <c r="A622" t="s">
        <v>10</v>
      </c>
      <c r="B622" t="s">
        <v>10</v>
      </c>
    </row>
    <row r="623" spans="1:2" x14ac:dyDescent="0.25">
      <c r="A623" t="s">
        <v>9</v>
      </c>
      <c r="B623" t="s">
        <v>10</v>
      </c>
    </row>
    <row r="624" spans="1:2" x14ac:dyDescent="0.25">
      <c r="A624" t="s">
        <v>9</v>
      </c>
      <c r="B624" t="s">
        <v>9</v>
      </c>
    </row>
    <row r="625" spans="1:2" x14ac:dyDescent="0.25">
      <c r="A625" t="s">
        <v>9</v>
      </c>
      <c r="B625" t="s">
        <v>10</v>
      </c>
    </row>
    <row r="626" spans="1:2" x14ac:dyDescent="0.25">
      <c r="A626" t="s">
        <v>10</v>
      </c>
      <c r="B626" t="s">
        <v>9</v>
      </c>
    </row>
    <row r="627" spans="1:2" x14ac:dyDescent="0.25">
      <c r="A627" t="s">
        <v>9</v>
      </c>
      <c r="B627" t="s">
        <v>9</v>
      </c>
    </row>
    <row r="628" spans="1:2" x14ac:dyDescent="0.25">
      <c r="A628" t="s">
        <v>9</v>
      </c>
      <c r="B628" t="s">
        <v>10</v>
      </c>
    </row>
    <row r="629" spans="1:2" x14ac:dyDescent="0.25">
      <c r="A629" t="s">
        <v>9</v>
      </c>
      <c r="B629" t="s">
        <v>10</v>
      </c>
    </row>
    <row r="630" spans="1:2" x14ac:dyDescent="0.25">
      <c r="A630" t="s">
        <v>9</v>
      </c>
      <c r="B630" t="s">
        <v>9</v>
      </c>
    </row>
    <row r="631" spans="1:2" x14ac:dyDescent="0.25">
      <c r="A631" t="s">
        <v>9</v>
      </c>
      <c r="B631" t="s">
        <v>9</v>
      </c>
    </row>
    <row r="632" spans="1:2" x14ac:dyDescent="0.25">
      <c r="A632" t="s">
        <v>9</v>
      </c>
      <c r="B632" t="s">
        <v>9</v>
      </c>
    </row>
    <row r="633" spans="1:2" x14ac:dyDescent="0.25">
      <c r="A633" t="s">
        <v>9</v>
      </c>
      <c r="B633" t="s">
        <v>9</v>
      </c>
    </row>
    <row r="634" spans="1:2" x14ac:dyDescent="0.25">
      <c r="A634" t="s">
        <v>9</v>
      </c>
      <c r="B634" t="s">
        <v>10</v>
      </c>
    </row>
    <row r="635" spans="1:2" x14ac:dyDescent="0.25">
      <c r="A635" t="s">
        <v>9</v>
      </c>
      <c r="B635" t="s">
        <v>9</v>
      </c>
    </row>
    <row r="636" spans="1:2" x14ac:dyDescent="0.25">
      <c r="A636" t="s">
        <v>9</v>
      </c>
      <c r="B636" t="s">
        <v>9</v>
      </c>
    </row>
    <row r="637" spans="1:2" x14ac:dyDescent="0.25">
      <c r="A637" t="s">
        <v>9</v>
      </c>
      <c r="B637" t="s">
        <v>9</v>
      </c>
    </row>
    <row r="638" spans="1:2" x14ac:dyDescent="0.25">
      <c r="A638" t="s">
        <v>9</v>
      </c>
      <c r="B638" t="s">
        <v>9</v>
      </c>
    </row>
    <row r="639" spans="1:2" x14ac:dyDescent="0.25">
      <c r="A639" t="s">
        <v>9</v>
      </c>
      <c r="B639" t="s">
        <v>9</v>
      </c>
    </row>
    <row r="640" spans="1:2" x14ac:dyDescent="0.25">
      <c r="A640" t="s">
        <v>9</v>
      </c>
      <c r="B640" t="s">
        <v>10</v>
      </c>
    </row>
    <row r="641" spans="1:2" x14ac:dyDescent="0.25">
      <c r="A641" t="s">
        <v>10</v>
      </c>
      <c r="B641" t="s">
        <v>9</v>
      </c>
    </row>
    <row r="642" spans="1:2" x14ac:dyDescent="0.25">
      <c r="A642" t="s">
        <v>9</v>
      </c>
      <c r="B642" t="s">
        <v>9</v>
      </c>
    </row>
    <row r="643" spans="1:2" x14ac:dyDescent="0.25">
      <c r="A643" t="s">
        <v>9</v>
      </c>
      <c r="B643" t="s">
        <v>9</v>
      </c>
    </row>
    <row r="644" spans="1:2" x14ac:dyDescent="0.25">
      <c r="A644" t="s">
        <v>9</v>
      </c>
      <c r="B644" t="s">
        <v>9</v>
      </c>
    </row>
    <row r="645" spans="1:2" x14ac:dyDescent="0.25">
      <c r="A645" t="s">
        <v>10</v>
      </c>
      <c r="B645" t="s">
        <v>10</v>
      </c>
    </row>
    <row r="646" spans="1:2" x14ac:dyDescent="0.25">
      <c r="A646" t="s">
        <v>10</v>
      </c>
      <c r="B646" t="s">
        <v>9</v>
      </c>
    </row>
    <row r="647" spans="1:2" x14ac:dyDescent="0.25">
      <c r="A647" t="s">
        <v>9</v>
      </c>
      <c r="B647" t="s">
        <v>9</v>
      </c>
    </row>
    <row r="648" spans="1:2" x14ac:dyDescent="0.25">
      <c r="A648" t="s">
        <v>10</v>
      </c>
      <c r="B648" t="s">
        <v>9</v>
      </c>
    </row>
    <row r="649" spans="1:2" x14ac:dyDescent="0.25">
      <c r="A649" t="s">
        <v>9</v>
      </c>
      <c r="B649" t="s">
        <v>9</v>
      </c>
    </row>
    <row r="650" spans="1:2" x14ac:dyDescent="0.25">
      <c r="A650" t="s">
        <v>9</v>
      </c>
      <c r="B650" t="s">
        <v>9</v>
      </c>
    </row>
    <row r="651" spans="1:2" x14ac:dyDescent="0.25">
      <c r="A651" t="s">
        <v>10</v>
      </c>
      <c r="B651" t="s">
        <v>10</v>
      </c>
    </row>
    <row r="652" spans="1:2" x14ac:dyDescent="0.25">
      <c r="A652" t="s">
        <v>9</v>
      </c>
      <c r="B652" t="s">
        <v>9</v>
      </c>
    </row>
    <row r="653" spans="1:2" x14ac:dyDescent="0.25">
      <c r="A653" t="s">
        <v>9</v>
      </c>
      <c r="B653" t="s">
        <v>10</v>
      </c>
    </row>
    <row r="654" spans="1:2" x14ac:dyDescent="0.25">
      <c r="A654" t="s">
        <v>9</v>
      </c>
      <c r="B654" t="s">
        <v>9</v>
      </c>
    </row>
    <row r="655" spans="1:2" x14ac:dyDescent="0.25">
      <c r="A655" t="s">
        <v>9</v>
      </c>
      <c r="B655" t="s">
        <v>9</v>
      </c>
    </row>
    <row r="656" spans="1:2" x14ac:dyDescent="0.25">
      <c r="A656" t="s">
        <v>10</v>
      </c>
      <c r="B656" t="s">
        <v>9</v>
      </c>
    </row>
    <row r="657" spans="1:2" x14ac:dyDescent="0.25">
      <c r="A657" t="s">
        <v>9</v>
      </c>
      <c r="B657" t="s">
        <v>10</v>
      </c>
    </row>
    <row r="658" spans="1:2" x14ac:dyDescent="0.25">
      <c r="A658" t="s">
        <v>9</v>
      </c>
      <c r="B658" t="s">
        <v>9</v>
      </c>
    </row>
    <row r="659" spans="1:2" x14ac:dyDescent="0.25">
      <c r="A659" t="s">
        <v>9</v>
      </c>
      <c r="B659" t="s">
        <v>9</v>
      </c>
    </row>
    <row r="660" spans="1:2" x14ac:dyDescent="0.25">
      <c r="A660" t="s">
        <v>9</v>
      </c>
      <c r="B660" t="s">
        <v>10</v>
      </c>
    </row>
    <row r="661" spans="1:2" x14ac:dyDescent="0.25">
      <c r="A661" t="s">
        <v>9</v>
      </c>
      <c r="B661" t="s">
        <v>9</v>
      </c>
    </row>
    <row r="662" spans="1:2" x14ac:dyDescent="0.25">
      <c r="A662" t="s">
        <v>9</v>
      </c>
      <c r="B662" t="s">
        <v>9</v>
      </c>
    </row>
    <row r="663" spans="1:2" x14ac:dyDescent="0.25">
      <c r="A663" t="s">
        <v>9</v>
      </c>
      <c r="B663" t="s">
        <v>9</v>
      </c>
    </row>
    <row r="664" spans="1:2" x14ac:dyDescent="0.25">
      <c r="A664" t="s">
        <v>9</v>
      </c>
      <c r="B664" t="s">
        <v>10</v>
      </c>
    </row>
    <row r="665" spans="1:2" x14ac:dyDescent="0.25">
      <c r="A665" t="s">
        <v>9</v>
      </c>
      <c r="B665" t="s">
        <v>9</v>
      </c>
    </row>
    <row r="666" spans="1:2" x14ac:dyDescent="0.25">
      <c r="A666" t="s">
        <v>9</v>
      </c>
      <c r="B666" t="s">
        <v>9</v>
      </c>
    </row>
    <row r="667" spans="1:2" x14ac:dyDescent="0.25">
      <c r="A667" t="s">
        <v>9</v>
      </c>
      <c r="B667" t="s">
        <v>10</v>
      </c>
    </row>
    <row r="668" spans="1:2" x14ac:dyDescent="0.25">
      <c r="A668" t="s">
        <v>9</v>
      </c>
      <c r="B668" t="s">
        <v>9</v>
      </c>
    </row>
    <row r="669" spans="1:2" x14ac:dyDescent="0.25">
      <c r="A669" t="s">
        <v>10</v>
      </c>
      <c r="B669" t="s">
        <v>9</v>
      </c>
    </row>
    <row r="670" spans="1:2" x14ac:dyDescent="0.25">
      <c r="A670" t="s">
        <v>10</v>
      </c>
      <c r="B670" t="s">
        <v>9</v>
      </c>
    </row>
    <row r="671" spans="1:2" x14ac:dyDescent="0.25">
      <c r="A671" t="s">
        <v>9</v>
      </c>
      <c r="B671" t="s">
        <v>9</v>
      </c>
    </row>
    <row r="672" spans="1:2" x14ac:dyDescent="0.25">
      <c r="A672" t="s">
        <v>9</v>
      </c>
      <c r="B672" t="s">
        <v>9</v>
      </c>
    </row>
    <row r="673" spans="1:2" x14ac:dyDescent="0.25">
      <c r="A673" t="s">
        <v>9</v>
      </c>
      <c r="B673" t="s">
        <v>9</v>
      </c>
    </row>
    <row r="674" spans="1:2" x14ac:dyDescent="0.25">
      <c r="A674" t="s">
        <v>9</v>
      </c>
      <c r="B674" t="s">
        <v>9</v>
      </c>
    </row>
    <row r="675" spans="1:2" x14ac:dyDescent="0.25">
      <c r="A675" t="s">
        <v>10</v>
      </c>
      <c r="B675" t="s">
        <v>10</v>
      </c>
    </row>
    <row r="676" spans="1:2" x14ac:dyDescent="0.25">
      <c r="A676" t="s">
        <v>9</v>
      </c>
      <c r="B676" t="s">
        <v>9</v>
      </c>
    </row>
    <row r="677" spans="1:2" x14ac:dyDescent="0.25">
      <c r="A677" t="s">
        <v>9</v>
      </c>
      <c r="B677" t="s">
        <v>9</v>
      </c>
    </row>
    <row r="678" spans="1:2" x14ac:dyDescent="0.25">
      <c r="A678" t="s">
        <v>9</v>
      </c>
      <c r="B678" t="s">
        <v>9</v>
      </c>
    </row>
    <row r="679" spans="1:2" x14ac:dyDescent="0.25">
      <c r="A679" t="s">
        <v>9</v>
      </c>
      <c r="B679" t="s">
        <v>9</v>
      </c>
    </row>
    <row r="680" spans="1:2" x14ac:dyDescent="0.25">
      <c r="A680" t="s">
        <v>9</v>
      </c>
      <c r="B680" t="s">
        <v>9</v>
      </c>
    </row>
    <row r="681" spans="1:2" x14ac:dyDescent="0.25">
      <c r="A681" t="s">
        <v>9</v>
      </c>
      <c r="B681" t="s">
        <v>9</v>
      </c>
    </row>
    <row r="682" spans="1:2" x14ac:dyDescent="0.25">
      <c r="A682" t="s">
        <v>9</v>
      </c>
      <c r="B682" t="s">
        <v>9</v>
      </c>
    </row>
    <row r="683" spans="1:2" x14ac:dyDescent="0.25">
      <c r="A683" t="s">
        <v>9</v>
      </c>
      <c r="B683" t="s">
        <v>9</v>
      </c>
    </row>
    <row r="684" spans="1:2" x14ac:dyDescent="0.25">
      <c r="A684" t="s">
        <v>9</v>
      </c>
      <c r="B684" t="s">
        <v>9</v>
      </c>
    </row>
    <row r="685" spans="1:2" x14ac:dyDescent="0.25">
      <c r="A685" t="s">
        <v>9</v>
      </c>
      <c r="B685" t="s">
        <v>10</v>
      </c>
    </row>
    <row r="686" spans="1:2" x14ac:dyDescent="0.25">
      <c r="A686" t="s">
        <v>9</v>
      </c>
      <c r="B686" t="s">
        <v>9</v>
      </c>
    </row>
    <row r="687" spans="1:2" x14ac:dyDescent="0.25">
      <c r="A687" t="s">
        <v>9</v>
      </c>
      <c r="B687" t="s">
        <v>9</v>
      </c>
    </row>
    <row r="688" spans="1:2" x14ac:dyDescent="0.25">
      <c r="A688" t="s">
        <v>10</v>
      </c>
      <c r="B688" t="s">
        <v>10</v>
      </c>
    </row>
    <row r="689" spans="1:2" x14ac:dyDescent="0.25">
      <c r="A689" t="s">
        <v>9</v>
      </c>
      <c r="B689" t="s">
        <v>9</v>
      </c>
    </row>
    <row r="690" spans="1:2" x14ac:dyDescent="0.25">
      <c r="A690" t="s">
        <v>10</v>
      </c>
      <c r="B690" t="s">
        <v>9</v>
      </c>
    </row>
    <row r="691" spans="1:2" x14ac:dyDescent="0.25">
      <c r="A691" t="s">
        <v>9</v>
      </c>
      <c r="B691" t="s">
        <v>9</v>
      </c>
    </row>
    <row r="692" spans="1:2" x14ac:dyDescent="0.25">
      <c r="A692" t="s">
        <v>9</v>
      </c>
      <c r="B692" t="s">
        <v>9</v>
      </c>
    </row>
    <row r="693" spans="1:2" x14ac:dyDescent="0.25">
      <c r="A693" t="s">
        <v>10</v>
      </c>
      <c r="B693" t="s">
        <v>10</v>
      </c>
    </row>
    <row r="694" spans="1:2" x14ac:dyDescent="0.25">
      <c r="A694" t="s">
        <v>9</v>
      </c>
      <c r="B694" t="s">
        <v>9</v>
      </c>
    </row>
    <row r="695" spans="1:2" x14ac:dyDescent="0.25">
      <c r="A695" t="s">
        <v>10</v>
      </c>
      <c r="B695" t="s">
        <v>10</v>
      </c>
    </row>
    <row r="696" spans="1:2" x14ac:dyDescent="0.25">
      <c r="A696" t="s">
        <v>9</v>
      </c>
      <c r="B696" t="s">
        <v>9</v>
      </c>
    </row>
    <row r="697" spans="1:2" x14ac:dyDescent="0.25">
      <c r="A697" t="s">
        <v>9</v>
      </c>
      <c r="B697" t="s">
        <v>10</v>
      </c>
    </row>
    <row r="698" spans="1:2" x14ac:dyDescent="0.25">
      <c r="A698" t="s">
        <v>9</v>
      </c>
      <c r="B698" t="s">
        <v>9</v>
      </c>
    </row>
    <row r="699" spans="1:2" x14ac:dyDescent="0.25">
      <c r="A699" t="s">
        <v>9</v>
      </c>
      <c r="B699" t="s">
        <v>9</v>
      </c>
    </row>
    <row r="700" spans="1:2" x14ac:dyDescent="0.25">
      <c r="A700" t="s">
        <v>10</v>
      </c>
      <c r="B700" t="s">
        <v>10</v>
      </c>
    </row>
    <row r="701" spans="1:2" x14ac:dyDescent="0.25">
      <c r="A701" t="s">
        <v>9</v>
      </c>
      <c r="B701" t="s">
        <v>9</v>
      </c>
    </row>
    <row r="702" spans="1:2" x14ac:dyDescent="0.25">
      <c r="A702" t="s">
        <v>9</v>
      </c>
      <c r="B702" t="s">
        <v>9</v>
      </c>
    </row>
    <row r="703" spans="1:2" x14ac:dyDescent="0.25">
      <c r="A703" t="s">
        <v>9</v>
      </c>
      <c r="B703" t="s">
        <v>9</v>
      </c>
    </row>
    <row r="704" spans="1:2" x14ac:dyDescent="0.25">
      <c r="A704" t="s">
        <v>9</v>
      </c>
      <c r="B704" t="s">
        <v>10</v>
      </c>
    </row>
    <row r="705" spans="1:2" x14ac:dyDescent="0.25">
      <c r="A705" t="s">
        <v>10</v>
      </c>
      <c r="B705" t="s">
        <v>10</v>
      </c>
    </row>
    <row r="706" spans="1:2" x14ac:dyDescent="0.25">
      <c r="A706" t="s">
        <v>9</v>
      </c>
      <c r="B706" t="s">
        <v>9</v>
      </c>
    </row>
    <row r="707" spans="1:2" x14ac:dyDescent="0.25">
      <c r="A707" t="s">
        <v>9</v>
      </c>
      <c r="B707" t="s">
        <v>9</v>
      </c>
    </row>
    <row r="708" spans="1:2" x14ac:dyDescent="0.25">
      <c r="A708" t="s">
        <v>9</v>
      </c>
      <c r="B708" t="s">
        <v>9</v>
      </c>
    </row>
    <row r="709" spans="1:2" x14ac:dyDescent="0.25">
      <c r="A709" t="s">
        <v>9</v>
      </c>
      <c r="B709" t="s">
        <v>9</v>
      </c>
    </row>
    <row r="710" spans="1:2" x14ac:dyDescent="0.25">
      <c r="A710" t="s">
        <v>9</v>
      </c>
      <c r="B710" t="s">
        <v>9</v>
      </c>
    </row>
    <row r="711" spans="1:2" x14ac:dyDescent="0.25">
      <c r="A711" t="s">
        <v>9</v>
      </c>
      <c r="B711" t="s">
        <v>9</v>
      </c>
    </row>
    <row r="712" spans="1:2" x14ac:dyDescent="0.25">
      <c r="A712" t="s">
        <v>9</v>
      </c>
      <c r="B712" t="s">
        <v>10</v>
      </c>
    </row>
    <row r="713" spans="1:2" x14ac:dyDescent="0.25">
      <c r="A713" t="s">
        <v>9</v>
      </c>
      <c r="B713" t="s">
        <v>9</v>
      </c>
    </row>
    <row r="714" spans="1:2" x14ac:dyDescent="0.25">
      <c r="A714" t="s">
        <v>9</v>
      </c>
      <c r="B714" t="s">
        <v>9</v>
      </c>
    </row>
    <row r="715" spans="1:2" x14ac:dyDescent="0.25">
      <c r="A715" t="s">
        <v>9</v>
      </c>
      <c r="B715" t="s">
        <v>9</v>
      </c>
    </row>
    <row r="716" spans="1:2" x14ac:dyDescent="0.25">
      <c r="A716" t="s">
        <v>9</v>
      </c>
      <c r="B716" t="s">
        <v>9</v>
      </c>
    </row>
    <row r="717" spans="1:2" x14ac:dyDescent="0.25">
      <c r="A717" t="s">
        <v>10</v>
      </c>
      <c r="B717" t="s">
        <v>9</v>
      </c>
    </row>
    <row r="718" spans="1:2" x14ac:dyDescent="0.25">
      <c r="A718" t="s">
        <v>9</v>
      </c>
      <c r="B718" t="s">
        <v>9</v>
      </c>
    </row>
    <row r="719" spans="1:2" x14ac:dyDescent="0.25">
      <c r="A719" t="s">
        <v>9</v>
      </c>
      <c r="B719" t="s">
        <v>9</v>
      </c>
    </row>
    <row r="720" spans="1:2" x14ac:dyDescent="0.25">
      <c r="A720" t="s">
        <v>10</v>
      </c>
      <c r="B720" t="s">
        <v>10</v>
      </c>
    </row>
    <row r="721" spans="1:2" x14ac:dyDescent="0.25">
      <c r="A721" t="s">
        <v>9</v>
      </c>
      <c r="B721" t="s">
        <v>9</v>
      </c>
    </row>
    <row r="722" spans="1:2" x14ac:dyDescent="0.25">
      <c r="A722" t="s">
        <v>9</v>
      </c>
      <c r="B722" t="s">
        <v>9</v>
      </c>
    </row>
    <row r="723" spans="1:2" x14ac:dyDescent="0.25">
      <c r="A723" t="s">
        <v>9</v>
      </c>
      <c r="B723" t="s">
        <v>9</v>
      </c>
    </row>
    <row r="724" spans="1:2" x14ac:dyDescent="0.25">
      <c r="A724" t="s">
        <v>9</v>
      </c>
      <c r="B724" t="s">
        <v>9</v>
      </c>
    </row>
    <row r="725" spans="1:2" x14ac:dyDescent="0.25">
      <c r="A725" t="s">
        <v>9</v>
      </c>
      <c r="B725" t="s">
        <v>9</v>
      </c>
    </row>
    <row r="726" spans="1:2" x14ac:dyDescent="0.25">
      <c r="A726" t="s">
        <v>9</v>
      </c>
      <c r="B726" t="s">
        <v>9</v>
      </c>
    </row>
    <row r="727" spans="1:2" x14ac:dyDescent="0.25">
      <c r="A727" t="s">
        <v>9</v>
      </c>
      <c r="B727" t="s">
        <v>9</v>
      </c>
    </row>
    <row r="728" spans="1:2" x14ac:dyDescent="0.25">
      <c r="A728" t="s">
        <v>9</v>
      </c>
      <c r="B728" t="s">
        <v>9</v>
      </c>
    </row>
    <row r="729" spans="1:2" x14ac:dyDescent="0.25">
      <c r="A729" t="s">
        <v>9</v>
      </c>
      <c r="B729" t="s">
        <v>10</v>
      </c>
    </row>
    <row r="730" spans="1:2" x14ac:dyDescent="0.25">
      <c r="A730" t="s">
        <v>10</v>
      </c>
      <c r="B730" t="s">
        <v>10</v>
      </c>
    </row>
    <row r="731" spans="1:2" x14ac:dyDescent="0.25">
      <c r="A731" t="s">
        <v>9</v>
      </c>
      <c r="B731" t="s">
        <v>9</v>
      </c>
    </row>
    <row r="732" spans="1:2" x14ac:dyDescent="0.25">
      <c r="A732" t="s">
        <v>9</v>
      </c>
      <c r="B732" t="s">
        <v>9</v>
      </c>
    </row>
    <row r="733" spans="1:2" x14ac:dyDescent="0.25">
      <c r="A733" t="s">
        <v>10</v>
      </c>
      <c r="B733" t="s">
        <v>10</v>
      </c>
    </row>
    <row r="734" spans="1:2" x14ac:dyDescent="0.25">
      <c r="A734" t="s">
        <v>10</v>
      </c>
      <c r="B734" t="s">
        <v>9</v>
      </c>
    </row>
    <row r="735" spans="1:2" x14ac:dyDescent="0.25">
      <c r="A735" t="s">
        <v>10</v>
      </c>
      <c r="B735" t="s">
        <v>9</v>
      </c>
    </row>
    <row r="736" spans="1:2" x14ac:dyDescent="0.25">
      <c r="A736" t="s">
        <v>9</v>
      </c>
      <c r="B736" t="s">
        <v>9</v>
      </c>
    </row>
    <row r="737" spans="1:2" x14ac:dyDescent="0.25">
      <c r="A737" t="s">
        <v>9</v>
      </c>
      <c r="B737" t="s">
        <v>9</v>
      </c>
    </row>
    <row r="738" spans="1:2" x14ac:dyDescent="0.25">
      <c r="A738" t="s">
        <v>9</v>
      </c>
      <c r="B738" t="s">
        <v>9</v>
      </c>
    </row>
    <row r="739" spans="1:2" x14ac:dyDescent="0.25">
      <c r="A739" t="s">
        <v>9</v>
      </c>
      <c r="B739" t="s">
        <v>9</v>
      </c>
    </row>
    <row r="740" spans="1:2" x14ac:dyDescent="0.25">
      <c r="A740" t="s">
        <v>9</v>
      </c>
      <c r="B740" t="s">
        <v>9</v>
      </c>
    </row>
    <row r="741" spans="1:2" x14ac:dyDescent="0.25">
      <c r="A741" t="s">
        <v>9</v>
      </c>
      <c r="B741" t="s">
        <v>9</v>
      </c>
    </row>
    <row r="742" spans="1:2" x14ac:dyDescent="0.25">
      <c r="A742" t="s">
        <v>9</v>
      </c>
      <c r="B742" t="s">
        <v>9</v>
      </c>
    </row>
    <row r="743" spans="1:2" x14ac:dyDescent="0.25">
      <c r="A743" t="s">
        <v>9</v>
      </c>
      <c r="B743" t="s">
        <v>9</v>
      </c>
    </row>
    <row r="744" spans="1:2" x14ac:dyDescent="0.25">
      <c r="A744" t="s">
        <v>9</v>
      </c>
      <c r="B744" t="s">
        <v>9</v>
      </c>
    </row>
    <row r="745" spans="1:2" x14ac:dyDescent="0.25">
      <c r="A745" t="s">
        <v>9</v>
      </c>
      <c r="B745" t="s">
        <v>9</v>
      </c>
    </row>
    <row r="746" spans="1:2" x14ac:dyDescent="0.25">
      <c r="A746" t="s">
        <v>9</v>
      </c>
      <c r="B746" t="s">
        <v>10</v>
      </c>
    </row>
    <row r="747" spans="1:2" x14ac:dyDescent="0.25">
      <c r="A747" t="s">
        <v>9</v>
      </c>
      <c r="B747" t="s">
        <v>9</v>
      </c>
    </row>
    <row r="748" spans="1:2" x14ac:dyDescent="0.25">
      <c r="A748" t="s">
        <v>10</v>
      </c>
      <c r="B748" t="s">
        <v>10</v>
      </c>
    </row>
    <row r="749" spans="1:2" x14ac:dyDescent="0.25">
      <c r="A749" t="s">
        <v>9</v>
      </c>
      <c r="B749" t="s">
        <v>9</v>
      </c>
    </row>
    <row r="750" spans="1:2" x14ac:dyDescent="0.25">
      <c r="A750" t="s">
        <v>9</v>
      </c>
      <c r="B750" t="s">
        <v>9</v>
      </c>
    </row>
    <row r="751" spans="1:2" x14ac:dyDescent="0.25">
      <c r="A751" t="s">
        <v>9</v>
      </c>
      <c r="B751" t="s">
        <v>9</v>
      </c>
    </row>
    <row r="752" spans="1:2" x14ac:dyDescent="0.25">
      <c r="A752" t="s">
        <v>10</v>
      </c>
      <c r="B752" t="s">
        <v>10</v>
      </c>
    </row>
    <row r="753" spans="1:2" x14ac:dyDescent="0.25">
      <c r="A753" t="s">
        <v>10</v>
      </c>
      <c r="B753" t="s">
        <v>10</v>
      </c>
    </row>
    <row r="754" spans="1:2" x14ac:dyDescent="0.25">
      <c r="A754" t="s">
        <v>9</v>
      </c>
      <c r="B754" t="s">
        <v>10</v>
      </c>
    </row>
    <row r="755" spans="1:2" x14ac:dyDescent="0.25">
      <c r="A755" t="s">
        <v>10</v>
      </c>
      <c r="B755" t="s">
        <v>9</v>
      </c>
    </row>
    <row r="756" spans="1:2" x14ac:dyDescent="0.25">
      <c r="A756" t="s">
        <v>9</v>
      </c>
      <c r="B756" t="s">
        <v>9</v>
      </c>
    </row>
    <row r="757" spans="1:2" x14ac:dyDescent="0.25">
      <c r="A757" t="s">
        <v>9</v>
      </c>
      <c r="B757" t="s">
        <v>9</v>
      </c>
    </row>
    <row r="758" spans="1:2" x14ac:dyDescent="0.25">
      <c r="A758" t="s">
        <v>9</v>
      </c>
      <c r="B758" t="s">
        <v>10</v>
      </c>
    </row>
    <row r="759" spans="1:2" x14ac:dyDescent="0.25">
      <c r="A759" t="s">
        <v>9</v>
      </c>
      <c r="B759" t="s">
        <v>9</v>
      </c>
    </row>
    <row r="760" spans="1:2" x14ac:dyDescent="0.25">
      <c r="A760" t="s">
        <v>9</v>
      </c>
      <c r="B760" t="s">
        <v>9</v>
      </c>
    </row>
    <row r="761" spans="1:2" x14ac:dyDescent="0.25">
      <c r="A761" t="s">
        <v>10</v>
      </c>
      <c r="B761" t="s">
        <v>10</v>
      </c>
    </row>
    <row r="762" spans="1:2" x14ac:dyDescent="0.25">
      <c r="A762" t="s">
        <v>10</v>
      </c>
      <c r="B762" t="s">
        <v>10</v>
      </c>
    </row>
    <row r="763" spans="1:2" x14ac:dyDescent="0.25">
      <c r="A763" t="s">
        <v>9</v>
      </c>
      <c r="B763" t="s">
        <v>10</v>
      </c>
    </row>
    <row r="764" spans="1:2" x14ac:dyDescent="0.25">
      <c r="A764" t="s">
        <v>9</v>
      </c>
      <c r="B764" t="s">
        <v>9</v>
      </c>
    </row>
    <row r="765" spans="1:2" x14ac:dyDescent="0.25">
      <c r="A765" t="s">
        <v>9</v>
      </c>
      <c r="B765" t="s">
        <v>9</v>
      </c>
    </row>
    <row r="766" spans="1:2" x14ac:dyDescent="0.25">
      <c r="A766" t="s">
        <v>9</v>
      </c>
      <c r="B766" t="s">
        <v>9</v>
      </c>
    </row>
    <row r="767" spans="1:2" x14ac:dyDescent="0.25">
      <c r="A767" t="s">
        <v>9</v>
      </c>
      <c r="B767" t="s">
        <v>10</v>
      </c>
    </row>
    <row r="768" spans="1:2" x14ac:dyDescent="0.25">
      <c r="A768" t="s">
        <v>9</v>
      </c>
      <c r="B768" t="s">
        <v>9</v>
      </c>
    </row>
    <row r="769" spans="1:2" x14ac:dyDescent="0.25">
      <c r="A769" t="s">
        <v>9</v>
      </c>
      <c r="B769" t="s">
        <v>9</v>
      </c>
    </row>
    <row r="770" spans="1:2" x14ac:dyDescent="0.25">
      <c r="A770" t="s">
        <v>9</v>
      </c>
      <c r="B770" t="s">
        <v>9</v>
      </c>
    </row>
    <row r="771" spans="1:2" x14ac:dyDescent="0.25">
      <c r="A771" t="s">
        <v>9</v>
      </c>
      <c r="B771" t="s">
        <v>9</v>
      </c>
    </row>
    <row r="772" spans="1:2" x14ac:dyDescent="0.25">
      <c r="A772" t="s">
        <v>9</v>
      </c>
      <c r="B772" t="s">
        <v>9</v>
      </c>
    </row>
    <row r="773" spans="1:2" x14ac:dyDescent="0.25">
      <c r="A773" t="s">
        <v>9</v>
      </c>
      <c r="B773" t="s">
        <v>9</v>
      </c>
    </row>
    <row r="774" spans="1:2" x14ac:dyDescent="0.25">
      <c r="A774" t="s">
        <v>9</v>
      </c>
      <c r="B774" t="s">
        <v>9</v>
      </c>
    </row>
    <row r="775" spans="1:2" x14ac:dyDescent="0.25">
      <c r="A775" t="s">
        <v>10</v>
      </c>
      <c r="B775" t="s">
        <v>10</v>
      </c>
    </row>
    <row r="776" spans="1:2" x14ac:dyDescent="0.25">
      <c r="A776" t="s">
        <v>9</v>
      </c>
      <c r="B776" t="s">
        <v>10</v>
      </c>
    </row>
    <row r="777" spans="1:2" x14ac:dyDescent="0.25">
      <c r="A777" t="s">
        <v>9</v>
      </c>
      <c r="B777" t="s">
        <v>9</v>
      </c>
    </row>
    <row r="778" spans="1:2" x14ac:dyDescent="0.25">
      <c r="A778" t="s">
        <v>9</v>
      </c>
      <c r="B778" t="s">
        <v>9</v>
      </c>
    </row>
    <row r="779" spans="1:2" x14ac:dyDescent="0.25">
      <c r="A779" t="s">
        <v>9</v>
      </c>
      <c r="B779" t="s">
        <v>9</v>
      </c>
    </row>
    <row r="780" spans="1:2" x14ac:dyDescent="0.25">
      <c r="A780" t="s">
        <v>9</v>
      </c>
      <c r="B780" t="s">
        <v>9</v>
      </c>
    </row>
    <row r="781" spans="1:2" x14ac:dyDescent="0.25">
      <c r="A781" t="s">
        <v>10</v>
      </c>
      <c r="B781" t="s">
        <v>10</v>
      </c>
    </row>
    <row r="782" spans="1:2" x14ac:dyDescent="0.25">
      <c r="A782" t="s">
        <v>10</v>
      </c>
      <c r="B782" t="s">
        <v>10</v>
      </c>
    </row>
    <row r="783" spans="1:2" x14ac:dyDescent="0.25">
      <c r="A783" t="s">
        <v>9</v>
      </c>
      <c r="B783" t="s">
        <v>9</v>
      </c>
    </row>
    <row r="784" spans="1:2" x14ac:dyDescent="0.25">
      <c r="A784" t="s">
        <v>9</v>
      </c>
      <c r="B784" t="s">
        <v>10</v>
      </c>
    </row>
    <row r="785" spans="1:2" x14ac:dyDescent="0.25">
      <c r="A785" t="s">
        <v>9</v>
      </c>
      <c r="B785" t="s">
        <v>9</v>
      </c>
    </row>
    <row r="786" spans="1:2" x14ac:dyDescent="0.25">
      <c r="A786" t="s">
        <v>9</v>
      </c>
      <c r="B786" t="s">
        <v>9</v>
      </c>
    </row>
    <row r="787" spans="1:2" x14ac:dyDescent="0.25">
      <c r="A787" t="s">
        <v>9</v>
      </c>
      <c r="B787" t="s">
        <v>9</v>
      </c>
    </row>
    <row r="788" spans="1:2" x14ac:dyDescent="0.25">
      <c r="A788" t="s">
        <v>9</v>
      </c>
      <c r="B788" t="s">
        <v>9</v>
      </c>
    </row>
    <row r="789" spans="1:2" x14ac:dyDescent="0.25">
      <c r="A789" t="s">
        <v>10</v>
      </c>
      <c r="B789" t="s">
        <v>9</v>
      </c>
    </row>
    <row r="790" spans="1:2" x14ac:dyDescent="0.25">
      <c r="A790" t="s">
        <v>9</v>
      </c>
      <c r="B790" t="s">
        <v>9</v>
      </c>
    </row>
    <row r="791" spans="1:2" x14ac:dyDescent="0.25">
      <c r="A791" t="s">
        <v>9</v>
      </c>
      <c r="B791" t="s">
        <v>9</v>
      </c>
    </row>
    <row r="792" spans="1:2" x14ac:dyDescent="0.25">
      <c r="A792" t="s">
        <v>9</v>
      </c>
      <c r="B792" t="s">
        <v>9</v>
      </c>
    </row>
    <row r="793" spans="1:2" x14ac:dyDescent="0.25">
      <c r="A793" t="s">
        <v>9</v>
      </c>
      <c r="B793" t="s">
        <v>9</v>
      </c>
    </row>
    <row r="794" spans="1:2" x14ac:dyDescent="0.25">
      <c r="A794" t="s">
        <v>9</v>
      </c>
      <c r="B794" t="s">
        <v>10</v>
      </c>
    </row>
    <row r="795" spans="1:2" x14ac:dyDescent="0.25">
      <c r="A795" t="s">
        <v>9</v>
      </c>
      <c r="B795" t="s">
        <v>9</v>
      </c>
    </row>
    <row r="796" spans="1:2" x14ac:dyDescent="0.25">
      <c r="A796" t="s">
        <v>9</v>
      </c>
      <c r="B796" t="s">
        <v>10</v>
      </c>
    </row>
    <row r="797" spans="1:2" x14ac:dyDescent="0.25">
      <c r="A797" t="s">
        <v>10</v>
      </c>
      <c r="B797" t="s">
        <v>10</v>
      </c>
    </row>
    <row r="798" spans="1:2" x14ac:dyDescent="0.25">
      <c r="A798" t="s">
        <v>9</v>
      </c>
      <c r="B798" t="s">
        <v>10</v>
      </c>
    </row>
    <row r="799" spans="1:2" x14ac:dyDescent="0.25">
      <c r="A799" t="s">
        <v>10</v>
      </c>
      <c r="B799" t="s">
        <v>10</v>
      </c>
    </row>
    <row r="800" spans="1:2" x14ac:dyDescent="0.25">
      <c r="A800" t="s">
        <v>10</v>
      </c>
      <c r="B800" t="s">
        <v>10</v>
      </c>
    </row>
    <row r="801" spans="1:2" x14ac:dyDescent="0.25">
      <c r="A801" t="s">
        <v>9</v>
      </c>
      <c r="B801" t="s">
        <v>9</v>
      </c>
    </row>
    <row r="802" spans="1:2" x14ac:dyDescent="0.25">
      <c r="A802" t="s">
        <v>9</v>
      </c>
      <c r="B802" t="s">
        <v>9</v>
      </c>
    </row>
    <row r="803" spans="1:2" x14ac:dyDescent="0.25">
      <c r="A803" t="s">
        <v>9</v>
      </c>
      <c r="B803" t="s">
        <v>10</v>
      </c>
    </row>
    <row r="804" spans="1:2" x14ac:dyDescent="0.25">
      <c r="A804" t="s">
        <v>9</v>
      </c>
      <c r="B804" t="s">
        <v>10</v>
      </c>
    </row>
    <row r="805" spans="1:2" x14ac:dyDescent="0.25">
      <c r="A805" t="s">
        <v>10</v>
      </c>
      <c r="B805" t="s">
        <v>10</v>
      </c>
    </row>
    <row r="806" spans="1:2" x14ac:dyDescent="0.25">
      <c r="A806" t="s">
        <v>9</v>
      </c>
      <c r="B806" t="s">
        <v>9</v>
      </c>
    </row>
    <row r="807" spans="1:2" x14ac:dyDescent="0.25">
      <c r="A807" t="s">
        <v>9</v>
      </c>
      <c r="B807" t="s">
        <v>10</v>
      </c>
    </row>
    <row r="808" spans="1:2" x14ac:dyDescent="0.25">
      <c r="A808" t="s">
        <v>9</v>
      </c>
      <c r="B808" t="s">
        <v>9</v>
      </c>
    </row>
    <row r="809" spans="1:2" x14ac:dyDescent="0.25">
      <c r="A809" t="s">
        <v>9</v>
      </c>
      <c r="B809" t="s">
        <v>9</v>
      </c>
    </row>
    <row r="810" spans="1:2" x14ac:dyDescent="0.25">
      <c r="A810" t="s">
        <v>9</v>
      </c>
      <c r="B810" t="s">
        <v>9</v>
      </c>
    </row>
    <row r="811" spans="1:2" x14ac:dyDescent="0.25">
      <c r="A811" t="s">
        <v>9</v>
      </c>
      <c r="B811" t="s">
        <v>10</v>
      </c>
    </row>
    <row r="812" spans="1:2" x14ac:dyDescent="0.25">
      <c r="A812" t="s">
        <v>9</v>
      </c>
      <c r="B812" t="s">
        <v>9</v>
      </c>
    </row>
    <row r="813" spans="1:2" x14ac:dyDescent="0.25">
      <c r="A813" t="s">
        <v>9</v>
      </c>
      <c r="B813" t="s">
        <v>9</v>
      </c>
    </row>
    <row r="814" spans="1:2" x14ac:dyDescent="0.25">
      <c r="A814" t="s">
        <v>9</v>
      </c>
      <c r="B814" t="s">
        <v>10</v>
      </c>
    </row>
    <row r="815" spans="1:2" x14ac:dyDescent="0.25">
      <c r="A815" t="s">
        <v>9</v>
      </c>
      <c r="B815" t="s">
        <v>9</v>
      </c>
    </row>
    <row r="816" spans="1:2" x14ac:dyDescent="0.25">
      <c r="A816" t="s">
        <v>9</v>
      </c>
      <c r="B816" t="s">
        <v>9</v>
      </c>
    </row>
    <row r="817" spans="1:2" x14ac:dyDescent="0.25">
      <c r="A817" t="s">
        <v>9</v>
      </c>
      <c r="B817" t="s">
        <v>9</v>
      </c>
    </row>
    <row r="818" spans="1:2" x14ac:dyDescent="0.25">
      <c r="A818" t="s">
        <v>9</v>
      </c>
      <c r="B818" t="s">
        <v>10</v>
      </c>
    </row>
    <row r="819" spans="1:2" x14ac:dyDescent="0.25">
      <c r="A819" t="s">
        <v>9</v>
      </c>
      <c r="B819" t="s">
        <v>9</v>
      </c>
    </row>
    <row r="820" spans="1:2" x14ac:dyDescent="0.25">
      <c r="A820" t="s">
        <v>9</v>
      </c>
      <c r="B820" t="s">
        <v>9</v>
      </c>
    </row>
    <row r="821" spans="1:2" x14ac:dyDescent="0.25">
      <c r="A821" t="s">
        <v>10</v>
      </c>
      <c r="B821" t="s">
        <v>10</v>
      </c>
    </row>
    <row r="822" spans="1:2" x14ac:dyDescent="0.25">
      <c r="A822" t="s">
        <v>9</v>
      </c>
      <c r="B822" t="s">
        <v>9</v>
      </c>
    </row>
    <row r="823" spans="1:2" x14ac:dyDescent="0.25">
      <c r="A823" t="s">
        <v>9</v>
      </c>
      <c r="B823" t="s">
        <v>9</v>
      </c>
    </row>
    <row r="824" spans="1:2" x14ac:dyDescent="0.25">
      <c r="A824" t="s">
        <v>9</v>
      </c>
      <c r="B824" t="s">
        <v>9</v>
      </c>
    </row>
    <row r="825" spans="1:2" x14ac:dyDescent="0.25">
      <c r="A825" t="s">
        <v>10</v>
      </c>
      <c r="B825" t="s">
        <v>9</v>
      </c>
    </row>
    <row r="826" spans="1:2" x14ac:dyDescent="0.25">
      <c r="A826" t="s">
        <v>9</v>
      </c>
      <c r="B826" t="s">
        <v>10</v>
      </c>
    </row>
    <row r="827" spans="1:2" x14ac:dyDescent="0.25">
      <c r="A827" t="s">
        <v>9</v>
      </c>
      <c r="B827" t="s">
        <v>9</v>
      </c>
    </row>
    <row r="828" spans="1:2" x14ac:dyDescent="0.25">
      <c r="A828" t="s">
        <v>10</v>
      </c>
      <c r="B828" t="s">
        <v>9</v>
      </c>
    </row>
    <row r="829" spans="1:2" x14ac:dyDescent="0.25">
      <c r="A829" t="s">
        <v>9</v>
      </c>
      <c r="B829" t="s">
        <v>10</v>
      </c>
    </row>
    <row r="830" spans="1:2" x14ac:dyDescent="0.25">
      <c r="A830" t="s">
        <v>9</v>
      </c>
      <c r="B830" t="s">
        <v>9</v>
      </c>
    </row>
    <row r="831" spans="1:2" x14ac:dyDescent="0.25">
      <c r="A831" t="s">
        <v>9</v>
      </c>
      <c r="B831" t="s">
        <v>9</v>
      </c>
    </row>
    <row r="832" spans="1:2" x14ac:dyDescent="0.25">
      <c r="A832" t="s">
        <v>9</v>
      </c>
      <c r="B832" t="s">
        <v>10</v>
      </c>
    </row>
    <row r="833" spans="1:2" x14ac:dyDescent="0.25">
      <c r="A833" t="s">
        <v>10</v>
      </c>
      <c r="B833" t="s">
        <v>10</v>
      </c>
    </row>
    <row r="834" spans="1:2" x14ac:dyDescent="0.25">
      <c r="A834" t="s">
        <v>9</v>
      </c>
      <c r="B834" t="s">
        <v>9</v>
      </c>
    </row>
    <row r="835" spans="1:2" x14ac:dyDescent="0.25">
      <c r="A835" t="s">
        <v>9</v>
      </c>
      <c r="B835" t="s">
        <v>9</v>
      </c>
    </row>
    <row r="836" spans="1:2" x14ac:dyDescent="0.25">
      <c r="A836" t="s">
        <v>9</v>
      </c>
      <c r="B836" t="s">
        <v>10</v>
      </c>
    </row>
    <row r="837" spans="1:2" x14ac:dyDescent="0.25">
      <c r="A837" t="s">
        <v>9</v>
      </c>
      <c r="B837" t="s">
        <v>9</v>
      </c>
    </row>
    <row r="838" spans="1:2" x14ac:dyDescent="0.25">
      <c r="A838" t="s">
        <v>9</v>
      </c>
      <c r="B838" t="s">
        <v>10</v>
      </c>
    </row>
    <row r="839" spans="1:2" x14ac:dyDescent="0.25">
      <c r="A839" t="s">
        <v>9</v>
      </c>
      <c r="B839" t="s">
        <v>9</v>
      </c>
    </row>
    <row r="840" spans="1:2" x14ac:dyDescent="0.25">
      <c r="A840" t="s">
        <v>9</v>
      </c>
      <c r="B840" t="s">
        <v>10</v>
      </c>
    </row>
    <row r="841" spans="1:2" x14ac:dyDescent="0.25">
      <c r="A841" t="s">
        <v>9</v>
      </c>
      <c r="B841" t="s">
        <v>9</v>
      </c>
    </row>
    <row r="842" spans="1:2" x14ac:dyDescent="0.25">
      <c r="A842" t="s">
        <v>10</v>
      </c>
      <c r="B842" t="s">
        <v>9</v>
      </c>
    </row>
    <row r="843" spans="1:2" x14ac:dyDescent="0.25">
      <c r="A843" t="s">
        <v>9</v>
      </c>
      <c r="B843" t="s">
        <v>9</v>
      </c>
    </row>
    <row r="844" spans="1:2" x14ac:dyDescent="0.25">
      <c r="A844" t="s">
        <v>9</v>
      </c>
      <c r="B844" t="s">
        <v>9</v>
      </c>
    </row>
    <row r="845" spans="1:2" x14ac:dyDescent="0.25">
      <c r="A845" t="s">
        <v>9</v>
      </c>
      <c r="B845" t="s">
        <v>9</v>
      </c>
    </row>
    <row r="846" spans="1:2" x14ac:dyDescent="0.25">
      <c r="A846" t="s">
        <v>9</v>
      </c>
      <c r="B846" t="s">
        <v>9</v>
      </c>
    </row>
    <row r="847" spans="1:2" x14ac:dyDescent="0.25">
      <c r="A847" t="s">
        <v>9</v>
      </c>
      <c r="B847" t="s">
        <v>9</v>
      </c>
    </row>
    <row r="848" spans="1:2" x14ac:dyDescent="0.25">
      <c r="A848" t="s">
        <v>9</v>
      </c>
      <c r="B848" t="s">
        <v>9</v>
      </c>
    </row>
    <row r="849" spans="1:2" x14ac:dyDescent="0.25">
      <c r="A849" t="s">
        <v>9</v>
      </c>
      <c r="B849" t="s">
        <v>9</v>
      </c>
    </row>
    <row r="850" spans="1:2" x14ac:dyDescent="0.25">
      <c r="A850" t="s">
        <v>10</v>
      </c>
      <c r="B850" t="s">
        <v>10</v>
      </c>
    </row>
    <row r="851" spans="1:2" x14ac:dyDescent="0.25">
      <c r="A851" t="s">
        <v>9</v>
      </c>
      <c r="B851" t="s">
        <v>9</v>
      </c>
    </row>
    <row r="852" spans="1:2" x14ac:dyDescent="0.25">
      <c r="A852" t="s">
        <v>10</v>
      </c>
      <c r="B852" t="s">
        <v>10</v>
      </c>
    </row>
    <row r="853" spans="1:2" x14ac:dyDescent="0.25">
      <c r="A853" t="s">
        <v>9</v>
      </c>
      <c r="B853" t="s">
        <v>9</v>
      </c>
    </row>
    <row r="854" spans="1:2" x14ac:dyDescent="0.25">
      <c r="A854" t="s">
        <v>9</v>
      </c>
      <c r="B854" t="s">
        <v>10</v>
      </c>
    </row>
    <row r="855" spans="1:2" x14ac:dyDescent="0.25">
      <c r="A855" t="s">
        <v>9</v>
      </c>
      <c r="B855" t="s">
        <v>9</v>
      </c>
    </row>
    <row r="856" spans="1:2" x14ac:dyDescent="0.25">
      <c r="A856" t="s">
        <v>9</v>
      </c>
      <c r="B856" t="s">
        <v>10</v>
      </c>
    </row>
    <row r="857" spans="1:2" x14ac:dyDescent="0.25">
      <c r="A857" t="s">
        <v>9</v>
      </c>
      <c r="B857" t="s">
        <v>9</v>
      </c>
    </row>
    <row r="858" spans="1:2" x14ac:dyDescent="0.25">
      <c r="A858" t="s">
        <v>10</v>
      </c>
      <c r="B858" t="s">
        <v>10</v>
      </c>
    </row>
    <row r="859" spans="1:2" x14ac:dyDescent="0.25">
      <c r="A859" t="s">
        <v>9</v>
      </c>
      <c r="B859" t="s">
        <v>9</v>
      </c>
    </row>
    <row r="860" spans="1:2" x14ac:dyDescent="0.25">
      <c r="A860" t="s">
        <v>9</v>
      </c>
      <c r="B860" t="s">
        <v>9</v>
      </c>
    </row>
    <row r="861" spans="1:2" x14ac:dyDescent="0.25">
      <c r="A861" t="s">
        <v>10</v>
      </c>
      <c r="B861" t="s">
        <v>9</v>
      </c>
    </row>
    <row r="862" spans="1:2" x14ac:dyDescent="0.25">
      <c r="A862" t="s">
        <v>9</v>
      </c>
      <c r="B862" t="s">
        <v>9</v>
      </c>
    </row>
    <row r="863" spans="1:2" x14ac:dyDescent="0.25">
      <c r="A863" t="s">
        <v>9</v>
      </c>
      <c r="B863" t="s">
        <v>9</v>
      </c>
    </row>
    <row r="864" spans="1:2" x14ac:dyDescent="0.25">
      <c r="A864" t="s">
        <v>10</v>
      </c>
      <c r="B864" t="s">
        <v>10</v>
      </c>
    </row>
    <row r="865" spans="1:2" x14ac:dyDescent="0.25">
      <c r="A865" t="s">
        <v>9</v>
      </c>
      <c r="B865" t="s">
        <v>10</v>
      </c>
    </row>
    <row r="866" spans="1:2" x14ac:dyDescent="0.25">
      <c r="A866" t="s">
        <v>9</v>
      </c>
      <c r="B866" t="s">
        <v>10</v>
      </c>
    </row>
    <row r="867" spans="1:2" x14ac:dyDescent="0.25">
      <c r="A867" t="s">
        <v>9</v>
      </c>
      <c r="B867" t="s">
        <v>9</v>
      </c>
    </row>
    <row r="868" spans="1:2" x14ac:dyDescent="0.25">
      <c r="A868" t="s">
        <v>9</v>
      </c>
      <c r="B868" t="s">
        <v>9</v>
      </c>
    </row>
    <row r="869" spans="1:2" x14ac:dyDescent="0.25">
      <c r="A869" t="s">
        <v>9</v>
      </c>
      <c r="B869" t="s">
        <v>10</v>
      </c>
    </row>
    <row r="870" spans="1:2" x14ac:dyDescent="0.25">
      <c r="A870" t="s">
        <v>9</v>
      </c>
      <c r="B870" t="s">
        <v>10</v>
      </c>
    </row>
    <row r="871" spans="1:2" x14ac:dyDescent="0.25">
      <c r="A871" t="s">
        <v>9</v>
      </c>
      <c r="B871" t="s">
        <v>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3535-5569-4626-9E74-3C321811D438}">
  <dimension ref="A1:G871"/>
  <sheetViews>
    <sheetView workbookViewId="0">
      <selection activeCell="N12" sqref="N12"/>
    </sheetView>
  </sheetViews>
  <sheetFormatPr defaultRowHeight="15" x14ac:dyDescent="0.25"/>
  <cols>
    <col min="3" max="3" width="13.140625" bestFit="1" customWidth="1"/>
    <col min="4" max="4" width="23.7109375" bestFit="1" customWidth="1"/>
  </cols>
  <sheetData>
    <row r="1" spans="1:7" x14ac:dyDescent="0.25">
      <c r="A1" t="s">
        <v>117</v>
      </c>
      <c r="B1" t="s">
        <v>53</v>
      </c>
      <c r="C1" s="12" t="s">
        <v>115</v>
      </c>
      <c r="D1" t="s">
        <v>126</v>
      </c>
      <c r="F1" t="s">
        <v>127</v>
      </c>
      <c r="G1" t="s">
        <v>128</v>
      </c>
    </row>
    <row r="2" spans="1:7" x14ac:dyDescent="0.25">
      <c r="A2" t="s">
        <v>9</v>
      </c>
      <c r="B2">
        <v>3</v>
      </c>
      <c r="C2" s="13">
        <v>1</v>
      </c>
      <c r="D2">
        <v>47</v>
      </c>
      <c r="F2" s="13">
        <v>1</v>
      </c>
      <c r="G2">
        <v>47</v>
      </c>
    </row>
    <row r="3" spans="1:7" x14ac:dyDescent="0.25">
      <c r="A3" t="s">
        <v>9</v>
      </c>
      <c r="B3">
        <v>2</v>
      </c>
      <c r="C3" s="13">
        <v>2</v>
      </c>
      <c r="D3">
        <v>228</v>
      </c>
      <c r="F3" s="13">
        <v>2</v>
      </c>
      <c r="G3">
        <v>228</v>
      </c>
    </row>
    <row r="4" spans="1:7" x14ac:dyDescent="0.25">
      <c r="A4" t="s">
        <v>9</v>
      </c>
      <c r="B4">
        <v>3</v>
      </c>
      <c r="C4" s="13">
        <v>3</v>
      </c>
      <c r="D4">
        <v>514</v>
      </c>
      <c r="F4" s="13">
        <v>3</v>
      </c>
      <c r="G4">
        <v>514</v>
      </c>
    </row>
    <row r="5" spans="1:7" x14ac:dyDescent="0.25">
      <c r="A5" t="s">
        <v>9</v>
      </c>
      <c r="B5">
        <v>3</v>
      </c>
      <c r="C5" s="13">
        <v>4</v>
      </c>
      <c r="D5">
        <v>81</v>
      </c>
      <c r="F5" s="13">
        <v>4</v>
      </c>
      <c r="G5">
        <v>81</v>
      </c>
    </row>
    <row r="6" spans="1:7" x14ac:dyDescent="0.25">
      <c r="A6" t="s">
        <v>9</v>
      </c>
      <c r="B6">
        <v>3</v>
      </c>
      <c r="C6" s="13" t="s">
        <v>123</v>
      </c>
    </row>
    <row r="7" spans="1:7" x14ac:dyDescent="0.25">
      <c r="A7" t="s">
        <v>9</v>
      </c>
      <c r="B7">
        <v>3</v>
      </c>
      <c r="C7" s="13" t="s">
        <v>116</v>
      </c>
      <c r="D7">
        <v>870</v>
      </c>
    </row>
    <row r="8" spans="1:7" x14ac:dyDescent="0.25">
      <c r="A8" t="s">
        <v>9</v>
      </c>
      <c r="B8">
        <v>4</v>
      </c>
    </row>
    <row r="9" spans="1:7" x14ac:dyDescent="0.25">
      <c r="A9" t="s">
        <v>9</v>
      </c>
      <c r="B9">
        <v>2</v>
      </c>
    </row>
    <row r="10" spans="1:7" x14ac:dyDescent="0.25">
      <c r="A10" t="s">
        <v>9</v>
      </c>
      <c r="B10">
        <v>3</v>
      </c>
    </row>
    <row r="11" spans="1:7" x14ac:dyDescent="0.25">
      <c r="A11" t="s">
        <v>9</v>
      </c>
      <c r="B11">
        <v>2</v>
      </c>
    </row>
    <row r="12" spans="1:7" x14ac:dyDescent="0.25">
      <c r="A12" t="s">
        <v>9</v>
      </c>
      <c r="B12">
        <v>2</v>
      </c>
    </row>
    <row r="13" spans="1:7" x14ac:dyDescent="0.25">
      <c r="A13" t="s">
        <v>9</v>
      </c>
      <c r="B13">
        <v>3</v>
      </c>
    </row>
    <row r="14" spans="1:7" x14ac:dyDescent="0.25">
      <c r="A14" t="s">
        <v>9</v>
      </c>
      <c r="B14">
        <v>3</v>
      </c>
    </row>
    <row r="15" spans="1:7" x14ac:dyDescent="0.25">
      <c r="A15" t="s">
        <v>9</v>
      </c>
      <c r="B15">
        <v>3</v>
      </c>
    </row>
    <row r="16" spans="1:7" x14ac:dyDescent="0.25">
      <c r="A16" t="s">
        <v>9</v>
      </c>
      <c r="B16">
        <v>3</v>
      </c>
    </row>
    <row r="17" spans="1:2" x14ac:dyDescent="0.25">
      <c r="A17" t="s">
        <v>9</v>
      </c>
      <c r="B17">
        <v>3</v>
      </c>
    </row>
    <row r="18" spans="1:2" x14ac:dyDescent="0.25">
      <c r="A18" t="s">
        <v>9</v>
      </c>
      <c r="B18">
        <v>3</v>
      </c>
    </row>
    <row r="19" spans="1:2" x14ac:dyDescent="0.25">
      <c r="A19" t="s">
        <v>9</v>
      </c>
      <c r="B19">
        <v>3</v>
      </c>
    </row>
    <row r="20" spans="1:2" x14ac:dyDescent="0.25">
      <c r="A20" t="s">
        <v>9</v>
      </c>
      <c r="B20">
        <v>4</v>
      </c>
    </row>
    <row r="21" spans="1:2" x14ac:dyDescent="0.25">
      <c r="A21" t="s">
        <v>9</v>
      </c>
      <c r="B21">
        <v>4</v>
      </c>
    </row>
    <row r="22" spans="1:2" x14ac:dyDescent="0.25">
      <c r="A22" t="s">
        <v>9</v>
      </c>
      <c r="B22">
        <v>2</v>
      </c>
    </row>
    <row r="23" spans="1:2" x14ac:dyDescent="0.25">
      <c r="A23" t="s">
        <v>9</v>
      </c>
      <c r="B23">
        <v>4</v>
      </c>
    </row>
    <row r="24" spans="1:2" x14ac:dyDescent="0.25">
      <c r="A24" t="s">
        <v>9</v>
      </c>
      <c r="B24">
        <v>3</v>
      </c>
    </row>
    <row r="25" spans="1:2" x14ac:dyDescent="0.25">
      <c r="A25" t="s">
        <v>9</v>
      </c>
      <c r="B25">
        <v>3</v>
      </c>
    </row>
    <row r="26" spans="1:2" x14ac:dyDescent="0.25">
      <c r="A26" t="s">
        <v>9</v>
      </c>
      <c r="B26">
        <v>2</v>
      </c>
    </row>
    <row r="27" spans="1:2" x14ac:dyDescent="0.25">
      <c r="A27" t="s">
        <v>9</v>
      </c>
      <c r="B27">
        <v>3</v>
      </c>
    </row>
    <row r="28" spans="1:2" x14ac:dyDescent="0.25">
      <c r="A28" t="s">
        <v>9</v>
      </c>
      <c r="B28">
        <v>3</v>
      </c>
    </row>
    <row r="29" spans="1:2" x14ac:dyDescent="0.25">
      <c r="A29" t="s">
        <v>10</v>
      </c>
      <c r="B29">
        <v>3</v>
      </c>
    </row>
    <row r="30" spans="1:2" x14ac:dyDescent="0.25">
      <c r="A30" t="s">
        <v>10</v>
      </c>
      <c r="B30">
        <v>3</v>
      </c>
    </row>
    <row r="31" spans="1:2" x14ac:dyDescent="0.25">
      <c r="A31" t="s">
        <v>9</v>
      </c>
      <c r="B31">
        <v>3</v>
      </c>
    </row>
    <row r="32" spans="1:2" x14ac:dyDescent="0.25">
      <c r="A32" t="s">
        <v>9</v>
      </c>
      <c r="B32">
        <v>1</v>
      </c>
    </row>
    <row r="33" spans="1:2" x14ac:dyDescent="0.25">
      <c r="A33" t="s">
        <v>9</v>
      </c>
      <c r="B33">
        <v>4</v>
      </c>
    </row>
    <row r="34" spans="1:2" x14ac:dyDescent="0.25">
      <c r="A34" t="s">
        <v>9</v>
      </c>
      <c r="B34">
        <v>1</v>
      </c>
    </row>
    <row r="35" spans="1:2" x14ac:dyDescent="0.25">
      <c r="A35" t="s">
        <v>9</v>
      </c>
      <c r="B35">
        <v>2</v>
      </c>
    </row>
    <row r="36" spans="1:2" x14ac:dyDescent="0.25">
      <c r="A36" t="s">
        <v>9</v>
      </c>
      <c r="B36">
        <v>2</v>
      </c>
    </row>
    <row r="37" spans="1:2" x14ac:dyDescent="0.25">
      <c r="A37" t="s">
        <v>9</v>
      </c>
      <c r="B37">
        <v>4</v>
      </c>
    </row>
    <row r="38" spans="1:2" x14ac:dyDescent="0.25">
      <c r="A38" t="s">
        <v>10</v>
      </c>
      <c r="B38">
        <v>2</v>
      </c>
    </row>
    <row r="39" spans="1:2" x14ac:dyDescent="0.25">
      <c r="A39" t="s">
        <v>10</v>
      </c>
      <c r="B39">
        <v>2</v>
      </c>
    </row>
    <row r="40" spans="1:2" x14ac:dyDescent="0.25">
      <c r="A40" t="s">
        <v>9</v>
      </c>
      <c r="B40">
        <v>3</v>
      </c>
    </row>
    <row r="41" spans="1:2" x14ac:dyDescent="0.25">
      <c r="A41" t="s">
        <v>9</v>
      </c>
      <c r="B41">
        <v>4</v>
      </c>
    </row>
    <row r="42" spans="1:2" x14ac:dyDescent="0.25">
      <c r="A42" t="s">
        <v>9</v>
      </c>
      <c r="B42">
        <v>3</v>
      </c>
    </row>
    <row r="43" spans="1:2" x14ac:dyDescent="0.25">
      <c r="A43" t="s">
        <v>9</v>
      </c>
      <c r="B43">
        <v>1</v>
      </c>
    </row>
    <row r="44" spans="1:2" x14ac:dyDescent="0.25">
      <c r="A44" t="s">
        <v>9</v>
      </c>
      <c r="B44">
        <v>3</v>
      </c>
    </row>
    <row r="45" spans="1:2" x14ac:dyDescent="0.25">
      <c r="A45" t="s">
        <v>9</v>
      </c>
      <c r="B45">
        <v>2</v>
      </c>
    </row>
    <row r="46" spans="1:2" x14ac:dyDescent="0.25">
      <c r="A46" t="s">
        <v>9</v>
      </c>
      <c r="B46">
        <v>3</v>
      </c>
    </row>
    <row r="47" spans="1:2" x14ac:dyDescent="0.25">
      <c r="A47" t="s">
        <v>9</v>
      </c>
      <c r="B47">
        <v>3</v>
      </c>
    </row>
    <row r="48" spans="1:2" x14ac:dyDescent="0.25">
      <c r="A48" t="s">
        <v>10</v>
      </c>
      <c r="B48">
        <v>1</v>
      </c>
    </row>
    <row r="49" spans="1:2" x14ac:dyDescent="0.25">
      <c r="A49" t="s">
        <v>9</v>
      </c>
      <c r="B49">
        <v>2</v>
      </c>
    </row>
    <row r="50" spans="1:2" x14ac:dyDescent="0.25">
      <c r="A50" t="s">
        <v>10</v>
      </c>
      <c r="B50">
        <v>3</v>
      </c>
    </row>
    <row r="51" spans="1:2" x14ac:dyDescent="0.25">
      <c r="A51" t="s">
        <v>9</v>
      </c>
      <c r="B51">
        <v>3</v>
      </c>
    </row>
    <row r="52" spans="1:2" x14ac:dyDescent="0.25">
      <c r="A52" t="s">
        <v>9</v>
      </c>
      <c r="B52">
        <v>3</v>
      </c>
    </row>
    <row r="53" spans="1:2" x14ac:dyDescent="0.25">
      <c r="A53" t="s">
        <v>9</v>
      </c>
      <c r="B53">
        <v>3</v>
      </c>
    </row>
    <row r="54" spans="1:2" x14ac:dyDescent="0.25">
      <c r="A54" t="s">
        <v>9</v>
      </c>
      <c r="B54">
        <v>4</v>
      </c>
    </row>
    <row r="55" spans="1:2" x14ac:dyDescent="0.25">
      <c r="A55" t="s">
        <v>9</v>
      </c>
      <c r="B55">
        <v>3</v>
      </c>
    </row>
    <row r="56" spans="1:2" x14ac:dyDescent="0.25">
      <c r="A56" t="s">
        <v>9</v>
      </c>
      <c r="B56">
        <v>3</v>
      </c>
    </row>
    <row r="57" spans="1:2" x14ac:dyDescent="0.25">
      <c r="A57" t="s">
        <v>9</v>
      </c>
      <c r="B57">
        <v>3</v>
      </c>
    </row>
    <row r="58" spans="1:2" x14ac:dyDescent="0.25">
      <c r="A58" t="s">
        <v>10</v>
      </c>
      <c r="B58">
        <v>4</v>
      </c>
    </row>
    <row r="59" spans="1:2" x14ac:dyDescent="0.25">
      <c r="A59" t="s">
        <v>9</v>
      </c>
      <c r="B59">
        <v>3</v>
      </c>
    </row>
    <row r="60" spans="1:2" x14ac:dyDescent="0.25">
      <c r="A60" t="s">
        <v>9</v>
      </c>
      <c r="B60">
        <v>3</v>
      </c>
    </row>
    <row r="61" spans="1:2" x14ac:dyDescent="0.25">
      <c r="A61" t="s">
        <v>10</v>
      </c>
      <c r="B61">
        <v>1</v>
      </c>
    </row>
    <row r="62" spans="1:2" x14ac:dyDescent="0.25">
      <c r="A62" t="s">
        <v>10</v>
      </c>
      <c r="B62">
        <v>2</v>
      </c>
    </row>
    <row r="63" spans="1:2" x14ac:dyDescent="0.25">
      <c r="A63" t="s">
        <v>9</v>
      </c>
      <c r="B63">
        <v>3</v>
      </c>
    </row>
    <row r="64" spans="1:2" x14ac:dyDescent="0.25">
      <c r="A64" t="s">
        <v>9</v>
      </c>
      <c r="B64">
        <v>3</v>
      </c>
    </row>
    <row r="65" spans="1:2" x14ac:dyDescent="0.25">
      <c r="A65" t="s">
        <v>9</v>
      </c>
      <c r="B65">
        <v>3</v>
      </c>
    </row>
    <row r="66" spans="1:2" x14ac:dyDescent="0.25">
      <c r="A66" t="s">
        <v>10</v>
      </c>
      <c r="B66">
        <v>3</v>
      </c>
    </row>
    <row r="67" spans="1:2" x14ac:dyDescent="0.25">
      <c r="A67" t="s">
        <v>9</v>
      </c>
      <c r="B67">
        <v>4</v>
      </c>
    </row>
    <row r="68" spans="1:2" x14ac:dyDescent="0.25">
      <c r="A68" t="s">
        <v>9</v>
      </c>
      <c r="B68">
        <v>1</v>
      </c>
    </row>
    <row r="69" spans="1:2" x14ac:dyDescent="0.25">
      <c r="A69" t="s">
        <v>9</v>
      </c>
      <c r="B69">
        <v>3</v>
      </c>
    </row>
    <row r="70" spans="1:2" x14ac:dyDescent="0.25">
      <c r="A70" t="s">
        <v>9</v>
      </c>
      <c r="B70">
        <v>3</v>
      </c>
    </row>
    <row r="71" spans="1:2" x14ac:dyDescent="0.25">
      <c r="A71" t="s">
        <v>9</v>
      </c>
      <c r="B71">
        <v>3</v>
      </c>
    </row>
    <row r="72" spans="1:2" x14ac:dyDescent="0.25">
      <c r="A72" t="s">
        <v>9</v>
      </c>
      <c r="B72">
        <v>3</v>
      </c>
    </row>
    <row r="73" spans="1:2" x14ac:dyDescent="0.25">
      <c r="A73" t="s">
        <v>9</v>
      </c>
      <c r="B73">
        <v>3</v>
      </c>
    </row>
    <row r="74" spans="1:2" x14ac:dyDescent="0.25">
      <c r="A74" t="s">
        <v>10</v>
      </c>
      <c r="B74">
        <v>2</v>
      </c>
    </row>
    <row r="75" spans="1:2" x14ac:dyDescent="0.25">
      <c r="A75" t="s">
        <v>9</v>
      </c>
      <c r="B75">
        <v>3</v>
      </c>
    </row>
    <row r="76" spans="1:2" x14ac:dyDescent="0.25">
      <c r="A76" t="s">
        <v>10</v>
      </c>
      <c r="B76">
        <v>3</v>
      </c>
    </row>
    <row r="77" spans="1:2" x14ac:dyDescent="0.25">
      <c r="A77" t="s">
        <v>9</v>
      </c>
      <c r="B77">
        <v>3</v>
      </c>
    </row>
    <row r="78" spans="1:2" x14ac:dyDescent="0.25">
      <c r="A78" t="s">
        <v>9</v>
      </c>
      <c r="B78">
        <v>2</v>
      </c>
    </row>
    <row r="79" spans="1:2" x14ac:dyDescent="0.25">
      <c r="A79" t="s">
        <v>9</v>
      </c>
      <c r="B79">
        <v>4</v>
      </c>
    </row>
    <row r="80" spans="1:2" x14ac:dyDescent="0.25">
      <c r="A80" t="s">
        <v>9</v>
      </c>
      <c r="B80">
        <v>2</v>
      </c>
    </row>
    <row r="81" spans="1:2" x14ac:dyDescent="0.25">
      <c r="A81" t="s">
        <v>9</v>
      </c>
      <c r="B81">
        <v>1</v>
      </c>
    </row>
    <row r="82" spans="1:2" x14ac:dyDescent="0.25">
      <c r="A82" t="s">
        <v>10</v>
      </c>
      <c r="B82">
        <v>1</v>
      </c>
    </row>
    <row r="83" spans="1:2" x14ac:dyDescent="0.25">
      <c r="A83" t="s">
        <v>9</v>
      </c>
      <c r="B83">
        <v>3</v>
      </c>
    </row>
    <row r="84" spans="1:2" x14ac:dyDescent="0.25">
      <c r="A84" t="s">
        <v>9</v>
      </c>
      <c r="B84">
        <v>2</v>
      </c>
    </row>
    <row r="85" spans="1:2" x14ac:dyDescent="0.25">
      <c r="A85" t="s">
        <v>9</v>
      </c>
      <c r="B85">
        <v>4</v>
      </c>
    </row>
    <row r="86" spans="1:2" x14ac:dyDescent="0.25">
      <c r="A86" t="s">
        <v>9</v>
      </c>
      <c r="B86">
        <v>3</v>
      </c>
    </row>
    <row r="87" spans="1:2" x14ac:dyDescent="0.25">
      <c r="A87" t="s">
        <v>9</v>
      </c>
      <c r="B87">
        <v>2</v>
      </c>
    </row>
    <row r="88" spans="1:2" x14ac:dyDescent="0.25">
      <c r="A88" t="s">
        <v>9</v>
      </c>
      <c r="B88">
        <v>3</v>
      </c>
    </row>
    <row r="89" spans="1:2" x14ac:dyDescent="0.25">
      <c r="A89" t="s">
        <v>10</v>
      </c>
      <c r="B89">
        <v>2</v>
      </c>
    </row>
    <row r="90" spans="1:2" x14ac:dyDescent="0.25">
      <c r="A90" t="s">
        <v>9</v>
      </c>
      <c r="B90">
        <v>3</v>
      </c>
    </row>
    <row r="91" spans="1:2" x14ac:dyDescent="0.25">
      <c r="A91" t="s">
        <v>9</v>
      </c>
      <c r="B91">
        <v>3</v>
      </c>
    </row>
    <row r="92" spans="1:2" x14ac:dyDescent="0.25">
      <c r="A92" t="s">
        <v>9</v>
      </c>
      <c r="B92">
        <v>3</v>
      </c>
    </row>
    <row r="93" spans="1:2" x14ac:dyDescent="0.25">
      <c r="A93" t="s">
        <v>10</v>
      </c>
      <c r="B93">
        <v>2</v>
      </c>
    </row>
    <row r="94" spans="1:2" x14ac:dyDescent="0.25">
      <c r="A94" t="s">
        <v>10</v>
      </c>
      <c r="B94">
        <v>2</v>
      </c>
    </row>
    <row r="95" spans="1:2" x14ac:dyDescent="0.25">
      <c r="A95" t="s">
        <v>9</v>
      </c>
      <c r="B95">
        <v>3</v>
      </c>
    </row>
    <row r="96" spans="1:2" x14ac:dyDescent="0.25">
      <c r="A96" t="s">
        <v>9</v>
      </c>
      <c r="B96">
        <v>3</v>
      </c>
    </row>
    <row r="97" spans="1:2" x14ac:dyDescent="0.25">
      <c r="A97" t="s">
        <v>9</v>
      </c>
      <c r="B97">
        <v>3</v>
      </c>
    </row>
    <row r="98" spans="1:2" x14ac:dyDescent="0.25">
      <c r="A98" t="s">
        <v>9</v>
      </c>
      <c r="B98">
        <v>3</v>
      </c>
    </row>
    <row r="99" spans="1:2" x14ac:dyDescent="0.25">
      <c r="A99" t="s">
        <v>9</v>
      </c>
      <c r="B99">
        <v>2</v>
      </c>
    </row>
    <row r="100" spans="1:2" x14ac:dyDescent="0.25">
      <c r="A100" t="s">
        <v>9</v>
      </c>
      <c r="B100">
        <v>3</v>
      </c>
    </row>
    <row r="101" spans="1:2" x14ac:dyDescent="0.25">
      <c r="A101" t="s">
        <v>9</v>
      </c>
      <c r="B101">
        <v>2</v>
      </c>
    </row>
    <row r="102" spans="1:2" x14ac:dyDescent="0.25">
      <c r="A102" t="s">
        <v>9</v>
      </c>
      <c r="B102">
        <v>3</v>
      </c>
    </row>
    <row r="103" spans="1:2" x14ac:dyDescent="0.25">
      <c r="A103" t="s">
        <v>9</v>
      </c>
      <c r="B103">
        <v>3</v>
      </c>
    </row>
    <row r="104" spans="1:2" x14ac:dyDescent="0.25">
      <c r="A104" t="s">
        <v>9</v>
      </c>
      <c r="B104">
        <v>3</v>
      </c>
    </row>
    <row r="105" spans="1:2" x14ac:dyDescent="0.25">
      <c r="A105" t="s">
        <v>9</v>
      </c>
      <c r="B105">
        <v>4</v>
      </c>
    </row>
    <row r="106" spans="1:2" x14ac:dyDescent="0.25">
      <c r="A106" t="s">
        <v>9</v>
      </c>
      <c r="B106">
        <v>4</v>
      </c>
    </row>
    <row r="107" spans="1:2" x14ac:dyDescent="0.25">
      <c r="A107" t="s">
        <v>9</v>
      </c>
      <c r="B107">
        <v>4</v>
      </c>
    </row>
    <row r="108" spans="1:2" x14ac:dyDescent="0.25">
      <c r="A108" t="s">
        <v>9</v>
      </c>
      <c r="B108">
        <v>3</v>
      </c>
    </row>
    <row r="109" spans="1:2" x14ac:dyDescent="0.25">
      <c r="A109" t="s">
        <v>9</v>
      </c>
      <c r="B109">
        <v>4</v>
      </c>
    </row>
    <row r="110" spans="1:2" x14ac:dyDescent="0.25">
      <c r="A110" t="s">
        <v>10</v>
      </c>
      <c r="B110">
        <v>3</v>
      </c>
    </row>
    <row r="111" spans="1:2" x14ac:dyDescent="0.25">
      <c r="A111" t="s">
        <v>9</v>
      </c>
      <c r="B111">
        <v>3</v>
      </c>
    </row>
    <row r="112" spans="1:2" x14ac:dyDescent="0.25">
      <c r="A112" t="s">
        <v>9</v>
      </c>
      <c r="B112">
        <v>2</v>
      </c>
    </row>
    <row r="113" spans="1:2" x14ac:dyDescent="0.25">
      <c r="A113" t="s">
        <v>9</v>
      </c>
      <c r="B113">
        <v>3</v>
      </c>
    </row>
    <row r="114" spans="1:2" x14ac:dyDescent="0.25">
      <c r="A114" t="s">
        <v>9</v>
      </c>
      <c r="B114">
        <v>3</v>
      </c>
    </row>
    <row r="115" spans="1:2" x14ac:dyDescent="0.25">
      <c r="A115" t="s">
        <v>9</v>
      </c>
      <c r="B115">
        <v>3</v>
      </c>
    </row>
    <row r="116" spans="1:2" x14ac:dyDescent="0.25">
      <c r="A116" t="s">
        <v>9</v>
      </c>
      <c r="B116">
        <v>3</v>
      </c>
    </row>
    <row r="117" spans="1:2" x14ac:dyDescent="0.25">
      <c r="A117" t="s">
        <v>9</v>
      </c>
      <c r="B117">
        <v>3</v>
      </c>
    </row>
    <row r="118" spans="1:2" x14ac:dyDescent="0.25">
      <c r="A118" t="s">
        <v>9</v>
      </c>
      <c r="B118">
        <v>3</v>
      </c>
    </row>
    <row r="119" spans="1:2" x14ac:dyDescent="0.25">
      <c r="A119" t="s">
        <v>9</v>
      </c>
      <c r="B119">
        <v>2</v>
      </c>
    </row>
    <row r="120" spans="1:2" x14ac:dyDescent="0.25">
      <c r="A120" t="s">
        <v>9</v>
      </c>
      <c r="B120">
        <v>3</v>
      </c>
    </row>
    <row r="121" spans="1:2" x14ac:dyDescent="0.25">
      <c r="A121" t="s">
        <v>9</v>
      </c>
      <c r="B121">
        <v>3</v>
      </c>
    </row>
    <row r="122" spans="1:2" x14ac:dyDescent="0.25">
      <c r="A122" t="s">
        <v>9</v>
      </c>
      <c r="B122">
        <v>4</v>
      </c>
    </row>
    <row r="123" spans="1:2" x14ac:dyDescent="0.25">
      <c r="A123" t="s">
        <v>9</v>
      </c>
      <c r="B123">
        <v>3</v>
      </c>
    </row>
    <row r="124" spans="1:2" x14ac:dyDescent="0.25">
      <c r="A124" t="s">
        <v>9</v>
      </c>
      <c r="B124">
        <v>3</v>
      </c>
    </row>
    <row r="125" spans="1:2" x14ac:dyDescent="0.25">
      <c r="A125" t="s">
        <v>9</v>
      </c>
      <c r="B125">
        <v>2</v>
      </c>
    </row>
    <row r="126" spans="1:2" x14ac:dyDescent="0.25">
      <c r="A126" t="s">
        <v>9</v>
      </c>
      <c r="B126">
        <v>3</v>
      </c>
    </row>
    <row r="127" spans="1:2" x14ac:dyDescent="0.25">
      <c r="A127" t="s">
        <v>9</v>
      </c>
      <c r="B127">
        <v>3</v>
      </c>
    </row>
    <row r="128" spans="1:2" x14ac:dyDescent="0.25">
      <c r="A128" t="s">
        <v>10</v>
      </c>
      <c r="B128">
        <v>1</v>
      </c>
    </row>
    <row r="129" spans="1:2" x14ac:dyDescent="0.25">
      <c r="A129" t="s">
        <v>9</v>
      </c>
      <c r="B129">
        <v>2</v>
      </c>
    </row>
    <row r="130" spans="1:2" x14ac:dyDescent="0.25">
      <c r="A130" t="s">
        <v>9</v>
      </c>
      <c r="B130">
        <v>2</v>
      </c>
    </row>
    <row r="131" spans="1:2" x14ac:dyDescent="0.25">
      <c r="A131" t="s">
        <v>9</v>
      </c>
      <c r="B131">
        <v>4</v>
      </c>
    </row>
    <row r="132" spans="1:2" x14ac:dyDescent="0.25">
      <c r="A132" t="s">
        <v>9</v>
      </c>
      <c r="B132">
        <v>2</v>
      </c>
    </row>
    <row r="133" spans="1:2" x14ac:dyDescent="0.25">
      <c r="A133" t="s">
        <v>9</v>
      </c>
      <c r="B133">
        <v>3</v>
      </c>
    </row>
    <row r="134" spans="1:2" x14ac:dyDescent="0.25">
      <c r="A134" t="s">
        <v>9</v>
      </c>
      <c r="B134">
        <v>2</v>
      </c>
    </row>
    <row r="135" spans="1:2" x14ac:dyDescent="0.25">
      <c r="A135" t="s">
        <v>9</v>
      </c>
      <c r="B135">
        <v>3</v>
      </c>
    </row>
    <row r="136" spans="1:2" x14ac:dyDescent="0.25">
      <c r="A136" t="s">
        <v>9</v>
      </c>
      <c r="B136">
        <v>2</v>
      </c>
    </row>
    <row r="137" spans="1:2" x14ac:dyDescent="0.25">
      <c r="A137" t="s">
        <v>9</v>
      </c>
      <c r="B137">
        <v>4</v>
      </c>
    </row>
    <row r="138" spans="1:2" x14ac:dyDescent="0.25">
      <c r="A138" t="s">
        <v>10</v>
      </c>
      <c r="B138">
        <v>2</v>
      </c>
    </row>
    <row r="139" spans="1:2" x14ac:dyDescent="0.25">
      <c r="A139" t="s">
        <v>9</v>
      </c>
      <c r="B139">
        <v>3</v>
      </c>
    </row>
    <row r="140" spans="1:2" x14ac:dyDescent="0.25">
      <c r="A140" t="s">
        <v>10</v>
      </c>
      <c r="B140">
        <v>3</v>
      </c>
    </row>
    <row r="141" spans="1:2" x14ac:dyDescent="0.25">
      <c r="A141" t="s">
        <v>9</v>
      </c>
      <c r="B141">
        <v>3</v>
      </c>
    </row>
    <row r="142" spans="1:2" x14ac:dyDescent="0.25">
      <c r="A142" t="s">
        <v>9</v>
      </c>
      <c r="B142">
        <v>3</v>
      </c>
    </row>
    <row r="143" spans="1:2" x14ac:dyDescent="0.25">
      <c r="A143" t="s">
        <v>9</v>
      </c>
      <c r="B143">
        <v>3</v>
      </c>
    </row>
    <row r="144" spans="1:2" x14ac:dyDescent="0.25">
      <c r="A144" t="s">
        <v>9</v>
      </c>
      <c r="B144">
        <v>3</v>
      </c>
    </row>
    <row r="145" spans="1:2" x14ac:dyDescent="0.25">
      <c r="A145" t="s">
        <v>9</v>
      </c>
      <c r="B145">
        <v>3</v>
      </c>
    </row>
    <row r="146" spans="1:2" x14ac:dyDescent="0.25">
      <c r="A146" t="s">
        <v>9</v>
      </c>
      <c r="B146">
        <v>4</v>
      </c>
    </row>
    <row r="147" spans="1:2" x14ac:dyDescent="0.25">
      <c r="A147" t="s">
        <v>9</v>
      </c>
      <c r="B147">
        <v>3</v>
      </c>
    </row>
    <row r="148" spans="1:2" x14ac:dyDescent="0.25">
      <c r="A148" t="s">
        <v>9</v>
      </c>
      <c r="B148">
        <v>3</v>
      </c>
    </row>
    <row r="149" spans="1:2" x14ac:dyDescent="0.25">
      <c r="A149" t="s">
        <v>9</v>
      </c>
      <c r="B149">
        <v>3</v>
      </c>
    </row>
    <row r="150" spans="1:2" x14ac:dyDescent="0.25">
      <c r="A150" t="s">
        <v>9</v>
      </c>
      <c r="B150">
        <v>3</v>
      </c>
    </row>
    <row r="151" spans="1:2" x14ac:dyDescent="0.25">
      <c r="A151" t="s">
        <v>9</v>
      </c>
      <c r="B151">
        <v>1</v>
      </c>
    </row>
    <row r="152" spans="1:2" x14ac:dyDescent="0.25">
      <c r="A152" t="s">
        <v>10</v>
      </c>
      <c r="B152">
        <v>3</v>
      </c>
    </row>
    <row r="153" spans="1:2" x14ac:dyDescent="0.25">
      <c r="A153" t="s">
        <v>9</v>
      </c>
      <c r="B153">
        <v>3</v>
      </c>
    </row>
    <row r="154" spans="1:2" x14ac:dyDescent="0.25">
      <c r="A154" t="s">
        <v>9</v>
      </c>
      <c r="B154">
        <v>2</v>
      </c>
    </row>
    <row r="155" spans="1:2" x14ac:dyDescent="0.25">
      <c r="A155" t="s">
        <v>9</v>
      </c>
      <c r="B155">
        <v>4</v>
      </c>
    </row>
    <row r="156" spans="1:2" x14ac:dyDescent="0.25">
      <c r="A156" t="s">
        <v>9</v>
      </c>
      <c r="B156">
        <v>3</v>
      </c>
    </row>
    <row r="157" spans="1:2" x14ac:dyDescent="0.25">
      <c r="A157" t="s">
        <v>9</v>
      </c>
      <c r="B157">
        <v>3</v>
      </c>
    </row>
    <row r="158" spans="1:2" x14ac:dyDescent="0.25">
      <c r="A158" t="s">
        <v>9</v>
      </c>
      <c r="B158">
        <v>3</v>
      </c>
    </row>
    <row r="159" spans="1:2" x14ac:dyDescent="0.25">
      <c r="A159" t="s">
        <v>10</v>
      </c>
      <c r="B159">
        <v>3</v>
      </c>
    </row>
    <row r="160" spans="1:2" x14ac:dyDescent="0.25">
      <c r="A160" t="s">
        <v>9</v>
      </c>
      <c r="B160">
        <v>3</v>
      </c>
    </row>
    <row r="161" spans="1:2" x14ac:dyDescent="0.25">
      <c r="A161" t="s">
        <v>9</v>
      </c>
      <c r="B161">
        <v>3</v>
      </c>
    </row>
    <row r="162" spans="1:2" x14ac:dyDescent="0.25">
      <c r="A162" t="s">
        <v>9</v>
      </c>
      <c r="B162">
        <v>2</v>
      </c>
    </row>
    <row r="163" spans="1:2" x14ac:dyDescent="0.25">
      <c r="A163" t="s">
        <v>10</v>
      </c>
      <c r="B163">
        <v>2</v>
      </c>
    </row>
    <row r="164" spans="1:2" x14ac:dyDescent="0.25">
      <c r="A164" t="s">
        <v>9</v>
      </c>
      <c r="B164">
        <v>3</v>
      </c>
    </row>
    <row r="165" spans="1:2" x14ac:dyDescent="0.25">
      <c r="A165" t="s">
        <v>9</v>
      </c>
      <c r="B165">
        <v>4</v>
      </c>
    </row>
    <row r="166" spans="1:2" x14ac:dyDescent="0.25">
      <c r="A166" t="s">
        <v>9</v>
      </c>
      <c r="B166">
        <v>3</v>
      </c>
    </row>
    <row r="167" spans="1:2" x14ac:dyDescent="0.25">
      <c r="A167" t="s">
        <v>10</v>
      </c>
      <c r="B167">
        <v>2</v>
      </c>
    </row>
    <row r="168" spans="1:2" x14ac:dyDescent="0.25">
      <c r="A168" t="s">
        <v>9</v>
      </c>
      <c r="B168">
        <v>3</v>
      </c>
    </row>
    <row r="169" spans="1:2" x14ac:dyDescent="0.25">
      <c r="A169" t="s">
        <v>9</v>
      </c>
      <c r="B169">
        <v>4</v>
      </c>
    </row>
    <row r="170" spans="1:2" x14ac:dyDescent="0.25">
      <c r="A170" t="s">
        <v>9</v>
      </c>
      <c r="B170">
        <v>3</v>
      </c>
    </row>
    <row r="171" spans="1:2" x14ac:dyDescent="0.25">
      <c r="A171" t="s">
        <v>9</v>
      </c>
      <c r="B171">
        <v>3</v>
      </c>
    </row>
    <row r="172" spans="1:2" x14ac:dyDescent="0.25">
      <c r="A172" t="s">
        <v>9</v>
      </c>
      <c r="B172">
        <v>3</v>
      </c>
    </row>
    <row r="173" spans="1:2" x14ac:dyDescent="0.25">
      <c r="A173" t="s">
        <v>9</v>
      </c>
      <c r="B173">
        <v>3</v>
      </c>
    </row>
    <row r="174" spans="1:2" x14ac:dyDescent="0.25">
      <c r="A174" t="s">
        <v>9</v>
      </c>
      <c r="B174">
        <v>3</v>
      </c>
    </row>
    <row r="175" spans="1:2" x14ac:dyDescent="0.25">
      <c r="A175" t="s">
        <v>9</v>
      </c>
      <c r="B175">
        <v>4</v>
      </c>
    </row>
    <row r="176" spans="1:2" x14ac:dyDescent="0.25">
      <c r="A176" t="s">
        <v>9</v>
      </c>
      <c r="B176">
        <v>3</v>
      </c>
    </row>
    <row r="177" spans="1:2" x14ac:dyDescent="0.25">
      <c r="A177" t="s">
        <v>9</v>
      </c>
      <c r="B177">
        <v>2</v>
      </c>
    </row>
    <row r="178" spans="1:2" x14ac:dyDescent="0.25">
      <c r="A178" t="s">
        <v>10</v>
      </c>
      <c r="B178">
        <v>3</v>
      </c>
    </row>
    <row r="179" spans="1:2" x14ac:dyDescent="0.25">
      <c r="A179" t="s">
        <v>10</v>
      </c>
      <c r="B179">
        <v>3</v>
      </c>
    </row>
    <row r="180" spans="1:2" x14ac:dyDescent="0.25">
      <c r="A180" t="s">
        <v>9</v>
      </c>
      <c r="B180">
        <v>3</v>
      </c>
    </row>
    <row r="181" spans="1:2" x14ac:dyDescent="0.25">
      <c r="A181" t="s">
        <v>9</v>
      </c>
      <c r="B181">
        <v>2</v>
      </c>
    </row>
    <row r="182" spans="1:2" x14ac:dyDescent="0.25">
      <c r="A182" t="s">
        <v>9</v>
      </c>
      <c r="B182">
        <v>2</v>
      </c>
    </row>
    <row r="183" spans="1:2" x14ac:dyDescent="0.25">
      <c r="A183" t="s">
        <v>9</v>
      </c>
      <c r="B183">
        <v>3</v>
      </c>
    </row>
    <row r="184" spans="1:2" x14ac:dyDescent="0.25">
      <c r="A184" t="s">
        <v>9</v>
      </c>
      <c r="B184">
        <v>4</v>
      </c>
    </row>
    <row r="185" spans="1:2" x14ac:dyDescent="0.25">
      <c r="A185" t="s">
        <v>9</v>
      </c>
      <c r="B185">
        <v>3</v>
      </c>
    </row>
    <row r="186" spans="1:2" x14ac:dyDescent="0.25">
      <c r="A186" t="s">
        <v>9</v>
      </c>
      <c r="B186">
        <v>3</v>
      </c>
    </row>
    <row r="187" spans="1:2" x14ac:dyDescent="0.25">
      <c r="A187" t="s">
        <v>9</v>
      </c>
      <c r="B187">
        <v>3</v>
      </c>
    </row>
    <row r="188" spans="1:2" x14ac:dyDescent="0.25">
      <c r="A188" t="s">
        <v>9</v>
      </c>
      <c r="B188">
        <v>4</v>
      </c>
    </row>
    <row r="189" spans="1:2" x14ac:dyDescent="0.25">
      <c r="A189" t="s">
        <v>9</v>
      </c>
      <c r="B189">
        <v>4</v>
      </c>
    </row>
    <row r="190" spans="1:2" x14ac:dyDescent="0.25">
      <c r="A190" t="s">
        <v>9</v>
      </c>
      <c r="B190">
        <v>3</v>
      </c>
    </row>
    <row r="191" spans="1:2" x14ac:dyDescent="0.25">
      <c r="A191" t="s">
        <v>9</v>
      </c>
      <c r="B191">
        <v>3</v>
      </c>
    </row>
    <row r="192" spans="1:2" x14ac:dyDescent="0.25">
      <c r="A192" t="s">
        <v>9</v>
      </c>
      <c r="B192">
        <v>3</v>
      </c>
    </row>
    <row r="193" spans="1:2" x14ac:dyDescent="0.25">
      <c r="A193" t="s">
        <v>9</v>
      </c>
      <c r="B193">
        <v>3</v>
      </c>
    </row>
    <row r="194" spans="1:2" x14ac:dyDescent="0.25">
      <c r="A194" t="s">
        <v>9</v>
      </c>
      <c r="B194">
        <v>3</v>
      </c>
    </row>
    <row r="195" spans="1:2" x14ac:dyDescent="0.25">
      <c r="A195" t="s">
        <v>9</v>
      </c>
      <c r="B195">
        <v>3</v>
      </c>
    </row>
    <row r="196" spans="1:2" x14ac:dyDescent="0.25">
      <c r="A196" t="s">
        <v>9</v>
      </c>
      <c r="B196">
        <v>2</v>
      </c>
    </row>
    <row r="197" spans="1:2" x14ac:dyDescent="0.25">
      <c r="A197" t="s">
        <v>9</v>
      </c>
      <c r="B197">
        <v>3</v>
      </c>
    </row>
    <row r="198" spans="1:2" x14ac:dyDescent="0.25">
      <c r="A198" t="s">
        <v>9</v>
      </c>
      <c r="B198">
        <v>3</v>
      </c>
    </row>
    <row r="199" spans="1:2" x14ac:dyDescent="0.25">
      <c r="A199" t="s">
        <v>9</v>
      </c>
      <c r="B199">
        <v>2</v>
      </c>
    </row>
    <row r="200" spans="1:2" x14ac:dyDescent="0.25">
      <c r="A200" t="s">
        <v>9</v>
      </c>
      <c r="B200">
        <v>2</v>
      </c>
    </row>
    <row r="201" spans="1:2" x14ac:dyDescent="0.25">
      <c r="A201" t="s">
        <v>9</v>
      </c>
      <c r="B201">
        <v>2</v>
      </c>
    </row>
    <row r="202" spans="1:2" x14ac:dyDescent="0.25">
      <c r="A202" t="s">
        <v>10</v>
      </c>
      <c r="B202">
        <v>4</v>
      </c>
    </row>
    <row r="203" spans="1:2" x14ac:dyDescent="0.25">
      <c r="A203" t="s">
        <v>9</v>
      </c>
      <c r="B203">
        <v>3</v>
      </c>
    </row>
    <row r="204" spans="1:2" x14ac:dyDescent="0.25">
      <c r="A204" t="s">
        <v>9</v>
      </c>
      <c r="B204">
        <v>2</v>
      </c>
    </row>
    <row r="205" spans="1:2" x14ac:dyDescent="0.25">
      <c r="A205" t="s">
        <v>10</v>
      </c>
      <c r="B205">
        <v>1</v>
      </c>
    </row>
    <row r="206" spans="1:2" x14ac:dyDescent="0.25">
      <c r="A206" t="s">
        <v>9</v>
      </c>
      <c r="B206">
        <v>3</v>
      </c>
    </row>
    <row r="207" spans="1:2" x14ac:dyDescent="0.25">
      <c r="A207" t="s">
        <v>9</v>
      </c>
      <c r="B207">
        <v>3</v>
      </c>
    </row>
    <row r="208" spans="1:2" x14ac:dyDescent="0.25">
      <c r="A208" t="s">
        <v>10</v>
      </c>
      <c r="B208">
        <v>1</v>
      </c>
    </row>
    <row r="209" spans="1:2" x14ac:dyDescent="0.25">
      <c r="A209" t="s">
        <v>10</v>
      </c>
      <c r="B209">
        <v>3</v>
      </c>
    </row>
    <row r="210" spans="1:2" x14ac:dyDescent="0.25">
      <c r="A210" t="s">
        <v>9</v>
      </c>
      <c r="B210">
        <v>3</v>
      </c>
    </row>
    <row r="211" spans="1:2" x14ac:dyDescent="0.25">
      <c r="A211" t="s">
        <v>9</v>
      </c>
      <c r="B211">
        <v>3</v>
      </c>
    </row>
    <row r="212" spans="1:2" x14ac:dyDescent="0.25">
      <c r="A212" t="s">
        <v>9</v>
      </c>
      <c r="B212">
        <v>2</v>
      </c>
    </row>
    <row r="213" spans="1:2" x14ac:dyDescent="0.25">
      <c r="A213" t="s">
        <v>9</v>
      </c>
      <c r="B213">
        <v>3</v>
      </c>
    </row>
    <row r="214" spans="1:2" x14ac:dyDescent="0.25">
      <c r="A214" t="s">
        <v>9</v>
      </c>
      <c r="B214">
        <v>4</v>
      </c>
    </row>
    <row r="215" spans="1:2" x14ac:dyDescent="0.25">
      <c r="A215" t="s">
        <v>9</v>
      </c>
      <c r="B215">
        <v>2</v>
      </c>
    </row>
    <row r="216" spans="1:2" x14ac:dyDescent="0.25">
      <c r="A216" t="s">
        <v>9</v>
      </c>
      <c r="B216">
        <v>2</v>
      </c>
    </row>
    <row r="217" spans="1:2" x14ac:dyDescent="0.25">
      <c r="A217" t="s">
        <v>9</v>
      </c>
      <c r="B217">
        <v>3</v>
      </c>
    </row>
    <row r="218" spans="1:2" x14ac:dyDescent="0.25">
      <c r="A218" t="s">
        <v>9</v>
      </c>
      <c r="B218">
        <v>3</v>
      </c>
    </row>
    <row r="219" spans="1:2" x14ac:dyDescent="0.25">
      <c r="A219" t="s">
        <v>9</v>
      </c>
      <c r="B219">
        <v>3</v>
      </c>
    </row>
    <row r="220" spans="1:2" x14ac:dyDescent="0.25">
      <c r="A220" t="s">
        <v>9</v>
      </c>
      <c r="B220">
        <v>3</v>
      </c>
    </row>
    <row r="221" spans="1:2" x14ac:dyDescent="0.25">
      <c r="A221" t="s">
        <v>9</v>
      </c>
      <c r="B221">
        <v>3</v>
      </c>
    </row>
    <row r="222" spans="1:2" x14ac:dyDescent="0.25">
      <c r="A222" t="s">
        <v>9</v>
      </c>
      <c r="B222">
        <v>3</v>
      </c>
    </row>
    <row r="223" spans="1:2" x14ac:dyDescent="0.25">
      <c r="A223" t="s">
        <v>10</v>
      </c>
      <c r="B223">
        <v>3</v>
      </c>
    </row>
    <row r="224" spans="1:2" x14ac:dyDescent="0.25">
      <c r="A224" t="s">
        <v>9</v>
      </c>
      <c r="B224">
        <v>3</v>
      </c>
    </row>
    <row r="225" spans="1:2" x14ac:dyDescent="0.25">
      <c r="A225" t="s">
        <v>9</v>
      </c>
      <c r="B225">
        <v>2</v>
      </c>
    </row>
    <row r="226" spans="1:2" x14ac:dyDescent="0.25">
      <c r="A226" t="s">
        <v>9</v>
      </c>
      <c r="B226">
        <v>3</v>
      </c>
    </row>
    <row r="227" spans="1:2" x14ac:dyDescent="0.25">
      <c r="A227" t="s">
        <v>9</v>
      </c>
      <c r="B227">
        <v>3</v>
      </c>
    </row>
    <row r="228" spans="1:2" x14ac:dyDescent="0.25">
      <c r="A228" t="s">
        <v>9</v>
      </c>
      <c r="B228">
        <v>3</v>
      </c>
    </row>
    <row r="229" spans="1:2" x14ac:dyDescent="0.25">
      <c r="A229" t="s">
        <v>9</v>
      </c>
      <c r="B229">
        <v>4</v>
      </c>
    </row>
    <row r="230" spans="1:2" x14ac:dyDescent="0.25">
      <c r="A230" t="s">
        <v>9</v>
      </c>
      <c r="B230">
        <v>3</v>
      </c>
    </row>
    <row r="231" spans="1:2" x14ac:dyDescent="0.25">
      <c r="A231" t="s">
        <v>9</v>
      </c>
      <c r="B231">
        <v>2</v>
      </c>
    </row>
    <row r="232" spans="1:2" x14ac:dyDescent="0.25">
      <c r="A232" t="s">
        <v>9</v>
      </c>
      <c r="B232">
        <v>2</v>
      </c>
    </row>
    <row r="233" spans="1:2" x14ac:dyDescent="0.25">
      <c r="A233" t="s">
        <v>9</v>
      </c>
      <c r="B233">
        <v>3</v>
      </c>
    </row>
    <row r="234" spans="1:2" x14ac:dyDescent="0.25">
      <c r="A234" t="s">
        <v>10</v>
      </c>
      <c r="B234">
        <v>1</v>
      </c>
    </row>
    <row r="235" spans="1:2" x14ac:dyDescent="0.25">
      <c r="A235" t="s">
        <v>9</v>
      </c>
      <c r="B235">
        <v>3</v>
      </c>
    </row>
    <row r="236" spans="1:2" x14ac:dyDescent="0.25">
      <c r="A236" t="s">
        <v>9</v>
      </c>
      <c r="B236">
        <v>3</v>
      </c>
    </row>
    <row r="237" spans="1:2" x14ac:dyDescent="0.25">
      <c r="A237" t="s">
        <v>10</v>
      </c>
      <c r="B237">
        <v>2</v>
      </c>
    </row>
    <row r="238" spans="1:2" x14ac:dyDescent="0.25">
      <c r="A238" t="s">
        <v>9</v>
      </c>
      <c r="B238">
        <v>3</v>
      </c>
    </row>
    <row r="239" spans="1:2" x14ac:dyDescent="0.25">
      <c r="A239" t="s">
        <v>9</v>
      </c>
      <c r="B239">
        <v>3</v>
      </c>
    </row>
    <row r="240" spans="1:2" x14ac:dyDescent="0.25">
      <c r="A240" t="s">
        <v>9</v>
      </c>
      <c r="B240">
        <v>3</v>
      </c>
    </row>
    <row r="241" spans="1:2" x14ac:dyDescent="0.25">
      <c r="A241" t="s">
        <v>9</v>
      </c>
      <c r="B241">
        <v>2</v>
      </c>
    </row>
    <row r="242" spans="1:2" x14ac:dyDescent="0.25">
      <c r="A242" t="s">
        <v>9</v>
      </c>
      <c r="B242">
        <v>3</v>
      </c>
    </row>
    <row r="243" spans="1:2" x14ac:dyDescent="0.25">
      <c r="A243" t="s">
        <v>9</v>
      </c>
      <c r="B243">
        <v>3</v>
      </c>
    </row>
    <row r="244" spans="1:2" x14ac:dyDescent="0.25">
      <c r="A244" t="s">
        <v>9</v>
      </c>
      <c r="B244">
        <v>3</v>
      </c>
    </row>
    <row r="245" spans="1:2" x14ac:dyDescent="0.25">
      <c r="A245" t="s">
        <v>10</v>
      </c>
      <c r="B245">
        <v>2</v>
      </c>
    </row>
    <row r="246" spans="1:2" x14ac:dyDescent="0.25">
      <c r="A246" t="s">
        <v>9</v>
      </c>
      <c r="B246">
        <v>2</v>
      </c>
    </row>
    <row r="247" spans="1:2" x14ac:dyDescent="0.25">
      <c r="A247" t="s">
        <v>9</v>
      </c>
      <c r="B247">
        <v>2</v>
      </c>
    </row>
    <row r="248" spans="1:2" x14ac:dyDescent="0.25">
      <c r="A248" t="s">
        <v>9</v>
      </c>
      <c r="B248">
        <v>3</v>
      </c>
    </row>
    <row r="249" spans="1:2" x14ac:dyDescent="0.25">
      <c r="A249" t="s">
        <v>9</v>
      </c>
      <c r="B249">
        <v>2</v>
      </c>
    </row>
    <row r="250" spans="1:2" x14ac:dyDescent="0.25">
      <c r="A250" t="s">
        <v>9</v>
      </c>
      <c r="B250">
        <v>3</v>
      </c>
    </row>
    <row r="251" spans="1:2" x14ac:dyDescent="0.25">
      <c r="A251" t="s">
        <v>9</v>
      </c>
      <c r="B251">
        <v>3</v>
      </c>
    </row>
    <row r="252" spans="1:2" x14ac:dyDescent="0.25">
      <c r="A252" t="s">
        <v>9</v>
      </c>
      <c r="B252">
        <v>2</v>
      </c>
    </row>
    <row r="253" spans="1:2" x14ac:dyDescent="0.25">
      <c r="A253" t="s">
        <v>9</v>
      </c>
      <c r="B253">
        <v>3</v>
      </c>
    </row>
    <row r="254" spans="1:2" x14ac:dyDescent="0.25">
      <c r="A254" t="s">
        <v>9</v>
      </c>
      <c r="B254">
        <v>2</v>
      </c>
    </row>
    <row r="255" spans="1:2" x14ac:dyDescent="0.25">
      <c r="A255" t="s">
        <v>10</v>
      </c>
      <c r="B255">
        <v>4</v>
      </c>
    </row>
    <row r="256" spans="1:2" x14ac:dyDescent="0.25">
      <c r="A256" t="s">
        <v>9</v>
      </c>
      <c r="B256">
        <v>2</v>
      </c>
    </row>
    <row r="257" spans="1:2" x14ac:dyDescent="0.25">
      <c r="A257" t="s">
        <v>9</v>
      </c>
      <c r="B257">
        <v>3</v>
      </c>
    </row>
    <row r="258" spans="1:2" x14ac:dyDescent="0.25">
      <c r="A258" t="s">
        <v>9</v>
      </c>
      <c r="B258">
        <v>3</v>
      </c>
    </row>
    <row r="259" spans="1:2" x14ac:dyDescent="0.25">
      <c r="A259" t="s">
        <v>9</v>
      </c>
      <c r="B259">
        <v>3</v>
      </c>
    </row>
    <row r="260" spans="1:2" x14ac:dyDescent="0.25">
      <c r="A260" t="s">
        <v>9</v>
      </c>
      <c r="B260">
        <v>3</v>
      </c>
    </row>
    <row r="261" spans="1:2" x14ac:dyDescent="0.25">
      <c r="A261" t="s">
        <v>9</v>
      </c>
      <c r="B261">
        <v>3</v>
      </c>
    </row>
    <row r="262" spans="1:2" x14ac:dyDescent="0.25">
      <c r="A262" t="s">
        <v>10</v>
      </c>
      <c r="B262">
        <v>2</v>
      </c>
    </row>
    <row r="263" spans="1:2" x14ac:dyDescent="0.25">
      <c r="A263" t="s">
        <v>10</v>
      </c>
      <c r="B263">
        <v>2</v>
      </c>
    </row>
    <row r="264" spans="1:2" x14ac:dyDescent="0.25">
      <c r="A264" t="s">
        <v>10</v>
      </c>
      <c r="B264">
        <v>3</v>
      </c>
    </row>
    <row r="265" spans="1:2" x14ac:dyDescent="0.25">
      <c r="A265" t="s">
        <v>9</v>
      </c>
      <c r="B265">
        <v>3</v>
      </c>
    </row>
    <row r="266" spans="1:2" x14ac:dyDescent="0.25">
      <c r="A266" t="s">
        <v>9</v>
      </c>
      <c r="B266">
        <v>3</v>
      </c>
    </row>
    <row r="267" spans="1:2" x14ac:dyDescent="0.25">
      <c r="A267" t="s">
        <v>9</v>
      </c>
      <c r="B267">
        <v>4</v>
      </c>
    </row>
    <row r="268" spans="1:2" x14ac:dyDescent="0.25">
      <c r="A268" t="s">
        <v>9</v>
      </c>
      <c r="B268">
        <v>3</v>
      </c>
    </row>
    <row r="269" spans="1:2" x14ac:dyDescent="0.25">
      <c r="A269" t="s">
        <v>10</v>
      </c>
      <c r="B269">
        <v>3</v>
      </c>
    </row>
    <row r="270" spans="1:2" x14ac:dyDescent="0.25">
      <c r="A270" t="s">
        <v>9</v>
      </c>
      <c r="B270">
        <v>3</v>
      </c>
    </row>
    <row r="271" spans="1:2" x14ac:dyDescent="0.25">
      <c r="A271" t="s">
        <v>9</v>
      </c>
      <c r="B271">
        <v>3</v>
      </c>
    </row>
    <row r="272" spans="1:2" x14ac:dyDescent="0.25">
      <c r="A272" t="s">
        <v>9</v>
      </c>
      <c r="B272">
        <v>3</v>
      </c>
    </row>
    <row r="273" spans="1:2" x14ac:dyDescent="0.25">
      <c r="A273" t="s">
        <v>9</v>
      </c>
      <c r="B273">
        <v>3</v>
      </c>
    </row>
    <row r="274" spans="1:2" x14ac:dyDescent="0.25">
      <c r="A274" t="s">
        <v>9</v>
      </c>
      <c r="B274">
        <v>2</v>
      </c>
    </row>
    <row r="275" spans="1:2" x14ac:dyDescent="0.25">
      <c r="A275" t="s">
        <v>9</v>
      </c>
      <c r="B275">
        <v>2</v>
      </c>
    </row>
    <row r="276" spans="1:2" x14ac:dyDescent="0.25">
      <c r="A276" t="s">
        <v>9</v>
      </c>
      <c r="B276">
        <v>4</v>
      </c>
    </row>
    <row r="277" spans="1:2" x14ac:dyDescent="0.25">
      <c r="A277" t="s">
        <v>9</v>
      </c>
      <c r="B277">
        <v>3</v>
      </c>
    </row>
    <row r="278" spans="1:2" x14ac:dyDescent="0.25">
      <c r="A278" t="s">
        <v>9</v>
      </c>
      <c r="B278">
        <v>3</v>
      </c>
    </row>
    <row r="279" spans="1:2" x14ac:dyDescent="0.25">
      <c r="A279" t="s">
        <v>9</v>
      </c>
      <c r="B279">
        <v>3</v>
      </c>
    </row>
    <row r="280" spans="1:2" x14ac:dyDescent="0.25">
      <c r="A280" t="s">
        <v>10</v>
      </c>
      <c r="B280">
        <v>2</v>
      </c>
    </row>
    <row r="281" spans="1:2" x14ac:dyDescent="0.25">
      <c r="A281" t="s">
        <v>9</v>
      </c>
      <c r="B281">
        <v>3</v>
      </c>
    </row>
    <row r="282" spans="1:2" x14ac:dyDescent="0.25">
      <c r="A282" t="s">
        <v>9</v>
      </c>
      <c r="B282">
        <v>3</v>
      </c>
    </row>
    <row r="283" spans="1:2" x14ac:dyDescent="0.25">
      <c r="A283" t="s">
        <v>9</v>
      </c>
      <c r="B283">
        <v>3</v>
      </c>
    </row>
    <row r="284" spans="1:2" x14ac:dyDescent="0.25">
      <c r="A284" t="s">
        <v>9</v>
      </c>
      <c r="B284">
        <v>3</v>
      </c>
    </row>
    <row r="285" spans="1:2" x14ac:dyDescent="0.25">
      <c r="A285" t="s">
        <v>9</v>
      </c>
      <c r="B285">
        <v>3</v>
      </c>
    </row>
    <row r="286" spans="1:2" x14ac:dyDescent="0.25">
      <c r="A286" t="s">
        <v>9</v>
      </c>
      <c r="B286">
        <v>4</v>
      </c>
    </row>
    <row r="287" spans="1:2" x14ac:dyDescent="0.25">
      <c r="A287" t="s">
        <v>9</v>
      </c>
      <c r="B287">
        <v>3</v>
      </c>
    </row>
    <row r="288" spans="1:2" x14ac:dyDescent="0.25">
      <c r="A288" t="s">
        <v>10</v>
      </c>
      <c r="B288">
        <v>3</v>
      </c>
    </row>
    <row r="289" spans="1:2" x14ac:dyDescent="0.25">
      <c r="A289" t="s">
        <v>9</v>
      </c>
      <c r="B289">
        <v>3</v>
      </c>
    </row>
    <row r="290" spans="1:2" x14ac:dyDescent="0.25">
      <c r="A290" t="s">
        <v>9</v>
      </c>
      <c r="B290">
        <v>3</v>
      </c>
    </row>
    <row r="291" spans="1:2" x14ac:dyDescent="0.25">
      <c r="A291" t="s">
        <v>9</v>
      </c>
      <c r="B291">
        <v>3</v>
      </c>
    </row>
    <row r="292" spans="1:2" x14ac:dyDescent="0.25">
      <c r="A292" t="s">
        <v>9</v>
      </c>
      <c r="B292">
        <v>3</v>
      </c>
    </row>
    <row r="293" spans="1:2" x14ac:dyDescent="0.25">
      <c r="A293" t="s">
        <v>9</v>
      </c>
      <c r="B293">
        <v>3</v>
      </c>
    </row>
    <row r="294" spans="1:2" x14ac:dyDescent="0.25">
      <c r="A294" t="s">
        <v>9</v>
      </c>
      <c r="B294">
        <v>3</v>
      </c>
    </row>
    <row r="295" spans="1:2" x14ac:dyDescent="0.25">
      <c r="A295" t="s">
        <v>9</v>
      </c>
      <c r="B295">
        <v>3</v>
      </c>
    </row>
    <row r="296" spans="1:2" x14ac:dyDescent="0.25">
      <c r="A296" t="s">
        <v>9</v>
      </c>
      <c r="B296">
        <v>3</v>
      </c>
    </row>
    <row r="297" spans="1:2" x14ac:dyDescent="0.25">
      <c r="A297" t="s">
        <v>9</v>
      </c>
      <c r="B297">
        <v>3</v>
      </c>
    </row>
    <row r="298" spans="1:2" x14ac:dyDescent="0.25">
      <c r="A298" t="s">
        <v>9</v>
      </c>
      <c r="B298">
        <v>2</v>
      </c>
    </row>
    <row r="299" spans="1:2" x14ac:dyDescent="0.25">
      <c r="A299" t="s">
        <v>10</v>
      </c>
      <c r="B299">
        <v>1</v>
      </c>
    </row>
    <row r="300" spans="1:2" x14ac:dyDescent="0.25">
      <c r="A300" t="s">
        <v>10</v>
      </c>
      <c r="B300">
        <v>2</v>
      </c>
    </row>
    <row r="301" spans="1:2" x14ac:dyDescent="0.25">
      <c r="A301" t="s">
        <v>10</v>
      </c>
      <c r="B301">
        <v>1</v>
      </c>
    </row>
    <row r="302" spans="1:2" x14ac:dyDescent="0.25">
      <c r="A302" t="s">
        <v>9</v>
      </c>
      <c r="B302">
        <v>3</v>
      </c>
    </row>
    <row r="303" spans="1:2" x14ac:dyDescent="0.25">
      <c r="A303" t="s">
        <v>9</v>
      </c>
      <c r="B303">
        <v>3</v>
      </c>
    </row>
    <row r="304" spans="1:2" x14ac:dyDescent="0.25">
      <c r="A304" t="s">
        <v>9</v>
      </c>
      <c r="B304">
        <v>2</v>
      </c>
    </row>
    <row r="305" spans="1:2" x14ac:dyDescent="0.25">
      <c r="A305" t="s">
        <v>9</v>
      </c>
      <c r="B305">
        <v>3</v>
      </c>
    </row>
    <row r="306" spans="1:2" x14ac:dyDescent="0.25">
      <c r="A306" t="s">
        <v>10</v>
      </c>
      <c r="B306">
        <v>3</v>
      </c>
    </row>
    <row r="307" spans="1:2" x14ac:dyDescent="0.25">
      <c r="A307" t="s">
        <v>9</v>
      </c>
      <c r="B307">
        <v>2</v>
      </c>
    </row>
    <row r="308" spans="1:2" x14ac:dyDescent="0.25">
      <c r="A308" t="s">
        <v>9</v>
      </c>
      <c r="B308">
        <v>3</v>
      </c>
    </row>
    <row r="309" spans="1:2" x14ac:dyDescent="0.25">
      <c r="A309" t="s">
        <v>9</v>
      </c>
      <c r="B309">
        <v>2</v>
      </c>
    </row>
    <row r="310" spans="1:2" x14ac:dyDescent="0.25">
      <c r="A310" t="s">
        <v>9</v>
      </c>
      <c r="B310">
        <v>3</v>
      </c>
    </row>
    <row r="311" spans="1:2" x14ac:dyDescent="0.25">
      <c r="A311" t="s">
        <v>9</v>
      </c>
      <c r="B311">
        <v>4</v>
      </c>
    </row>
    <row r="312" spans="1:2" x14ac:dyDescent="0.25">
      <c r="A312" t="s">
        <v>9</v>
      </c>
      <c r="B312">
        <v>3</v>
      </c>
    </row>
    <row r="313" spans="1:2" x14ac:dyDescent="0.25">
      <c r="A313" t="s">
        <v>9</v>
      </c>
      <c r="B313">
        <v>3</v>
      </c>
    </row>
    <row r="314" spans="1:2" x14ac:dyDescent="0.25">
      <c r="A314" t="s">
        <v>10</v>
      </c>
      <c r="B314">
        <v>3</v>
      </c>
    </row>
    <row r="315" spans="1:2" x14ac:dyDescent="0.25">
      <c r="A315" t="s">
        <v>9</v>
      </c>
      <c r="B315">
        <v>2</v>
      </c>
    </row>
    <row r="316" spans="1:2" x14ac:dyDescent="0.25">
      <c r="A316" t="s">
        <v>9</v>
      </c>
      <c r="B316">
        <v>3</v>
      </c>
    </row>
    <row r="317" spans="1:2" x14ac:dyDescent="0.25">
      <c r="A317" t="s">
        <v>9</v>
      </c>
      <c r="B317">
        <v>3</v>
      </c>
    </row>
    <row r="318" spans="1:2" x14ac:dyDescent="0.25">
      <c r="A318" t="s">
        <v>9</v>
      </c>
      <c r="B318">
        <v>3</v>
      </c>
    </row>
    <row r="319" spans="1:2" x14ac:dyDescent="0.25">
      <c r="A319" t="s">
        <v>9</v>
      </c>
      <c r="B319">
        <v>2</v>
      </c>
    </row>
    <row r="320" spans="1:2" x14ac:dyDescent="0.25">
      <c r="A320" t="s">
        <v>9</v>
      </c>
      <c r="B320">
        <v>2</v>
      </c>
    </row>
    <row r="321" spans="1:2" x14ac:dyDescent="0.25">
      <c r="A321" t="s">
        <v>9</v>
      </c>
      <c r="B321">
        <v>4</v>
      </c>
    </row>
    <row r="322" spans="1:2" x14ac:dyDescent="0.25">
      <c r="A322" t="s">
        <v>9</v>
      </c>
      <c r="B322">
        <v>2</v>
      </c>
    </row>
    <row r="323" spans="1:2" x14ac:dyDescent="0.25">
      <c r="A323" t="s">
        <v>9</v>
      </c>
      <c r="B323">
        <v>3</v>
      </c>
    </row>
    <row r="324" spans="1:2" x14ac:dyDescent="0.25">
      <c r="A324" t="s">
        <v>9</v>
      </c>
      <c r="B324">
        <v>2</v>
      </c>
    </row>
    <row r="325" spans="1:2" x14ac:dyDescent="0.25">
      <c r="A325" t="s">
        <v>9</v>
      </c>
      <c r="B325">
        <v>2</v>
      </c>
    </row>
    <row r="326" spans="1:2" x14ac:dyDescent="0.25">
      <c r="A326" t="s">
        <v>9</v>
      </c>
      <c r="B326">
        <v>2</v>
      </c>
    </row>
    <row r="327" spans="1:2" x14ac:dyDescent="0.25">
      <c r="A327" t="s">
        <v>9</v>
      </c>
      <c r="B327">
        <v>3</v>
      </c>
    </row>
    <row r="328" spans="1:2" x14ac:dyDescent="0.25">
      <c r="A328" t="s">
        <v>9</v>
      </c>
      <c r="B328">
        <v>3</v>
      </c>
    </row>
    <row r="329" spans="1:2" x14ac:dyDescent="0.25">
      <c r="A329" t="s">
        <v>9</v>
      </c>
      <c r="B329">
        <v>3</v>
      </c>
    </row>
    <row r="330" spans="1:2" x14ac:dyDescent="0.25">
      <c r="A330" t="s">
        <v>9</v>
      </c>
      <c r="B330">
        <v>2</v>
      </c>
    </row>
    <row r="331" spans="1:2" x14ac:dyDescent="0.25">
      <c r="A331" t="s">
        <v>9</v>
      </c>
      <c r="B331">
        <v>3</v>
      </c>
    </row>
    <row r="332" spans="1:2" x14ac:dyDescent="0.25">
      <c r="A332" t="s">
        <v>9</v>
      </c>
      <c r="B332">
        <v>3</v>
      </c>
    </row>
    <row r="333" spans="1:2" x14ac:dyDescent="0.25">
      <c r="A333" t="s">
        <v>10</v>
      </c>
      <c r="B333">
        <v>1</v>
      </c>
    </row>
    <row r="334" spans="1:2" x14ac:dyDescent="0.25">
      <c r="A334" t="s">
        <v>10</v>
      </c>
      <c r="B334">
        <v>3</v>
      </c>
    </row>
    <row r="335" spans="1:2" x14ac:dyDescent="0.25">
      <c r="A335" t="s">
        <v>9</v>
      </c>
      <c r="B335">
        <v>3</v>
      </c>
    </row>
    <row r="336" spans="1:2" x14ac:dyDescent="0.25">
      <c r="A336" t="s">
        <v>9</v>
      </c>
      <c r="B336">
        <v>2</v>
      </c>
    </row>
    <row r="337" spans="1:2" x14ac:dyDescent="0.25">
      <c r="A337" t="s">
        <v>10</v>
      </c>
      <c r="B337">
        <v>2</v>
      </c>
    </row>
    <row r="338" spans="1:2" x14ac:dyDescent="0.25">
      <c r="A338" t="s">
        <v>9</v>
      </c>
      <c r="B338">
        <v>3</v>
      </c>
    </row>
    <row r="339" spans="1:2" x14ac:dyDescent="0.25">
      <c r="A339" t="s">
        <v>9</v>
      </c>
      <c r="B339">
        <v>3</v>
      </c>
    </row>
    <row r="340" spans="1:2" x14ac:dyDescent="0.25">
      <c r="A340" t="s">
        <v>10</v>
      </c>
      <c r="B340">
        <v>3</v>
      </c>
    </row>
    <row r="341" spans="1:2" x14ac:dyDescent="0.25">
      <c r="A341" t="s">
        <v>9</v>
      </c>
      <c r="B341">
        <v>3</v>
      </c>
    </row>
    <row r="342" spans="1:2" x14ac:dyDescent="0.25">
      <c r="A342" t="s">
        <v>9</v>
      </c>
      <c r="B342">
        <v>2</v>
      </c>
    </row>
    <row r="343" spans="1:2" x14ac:dyDescent="0.25">
      <c r="A343" t="s">
        <v>9</v>
      </c>
      <c r="B343">
        <v>2</v>
      </c>
    </row>
    <row r="344" spans="1:2" x14ac:dyDescent="0.25">
      <c r="A344" t="s">
        <v>9</v>
      </c>
      <c r="B344">
        <v>2</v>
      </c>
    </row>
    <row r="345" spans="1:2" x14ac:dyDescent="0.25">
      <c r="A345" t="s">
        <v>9</v>
      </c>
      <c r="B345">
        <v>3</v>
      </c>
    </row>
    <row r="346" spans="1:2" x14ac:dyDescent="0.25">
      <c r="A346" t="s">
        <v>9</v>
      </c>
      <c r="B346">
        <v>3</v>
      </c>
    </row>
    <row r="347" spans="1:2" x14ac:dyDescent="0.25">
      <c r="A347" t="s">
        <v>9</v>
      </c>
      <c r="B347">
        <v>3</v>
      </c>
    </row>
    <row r="348" spans="1:2" x14ac:dyDescent="0.25">
      <c r="A348" t="s">
        <v>9</v>
      </c>
      <c r="B348">
        <v>3</v>
      </c>
    </row>
    <row r="349" spans="1:2" x14ac:dyDescent="0.25">
      <c r="A349" t="s">
        <v>9</v>
      </c>
      <c r="B349">
        <v>3</v>
      </c>
    </row>
    <row r="350" spans="1:2" x14ac:dyDescent="0.25">
      <c r="A350" t="s">
        <v>9</v>
      </c>
      <c r="B350">
        <v>1</v>
      </c>
    </row>
    <row r="351" spans="1:2" x14ac:dyDescent="0.25">
      <c r="A351" t="s">
        <v>9</v>
      </c>
      <c r="B351">
        <v>3</v>
      </c>
    </row>
    <row r="352" spans="1:2" x14ac:dyDescent="0.25">
      <c r="A352" t="s">
        <v>9</v>
      </c>
      <c r="B352">
        <v>3</v>
      </c>
    </row>
    <row r="353" spans="1:2" x14ac:dyDescent="0.25">
      <c r="A353" t="s">
        <v>9</v>
      </c>
      <c r="B353">
        <v>4</v>
      </c>
    </row>
    <row r="354" spans="1:2" x14ac:dyDescent="0.25">
      <c r="A354" t="s">
        <v>9</v>
      </c>
      <c r="B354">
        <v>2</v>
      </c>
    </row>
    <row r="355" spans="1:2" x14ac:dyDescent="0.25">
      <c r="A355" t="s">
        <v>9</v>
      </c>
      <c r="B355">
        <v>3</v>
      </c>
    </row>
    <row r="356" spans="1:2" x14ac:dyDescent="0.25">
      <c r="A356" t="s">
        <v>9</v>
      </c>
      <c r="B356">
        <v>3</v>
      </c>
    </row>
    <row r="357" spans="1:2" x14ac:dyDescent="0.25">
      <c r="A357" t="s">
        <v>9</v>
      </c>
      <c r="B357">
        <v>1</v>
      </c>
    </row>
    <row r="358" spans="1:2" x14ac:dyDescent="0.25">
      <c r="A358" t="s">
        <v>9</v>
      </c>
      <c r="B358">
        <v>2</v>
      </c>
    </row>
    <row r="359" spans="1:2" x14ac:dyDescent="0.25">
      <c r="A359" t="s">
        <v>10</v>
      </c>
      <c r="B359">
        <v>2</v>
      </c>
    </row>
    <row r="360" spans="1:2" x14ac:dyDescent="0.25">
      <c r="A360" t="s">
        <v>9</v>
      </c>
      <c r="B360">
        <v>3</v>
      </c>
    </row>
    <row r="361" spans="1:2" x14ac:dyDescent="0.25">
      <c r="A361" t="s">
        <v>9</v>
      </c>
      <c r="B361">
        <v>3</v>
      </c>
    </row>
    <row r="362" spans="1:2" x14ac:dyDescent="0.25">
      <c r="A362" t="s">
        <v>9</v>
      </c>
      <c r="B362">
        <v>2</v>
      </c>
    </row>
    <row r="363" spans="1:2" x14ac:dyDescent="0.25">
      <c r="A363" t="s">
        <v>10</v>
      </c>
      <c r="B363">
        <v>4</v>
      </c>
    </row>
    <row r="364" spans="1:2" x14ac:dyDescent="0.25">
      <c r="A364" t="s">
        <v>10</v>
      </c>
      <c r="B364">
        <v>1</v>
      </c>
    </row>
    <row r="365" spans="1:2" x14ac:dyDescent="0.25">
      <c r="A365" t="s">
        <v>9</v>
      </c>
      <c r="B365">
        <v>3</v>
      </c>
    </row>
    <row r="366" spans="1:2" x14ac:dyDescent="0.25">
      <c r="A366" t="s">
        <v>9</v>
      </c>
      <c r="B366">
        <v>1</v>
      </c>
    </row>
    <row r="367" spans="1:2" x14ac:dyDescent="0.25">
      <c r="A367" t="s">
        <v>9</v>
      </c>
      <c r="B367">
        <v>4</v>
      </c>
    </row>
    <row r="368" spans="1:2" x14ac:dyDescent="0.25">
      <c r="A368" t="s">
        <v>9</v>
      </c>
      <c r="B368">
        <v>3</v>
      </c>
    </row>
    <row r="369" spans="1:2" x14ac:dyDescent="0.25">
      <c r="A369" t="s">
        <v>9</v>
      </c>
      <c r="B369">
        <v>3</v>
      </c>
    </row>
    <row r="370" spans="1:2" x14ac:dyDescent="0.25">
      <c r="A370" t="s">
        <v>9</v>
      </c>
      <c r="B370">
        <v>4</v>
      </c>
    </row>
    <row r="371" spans="1:2" x14ac:dyDescent="0.25">
      <c r="A371" t="s">
        <v>9</v>
      </c>
      <c r="B371">
        <v>4</v>
      </c>
    </row>
    <row r="372" spans="1:2" x14ac:dyDescent="0.25">
      <c r="A372" t="s">
        <v>9</v>
      </c>
      <c r="B372">
        <v>3</v>
      </c>
    </row>
    <row r="373" spans="1:2" x14ac:dyDescent="0.25">
      <c r="A373" t="s">
        <v>9</v>
      </c>
      <c r="B373">
        <v>3</v>
      </c>
    </row>
    <row r="374" spans="1:2" x14ac:dyDescent="0.25">
      <c r="A374" t="s">
        <v>9</v>
      </c>
      <c r="B374">
        <v>3</v>
      </c>
    </row>
    <row r="375" spans="1:2" x14ac:dyDescent="0.25">
      <c r="A375" t="s">
        <v>9</v>
      </c>
      <c r="B375">
        <v>3</v>
      </c>
    </row>
    <row r="376" spans="1:2" x14ac:dyDescent="0.25">
      <c r="A376" t="s">
        <v>9</v>
      </c>
      <c r="B376">
        <v>3</v>
      </c>
    </row>
    <row r="377" spans="1:2" x14ac:dyDescent="0.25">
      <c r="A377" t="s">
        <v>9</v>
      </c>
      <c r="B377">
        <v>1</v>
      </c>
    </row>
    <row r="378" spans="1:2" x14ac:dyDescent="0.25">
      <c r="A378" t="s">
        <v>10</v>
      </c>
      <c r="B378">
        <v>4</v>
      </c>
    </row>
    <row r="379" spans="1:2" x14ac:dyDescent="0.25">
      <c r="A379" t="s">
        <v>9</v>
      </c>
      <c r="B379">
        <v>3</v>
      </c>
    </row>
    <row r="380" spans="1:2" x14ac:dyDescent="0.25">
      <c r="A380" t="s">
        <v>9</v>
      </c>
      <c r="B380">
        <v>1</v>
      </c>
    </row>
    <row r="381" spans="1:2" x14ac:dyDescent="0.25">
      <c r="A381" t="s">
        <v>10</v>
      </c>
      <c r="B381">
        <v>3</v>
      </c>
    </row>
    <row r="382" spans="1:2" x14ac:dyDescent="0.25">
      <c r="A382" t="s">
        <v>9</v>
      </c>
      <c r="B382">
        <v>3</v>
      </c>
    </row>
    <row r="383" spans="1:2" x14ac:dyDescent="0.25">
      <c r="A383" t="s">
        <v>9</v>
      </c>
      <c r="B383">
        <v>3</v>
      </c>
    </row>
    <row r="384" spans="1:2" x14ac:dyDescent="0.25">
      <c r="A384" t="s">
        <v>9</v>
      </c>
      <c r="B384">
        <v>3</v>
      </c>
    </row>
    <row r="385" spans="1:2" x14ac:dyDescent="0.25">
      <c r="A385" t="s">
        <v>9</v>
      </c>
      <c r="B385">
        <v>3</v>
      </c>
    </row>
    <row r="386" spans="1:2" x14ac:dyDescent="0.25">
      <c r="A386" t="s">
        <v>10</v>
      </c>
      <c r="B386">
        <v>3</v>
      </c>
    </row>
    <row r="387" spans="1:2" x14ac:dyDescent="0.25">
      <c r="A387" t="s">
        <v>9</v>
      </c>
      <c r="B387">
        <v>3</v>
      </c>
    </row>
    <row r="388" spans="1:2" x14ac:dyDescent="0.25">
      <c r="A388" t="s">
        <v>9</v>
      </c>
      <c r="B388">
        <v>3</v>
      </c>
    </row>
    <row r="389" spans="1:2" x14ac:dyDescent="0.25">
      <c r="A389" t="s">
        <v>9</v>
      </c>
      <c r="B389">
        <v>3</v>
      </c>
    </row>
    <row r="390" spans="1:2" x14ac:dyDescent="0.25">
      <c r="A390" t="s">
        <v>9</v>
      </c>
      <c r="B390">
        <v>3</v>
      </c>
    </row>
    <row r="391" spans="1:2" x14ac:dyDescent="0.25">
      <c r="A391" t="s">
        <v>10</v>
      </c>
      <c r="B391">
        <v>2</v>
      </c>
    </row>
    <row r="392" spans="1:2" x14ac:dyDescent="0.25">
      <c r="A392" t="s">
        <v>9</v>
      </c>
      <c r="B392">
        <v>3</v>
      </c>
    </row>
    <row r="393" spans="1:2" x14ac:dyDescent="0.25">
      <c r="A393" t="s">
        <v>9</v>
      </c>
      <c r="B393">
        <v>2</v>
      </c>
    </row>
    <row r="394" spans="1:2" x14ac:dyDescent="0.25">
      <c r="A394" t="s">
        <v>9</v>
      </c>
      <c r="B394">
        <v>3</v>
      </c>
    </row>
    <row r="395" spans="1:2" x14ac:dyDescent="0.25">
      <c r="A395" t="s">
        <v>9</v>
      </c>
      <c r="B395">
        <v>2</v>
      </c>
    </row>
    <row r="396" spans="1:2" x14ac:dyDescent="0.25">
      <c r="A396" t="s">
        <v>9</v>
      </c>
      <c r="B396">
        <v>3</v>
      </c>
    </row>
    <row r="397" spans="1:2" x14ac:dyDescent="0.25">
      <c r="A397" t="s">
        <v>9</v>
      </c>
      <c r="B397">
        <v>3</v>
      </c>
    </row>
    <row r="398" spans="1:2" x14ac:dyDescent="0.25">
      <c r="A398" t="s">
        <v>9</v>
      </c>
      <c r="B398">
        <v>3</v>
      </c>
    </row>
    <row r="399" spans="1:2" x14ac:dyDescent="0.25">
      <c r="A399" t="s">
        <v>10</v>
      </c>
      <c r="B399">
        <v>3</v>
      </c>
    </row>
    <row r="400" spans="1:2" x14ac:dyDescent="0.25">
      <c r="A400" t="s">
        <v>9</v>
      </c>
      <c r="B400">
        <v>3</v>
      </c>
    </row>
    <row r="401" spans="1:2" x14ac:dyDescent="0.25">
      <c r="A401" t="s">
        <v>9</v>
      </c>
      <c r="B401">
        <v>3</v>
      </c>
    </row>
    <row r="402" spans="1:2" x14ac:dyDescent="0.25">
      <c r="A402" t="s">
        <v>9</v>
      </c>
      <c r="B402">
        <v>1</v>
      </c>
    </row>
    <row r="403" spans="1:2" x14ac:dyDescent="0.25">
      <c r="A403" t="s">
        <v>9</v>
      </c>
      <c r="B403">
        <v>3</v>
      </c>
    </row>
    <row r="404" spans="1:2" x14ac:dyDescent="0.25">
      <c r="A404" t="s">
        <v>9</v>
      </c>
      <c r="B404">
        <v>3</v>
      </c>
    </row>
    <row r="405" spans="1:2" x14ac:dyDescent="0.25">
      <c r="A405" t="s">
        <v>9</v>
      </c>
      <c r="B405">
        <v>3</v>
      </c>
    </row>
    <row r="406" spans="1:2" x14ac:dyDescent="0.25">
      <c r="A406" t="s">
        <v>9</v>
      </c>
      <c r="B406">
        <v>2</v>
      </c>
    </row>
    <row r="407" spans="1:2" x14ac:dyDescent="0.25">
      <c r="A407" t="s">
        <v>9</v>
      </c>
      <c r="B407">
        <v>2</v>
      </c>
    </row>
    <row r="408" spans="1:2" x14ac:dyDescent="0.25">
      <c r="A408" t="s">
        <v>9</v>
      </c>
      <c r="B408">
        <v>2</v>
      </c>
    </row>
    <row r="409" spans="1:2" x14ac:dyDescent="0.25">
      <c r="A409" t="s">
        <v>9</v>
      </c>
      <c r="B409">
        <v>1</v>
      </c>
    </row>
    <row r="410" spans="1:2" x14ac:dyDescent="0.25">
      <c r="A410" t="s">
        <v>9</v>
      </c>
      <c r="B410">
        <v>2</v>
      </c>
    </row>
    <row r="411" spans="1:2" x14ac:dyDescent="0.25">
      <c r="A411" t="s">
        <v>9</v>
      </c>
      <c r="B411">
        <v>3</v>
      </c>
    </row>
    <row r="412" spans="1:2" x14ac:dyDescent="0.25">
      <c r="A412" t="s">
        <v>9</v>
      </c>
      <c r="B412">
        <v>2</v>
      </c>
    </row>
    <row r="413" spans="1:2" x14ac:dyDescent="0.25">
      <c r="A413" t="s">
        <v>9</v>
      </c>
      <c r="B413">
        <v>3</v>
      </c>
    </row>
    <row r="414" spans="1:2" x14ac:dyDescent="0.25">
      <c r="A414" t="s">
        <v>9</v>
      </c>
      <c r="B414">
        <v>3</v>
      </c>
    </row>
    <row r="415" spans="1:2" x14ac:dyDescent="0.25">
      <c r="A415" t="s">
        <v>9</v>
      </c>
      <c r="B415">
        <v>3</v>
      </c>
    </row>
    <row r="416" spans="1:2" x14ac:dyDescent="0.25">
      <c r="A416" t="s">
        <v>10</v>
      </c>
      <c r="B416">
        <v>1</v>
      </c>
    </row>
    <row r="417" spans="1:2" x14ac:dyDescent="0.25">
      <c r="A417" t="s">
        <v>9</v>
      </c>
      <c r="B417">
        <v>3</v>
      </c>
    </row>
    <row r="418" spans="1:2" x14ac:dyDescent="0.25">
      <c r="A418" t="s">
        <v>9</v>
      </c>
      <c r="B418">
        <v>3</v>
      </c>
    </row>
    <row r="419" spans="1:2" x14ac:dyDescent="0.25">
      <c r="A419" t="s">
        <v>9</v>
      </c>
      <c r="B419">
        <v>4</v>
      </c>
    </row>
    <row r="420" spans="1:2" x14ac:dyDescent="0.25">
      <c r="A420" t="s">
        <v>9</v>
      </c>
      <c r="B420">
        <v>2</v>
      </c>
    </row>
    <row r="421" spans="1:2" x14ac:dyDescent="0.25">
      <c r="A421" t="s">
        <v>9</v>
      </c>
      <c r="B421">
        <v>2</v>
      </c>
    </row>
    <row r="422" spans="1:2" x14ac:dyDescent="0.25">
      <c r="A422" t="s">
        <v>9</v>
      </c>
      <c r="B422">
        <v>3</v>
      </c>
    </row>
    <row r="423" spans="1:2" x14ac:dyDescent="0.25">
      <c r="A423" t="s">
        <v>9</v>
      </c>
      <c r="B423">
        <v>3</v>
      </c>
    </row>
    <row r="424" spans="1:2" x14ac:dyDescent="0.25">
      <c r="A424" t="s">
        <v>10</v>
      </c>
      <c r="B424">
        <v>1</v>
      </c>
    </row>
    <row r="425" spans="1:2" x14ac:dyDescent="0.25">
      <c r="A425" t="s">
        <v>9</v>
      </c>
      <c r="B425">
        <v>3</v>
      </c>
    </row>
    <row r="426" spans="1:2" x14ac:dyDescent="0.25">
      <c r="A426" t="s">
        <v>9</v>
      </c>
      <c r="B426">
        <v>2</v>
      </c>
    </row>
    <row r="427" spans="1:2" x14ac:dyDescent="0.25">
      <c r="A427" t="s">
        <v>9</v>
      </c>
      <c r="B427">
        <v>2</v>
      </c>
    </row>
    <row r="428" spans="1:2" x14ac:dyDescent="0.25">
      <c r="A428" t="s">
        <v>9</v>
      </c>
      <c r="B428">
        <v>3</v>
      </c>
    </row>
    <row r="429" spans="1:2" x14ac:dyDescent="0.25">
      <c r="A429" t="s">
        <v>9</v>
      </c>
      <c r="B429">
        <v>2</v>
      </c>
    </row>
    <row r="430" spans="1:2" x14ac:dyDescent="0.25">
      <c r="A430" t="s">
        <v>10</v>
      </c>
      <c r="B430">
        <v>2</v>
      </c>
    </row>
    <row r="431" spans="1:2" x14ac:dyDescent="0.25">
      <c r="A431" t="s">
        <v>9</v>
      </c>
      <c r="B431">
        <v>2</v>
      </c>
    </row>
    <row r="432" spans="1:2" x14ac:dyDescent="0.25">
      <c r="A432" t="s">
        <v>9</v>
      </c>
      <c r="B432">
        <v>3</v>
      </c>
    </row>
    <row r="433" spans="1:2" x14ac:dyDescent="0.25">
      <c r="A433" t="s">
        <v>9</v>
      </c>
      <c r="B433">
        <v>3</v>
      </c>
    </row>
    <row r="434" spans="1:2" x14ac:dyDescent="0.25">
      <c r="A434" t="s">
        <v>10</v>
      </c>
      <c r="B434">
        <v>2</v>
      </c>
    </row>
    <row r="435" spans="1:2" x14ac:dyDescent="0.25">
      <c r="A435" t="s">
        <v>9</v>
      </c>
      <c r="B435">
        <v>2</v>
      </c>
    </row>
    <row r="436" spans="1:2" x14ac:dyDescent="0.25">
      <c r="A436" t="s">
        <v>9</v>
      </c>
      <c r="B436">
        <v>2</v>
      </c>
    </row>
    <row r="437" spans="1:2" x14ac:dyDescent="0.25">
      <c r="A437" t="s">
        <v>9</v>
      </c>
      <c r="B437">
        <v>3</v>
      </c>
    </row>
    <row r="438" spans="1:2" x14ac:dyDescent="0.25">
      <c r="A438" t="s">
        <v>10</v>
      </c>
      <c r="B438">
        <v>3</v>
      </c>
    </row>
    <row r="439" spans="1:2" x14ac:dyDescent="0.25">
      <c r="A439" t="s">
        <v>9</v>
      </c>
      <c r="B439">
        <v>3</v>
      </c>
    </row>
    <row r="440" spans="1:2" x14ac:dyDescent="0.25">
      <c r="A440" t="s">
        <v>10</v>
      </c>
      <c r="B440">
        <v>2</v>
      </c>
    </row>
    <row r="441" spans="1:2" x14ac:dyDescent="0.25">
      <c r="A441" t="s">
        <v>9</v>
      </c>
      <c r="B441">
        <v>4</v>
      </c>
    </row>
    <row r="442" spans="1:2" x14ac:dyDescent="0.25">
      <c r="A442" t="s">
        <v>9</v>
      </c>
      <c r="B442">
        <v>3</v>
      </c>
    </row>
    <row r="443" spans="1:2" x14ac:dyDescent="0.25">
      <c r="A443" t="s">
        <v>9</v>
      </c>
      <c r="B443">
        <v>3</v>
      </c>
    </row>
    <row r="444" spans="1:2" x14ac:dyDescent="0.25">
      <c r="A444" t="s">
        <v>10</v>
      </c>
      <c r="B444">
        <v>3</v>
      </c>
    </row>
    <row r="445" spans="1:2" x14ac:dyDescent="0.25">
      <c r="A445" t="s">
        <v>9</v>
      </c>
      <c r="B445">
        <v>3</v>
      </c>
    </row>
    <row r="446" spans="1:2" x14ac:dyDescent="0.25">
      <c r="A446" t="s">
        <v>9</v>
      </c>
      <c r="B446">
        <v>3</v>
      </c>
    </row>
    <row r="447" spans="1:2" x14ac:dyDescent="0.25">
      <c r="A447" t="s">
        <v>9</v>
      </c>
      <c r="B447">
        <v>3</v>
      </c>
    </row>
    <row r="448" spans="1:2" x14ac:dyDescent="0.25">
      <c r="A448" t="s">
        <v>9</v>
      </c>
      <c r="B448">
        <v>3</v>
      </c>
    </row>
    <row r="449" spans="1:2" x14ac:dyDescent="0.25">
      <c r="A449" t="s">
        <v>9</v>
      </c>
      <c r="B449">
        <v>4</v>
      </c>
    </row>
    <row r="450" spans="1:2" x14ac:dyDescent="0.25">
      <c r="A450" t="s">
        <v>9</v>
      </c>
      <c r="B450">
        <v>3</v>
      </c>
    </row>
    <row r="451" spans="1:2" x14ac:dyDescent="0.25">
      <c r="A451" t="s">
        <v>9</v>
      </c>
      <c r="B451">
        <v>2</v>
      </c>
    </row>
    <row r="452" spans="1:2" x14ac:dyDescent="0.25">
      <c r="A452" t="s">
        <v>9</v>
      </c>
      <c r="B452">
        <v>3</v>
      </c>
    </row>
    <row r="453" spans="1:2" x14ac:dyDescent="0.25">
      <c r="A453" t="s">
        <v>9</v>
      </c>
      <c r="B453">
        <v>3</v>
      </c>
    </row>
    <row r="454" spans="1:2" x14ac:dyDescent="0.25">
      <c r="A454" t="s">
        <v>10</v>
      </c>
      <c r="B454">
        <v>3</v>
      </c>
    </row>
    <row r="455" spans="1:2" x14ac:dyDescent="0.25">
      <c r="A455" t="s">
        <v>9</v>
      </c>
      <c r="B455">
        <v>3</v>
      </c>
    </row>
    <row r="456" spans="1:2" x14ac:dyDescent="0.25">
      <c r="A456" t="s">
        <v>9</v>
      </c>
      <c r="B456">
        <v>2</v>
      </c>
    </row>
    <row r="457" spans="1:2" x14ac:dyDescent="0.25">
      <c r="A457" t="s">
        <v>9</v>
      </c>
      <c r="B457">
        <v>3</v>
      </c>
    </row>
    <row r="458" spans="1:2" x14ac:dyDescent="0.25">
      <c r="A458" t="s">
        <v>9</v>
      </c>
      <c r="B458">
        <v>3</v>
      </c>
    </row>
    <row r="459" spans="1:2" x14ac:dyDescent="0.25">
      <c r="A459" t="s">
        <v>9</v>
      </c>
      <c r="B459">
        <v>3</v>
      </c>
    </row>
    <row r="460" spans="1:2" x14ac:dyDescent="0.25">
      <c r="A460" t="s">
        <v>9</v>
      </c>
      <c r="B460">
        <v>3</v>
      </c>
    </row>
    <row r="461" spans="1:2" x14ac:dyDescent="0.25">
      <c r="A461" t="s">
        <v>9</v>
      </c>
      <c r="B461">
        <v>2</v>
      </c>
    </row>
    <row r="462" spans="1:2" x14ac:dyDescent="0.25">
      <c r="A462" t="s">
        <v>9</v>
      </c>
      <c r="B462">
        <v>3</v>
      </c>
    </row>
    <row r="463" spans="1:2" x14ac:dyDescent="0.25">
      <c r="A463" t="s">
        <v>9</v>
      </c>
      <c r="B463">
        <v>3</v>
      </c>
    </row>
    <row r="464" spans="1:2" x14ac:dyDescent="0.25">
      <c r="A464" t="s">
        <v>9</v>
      </c>
      <c r="B464">
        <v>3</v>
      </c>
    </row>
    <row r="465" spans="1:2" x14ac:dyDescent="0.25">
      <c r="A465" t="s">
        <v>9</v>
      </c>
      <c r="B465">
        <v>3</v>
      </c>
    </row>
    <row r="466" spans="1:2" x14ac:dyDescent="0.25">
      <c r="A466" t="s">
        <v>10</v>
      </c>
      <c r="B466">
        <v>2</v>
      </c>
    </row>
    <row r="467" spans="1:2" x14ac:dyDescent="0.25">
      <c r="A467" t="s">
        <v>9</v>
      </c>
      <c r="B467">
        <v>3</v>
      </c>
    </row>
    <row r="468" spans="1:2" x14ac:dyDescent="0.25">
      <c r="A468" t="s">
        <v>9</v>
      </c>
      <c r="B468">
        <v>3</v>
      </c>
    </row>
    <row r="469" spans="1:2" x14ac:dyDescent="0.25">
      <c r="A469" t="s">
        <v>9</v>
      </c>
      <c r="B469">
        <v>4</v>
      </c>
    </row>
    <row r="470" spans="1:2" x14ac:dyDescent="0.25">
      <c r="A470" t="s">
        <v>10</v>
      </c>
      <c r="B470">
        <v>1</v>
      </c>
    </row>
    <row r="471" spans="1:2" x14ac:dyDescent="0.25">
      <c r="A471" t="s">
        <v>9</v>
      </c>
      <c r="B471">
        <v>4</v>
      </c>
    </row>
    <row r="472" spans="1:2" x14ac:dyDescent="0.25">
      <c r="A472" t="s">
        <v>9</v>
      </c>
      <c r="B472">
        <v>3</v>
      </c>
    </row>
    <row r="473" spans="1:2" x14ac:dyDescent="0.25">
      <c r="A473" t="s">
        <v>10</v>
      </c>
      <c r="B473">
        <v>2</v>
      </c>
    </row>
    <row r="474" spans="1:2" x14ac:dyDescent="0.25">
      <c r="A474" t="s">
        <v>9</v>
      </c>
      <c r="B474">
        <v>3</v>
      </c>
    </row>
    <row r="475" spans="1:2" x14ac:dyDescent="0.25">
      <c r="A475" t="s">
        <v>9</v>
      </c>
      <c r="B475">
        <v>3</v>
      </c>
    </row>
    <row r="476" spans="1:2" x14ac:dyDescent="0.25">
      <c r="A476" t="s">
        <v>9</v>
      </c>
      <c r="B476">
        <v>3</v>
      </c>
    </row>
    <row r="477" spans="1:2" x14ac:dyDescent="0.25">
      <c r="A477" t="s">
        <v>9</v>
      </c>
      <c r="B477">
        <v>3</v>
      </c>
    </row>
    <row r="478" spans="1:2" x14ac:dyDescent="0.25">
      <c r="A478" t="s">
        <v>9</v>
      </c>
      <c r="B478">
        <v>2</v>
      </c>
    </row>
    <row r="479" spans="1:2" x14ac:dyDescent="0.25">
      <c r="A479" t="s">
        <v>9</v>
      </c>
      <c r="B479">
        <v>3</v>
      </c>
    </row>
    <row r="480" spans="1:2" x14ac:dyDescent="0.25">
      <c r="A480" t="s">
        <v>9</v>
      </c>
      <c r="B480">
        <v>3</v>
      </c>
    </row>
    <row r="481" spans="1:2" x14ac:dyDescent="0.25">
      <c r="A481" t="s">
        <v>9</v>
      </c>
      <c r="B481">
        <v>4</v>
      </c>
    </row>
    <row r="482" spans="1:2" x14ac:dyDescent="0.25">
      <c r="A482" t="s">
        <v>9</v>
      </c>
      <c r="B482">
        <v>3</v>
      </c>
    </row>
    <row r="483" spans="1:2" x14ac:dyDescent="0.25">
      <c r="A483" t="s">
        <v>9</v>
      </c>
      <c r="B483">
        <v>3</v>
      </c>
    </row>
    <row r="484" spans="1:2" x14ac:dyDescent="0.25">
      <c r="A484" t="s">
        <v>9</v>
      </c>
      <c r="B484">
        <v>2</v>
      </c>
    </row>
    <row r="485" spans="1:2" x14ac:dyDescent="0.25">
      <c r="A485" t="s">
        <v>9</v>
      </c>
      <c r="B485">
        <v>3</v>
      </c>
    </row>
    <row r="486" spans="1:2" x14ac:dyDescent="0.25">
      <c r="A486" t="s">
        <v>10</v>
      </c>
      <c r="B486">
        <v>3</v>
      </c>
    </row>
    <row r="487" spans="1:2" x14ac:dyDescent="0.25">
      <c r="A487" t="s">
        <v>10</v>
      </c>
      <c r="B487">
        <v>3</v>
      </c>
    </row>
    <row r="488" spans="1:2" x14ac:dyDescent="0.25">
      <c r="A488" t="s">
        <v>10</v>
      </c>
      <c r="B488">
        <v>3</v>
      </c>
    </row>
    <row r="489" spans="1:2" x14ac:dyDescent="0.25">
      <c r="A489" t="s">
        <v>9</v>
      </c>
      <c r="B489">
        <v>3</v>
      </c>
    </row>
    <row r="490" spans="1:2" x14ac:dyDescent="0.25">
      <c r="A490" t="s">
        <v>10</v>
      </c>
      <c r="B490">
        <v>2</v>
      </c>
    </row>
    <row r="491" spans="1:2" x14ac:dyDescent="0.25">
      <c r="A491" t="s">
        <v>9</v>
      </c>
      <c r="B491">
        <v>3</v>
      </c>
    </row>
    <row r="492" spans="1:2" x14ac:dyDescent="0.25">
      <c r="A492" t="s">
        <v>9</v>
      </c>
      <c r="B492">
        <v>3</v>
      </c>
    </row>
    <row r="493" spans="1:2" x14ac:dyDescent="0.25">
      <c r="A493" t="s">
        <v>9</v>
      </c>
      <c r="B493">
        <v>3</v>
      </c>
    </row>
    <row r="494" spans="1:2" x14ac:dyDescent="0.25">
      <c r="A494" t="s">
        <v>9</v>
      </c>
      <c r="B494">
        <v>2</v>
      </c>
    </row>
    <row r="495" spans="1:2" x14ac:dyDescent="0.25">
      <c r="A495" t="s">
        <v>9</v>
      </c>
      <c r="B495">
        <v>2</v>
      </c>
    </row>
    <row r="496" spans="1:2" x14ac:dyDescent="0.25">
      <c r="A496" t="s">
        <v>9</v>
      </c>
      <c r="B496">
        <v>2</v>
      </c>
    </row>
    <row r="497" spans="1:2" x14ac:dyDescent="0.25">
      <c r="A497" t="s">
        <v>9</v>
      </c>
      <c r="B497">
        <v>3</v>
      </c>
    </row>
    <row r="498" spans="1:2" x14ac:dyDescent="0.25">
      <c r="A498" t="s">
        <v>9</v>
      </c>
      <c r="B498">
        <v>3</v>
      </c>
    </row>
    <row r="499" spans="1:2" x14ac:dyDescent="0.25">
      <c r="A499" t="s">
        <v>9</v>
      </c>
      <c r="B499">
        <v>3</v>
      </c>
    </row>
    <row r="500" spans="1:2" x14ac:dyDescent="0.25">
      <c r="A500" t="s">
        <v>9</v>
      </c>
      <c r="B500">
        <v>3</v>
      </c>
    </row>
    <row r="501" spans="1:2" x14ac:dyDescent="0.25">
      <c r="A501" t="s">
        <v>9</v>
      </c>
      <c r="B501">
        <v>1</v>
      </c>
    </row>
    <row r="502" spans="1:2" x14ac:dyDescent="0.25">
      <c r="A502" t="s">
        <v>10</v>
      </c>
      <c r="B502">
        <v>2</v>
      </c>
    </row>
    <row r="503" spans="1:2" x14ac:dyDescent="0.25">
      <c r="A503" t="s">
        <v>10</v>
      </c>
      <c r="B503">
        <v>2</v>
      </c>
    </row>
    <row r="504" spans="1:2" x14ac:dyDescent="0.25">
      <c r="A504" t="s">
        <v>10</v>
      </c>
      <c r="B504">
        <v>3</v>
      </c>
    </row>
    <row r="505" spans="1:2" x14ac:dyDescent="0.25">
      <c r="A505" t="s">
        <v>9</v>
      </c>
      <c r="B505">
        <v>4</v>
      </c>
    </row>
    <row r="506" spans="1:2" x14ac:dyDescent="0.25">
      <c r="A506" t="s">
        <v>9</v>
      </c>
      <c r="B506">
        <v>3</v>
      </c>
    </row>
    <row r="507" spans="1:2" x14ac:dyDescent="0.25">
      <c r="A507" t="s">
        <v>9</v>
      </c>
      <c r="B507">
        <v>2</v>
      </c>
    </row>
    <row r="508" spans="1:2" x14ac:dyDescent="0.25">
      <c r="A508" t="s">
        <v>10</v>
      </c>
      <c r="B508">
        <v>3</v>
      </c>
    </row>
    <row r="509" spans="1:2" x14ac:dyDescent="0.25">
      <c r="A509" t="s">
        <v>9</v>
      </c>
      <c r="B509">
        <v>3</v>
      </c>
    </row>
    <row r="510" spans="1:2" x14ac:dyDescent="0.25">
      <c r="A510" t="s">
        <v>9</v>
      </c>
      <c r="B510">
        <v>3</v>
      </c>
    </row>
    <row r="511" spans="1:2" x14ac:dyDescent="0.25">
      <c r="A511" t="s">
        <v>10</v>
      </c>
      <c r="B511">
        <v>3</v>
      </c>
    </row>
    <row r="512" spans="1:2" x14ac:dyDescent="0.25">
      <c r="A512" t="s">
        <v>9</v>
      </c>
      <c r="B512">
        <v>3</v>
      </c>
    </row>
    <row r="513" spans="1:2" x14ac:dyDescent="0.25">
      <c r="A513" t="s">
        <v>9</v>
      </c>
      <c r="B513">
        <v>3</v>
      </c>
    </row>
    <row r="514" spans="1:2" x14ac:dyDescent="0.25">
      <c r="A514" t="s">
        <v>9</v>
      </c>
      <c r="B514">
        <v>3</v>
      </c>
    </row>
    <row r="515" spans="1:2" x14ac:dyDescent="0.25">
      <c r="A515" t="s">
        <v>9</v>
      </c>
      <c r="B515">
        <v>3</v>
      </c>
    </row>
    <row r="516" spans="1:2" x14ac:dyDescent="0.25">
      <c r="A516" t="s">
        <v>9</v>
      </c>
      <c r="B516">
        <v>3</v>
      </c>
    </row>
    <row r="517" spans="1:2" x14ac:dyDescent="0.25">
      <c r="A517" t="s">
        <v>9</v>
      </c>
      <c r="B517">
        <v>1</v>
      </c>
    </row>
    <row r="518" spans="1:2" x14ac:dyDescent="0.25">
      <c r="A518" t="s">
        <v>10</v>
      </c>
      <c r="B518">
        <v>2</v>
      </c>
    </row>
    <row r="519" spans="1:2" x14ac:dyDescent="0.25">
      <c r="A519" t="s">
        <v>9</v>
      </c>
      <c r="B519">
        <v>3</v>
      </c>
    </row>
    <row r="520" spans="1:2" x14ac:dyDescent="0.25">
      <c r="A520" t="s">
        <v>9</v>
      </c>
      <c r="B520">
        <v>2</v>
      </c>
    </row>
    <row r="521" spans="1:2" x14ac:dyDescent="0.25">
      <c r="A521" t="s">
        <v>10</v>
      </c>
      <c r="B521">
        <v>3</v>
      </c>
    </row>
    <row r="522" spans="1:2" x14ac:dyDescent="0.25">
      <c r="A522" t="s">
        <v>9</v>
      </c>
      <c r="B522">
        <v>2</v>
      </c>
    </row>
    <row r="523" spans="1:2" x14ac:dyDescent="0.25">
      <c r="A523" t="s">
        <v>10</v>
      </c>
      <c r="B523">
        <v>3</v>
      </c>
    </row>
    <row r="524" spans="1:2" x14ac:dyDescent="0.25">
      <c r="A524" t="s">
        <v>9</v>
      </c>
      <c r="B524">
        <v>3</v>
      </c>
    </row>
    <row r="525" spans="1:2" x14ac:dyDescent="0.25">
      <c r="A525" t="s">
        <v>9</v>
      </c>
      <c r="B525">
        <v>2</v>
      </c>
    </row>
    <row r="526" spans="1:2" x14ac:dyDescent="0.25">
      <c r="A526" t="s">
        <v>9</v>
      </c>
      <c r="B526">
        <v>2</v>
      </c>
    </row>
    <row r="527" spans="1:2" x14ac:dyDescent="0.25">
      <c r="A527" t="s">
        <v>9</v>
      </c>
      <c r="B527">
        <v>2</v>
      </c>
    </row>
    <row r="528" spans="1:2" x14ac:dyDescent="0.25">
      <c r="A528" t="s">
        <v>9</v>
      </c>
      <c r="B528">
        <v>3</v>
      </c>
    </row>
    <row r="529" spans="1:2" x14ac:dyDescent="0.25">
      <c r="A529" t="s">
        <v>9</v>
      </c>
      <c r="B529">
        <v>3</v>
      </c>
    </row>
    <row r="530" spans="1:2" x14ac:dyDescent="0.25">
      <c r="A530" t="s">
        <v>9</v>
      </c>
      <c r="B530">
        <v>2</v>
      </c>
    </row>
    <row r="531" spans="1:2" x14ac:dyDescent="0.25">
      <c r="A531" t="s">
        <v>10</v>
      </c>
      <c r="B531">
        <v>3</v>
      </c>
    </row>
    <row r="532" spans="1:2" x14ac:dyDescent="0.25">
      <c r="A532" t="s">
        <v>9</v>
      </c>
      <c r="B532">
        <v>2</v>
      </c>
    </row>
    <row r="533" spans="1:2" x14ac:dyDescent="0.25">
      <c r="A533" t="s">
        <v>9</v>
      </c>
      <c r="B533">
        <v>3</v>
      </c>
    </row>
    <row r="534" spans="1:2" x14ac:dyDescent="0.25">
      <c r="A534" t="s">
        <v>9</v>
      </c>
      <c r="B534">
        <v>4</v>
      </c>
    </row>
    <row r="535" spans="1:2" x14ac:dyDescent="0.25">
      <c r="A535" t="s">
        <v>9</v>
      </c>
      <c r="B535">
        <v>3</v>
      </c>
    </row>
    <row r="536" spans="1:2" x14ac:dyDescent="0.25">
      <c r="A536" t="s">
        <v>10</v>
      </c>
      <c r="B536">
        <v>1</v>
      </c>
    </row>
    <row r="537" spans="1:2" x14ac:dyDescent="0.25">
      <c r="A537" t="s">
        <v>9</v>
      </c>
      <c r="B537">
        <v>4</v>
      </c>
    </row>
    <row r="538" spans="1:2" x14ac:dyDescent="0.25">
      <c r="A538" t="s">
        <v>9</v>
      </c>
      <c r="B538">
        <v>3</v>
      </c>
    </row>
    <row r="539" spans="1:2" x14ac:dyDescent="0.25">
      <c r="A539" t="s">
        <v>9</v>
      </c>
      <c r="B539">
        <v>3</v>
      </c>
    </row>
    <row r="540" spans="1:2" x14ac:dyDescent="0.25">
      <c r="A540" t="s">
        <v>10</v>
      </c>
      <c r="B540">
        <v>3</v>
      </c>
    </row>
    <row r="541" spans="1:2" x14ac:dyDescent="0.25">
      <c r="A541" t="s">
        <v>9</v>
      </c>
      <c r="B541">
        <v>3</v>
      </c>
    </row>
    <row r="542" spans="1:2" x14ac:dyDescent="0.25">
      <c r="A542" t="s">
        <v>9</v>
      </c>
      <c r="B542">
        <v>3</v>
      </c>
    </row>
    <row r="543" spans="1:2" x14ac:dyDescent="0.25">
      <c r="A543" t="s">
        <v>9</v>
      </c>
      <c r="B543">
        <v>4</v>
      </c>
    </row>
    <row r="544" spans="1:2" x14ac:dyDescent="0.25">
      <c r="A544" t="s">
        <v>9</v>
      </c>
      <c r="B544">
        <v>2</v>
      </c>
    </row>
    <row r="545" spans="1:2" x14ac:dyDescent="0.25">
      <c r="A545" t="s">
        <v>9</v>
      </c>
      <c r="B545">
        <v>3</v>
      </c>
    </row>
    <row r="546" spans="1:2" x14ac:dyDescent="0.25">
      <c r="A546" t="s">
        <v>9</v>
      </c>
      <c r="B546">
        <v>2</v>
      </c>
    </row>
    <row r="547" spans="1:2" x14ac:dyDescent="0.25">
      <c r="A547" t="s">
        <v>9</v>
      </c>
      <c r="B547">
        <v>2</v>
      </c>
    </row>
    <row r="548" spans="1:2" x14ac:dyDescent="0.25">
      <c r="A548" t="s">
        <v>9</v>
      </c>
      <c r="B548">
        <v>3</v>
      </c>
    </row>
    <row r="549" spans="1:2" x14ac:dyDescent="0.25">
      <c r="A549" t="s">
        <v>9</v>
      </c>
      <c r="B549">
        <v>2</v>
      </c>
    </row>
    <row r="550" spans="1:2" x14ac:dyDescent="0.25">
      <c r="A550" t="s">
        <v>9</v>
      </c>
      <c r="B550">
        <v>2</v>
      </c>
    </row>
    <row r="551" spans="1:2" x14ac:dyDescent="0.25">
      <c r="A551" t="s">
        <v>9</v>
      </c>
      <c r="B551">
        <v>3</v>
      </c>
    </row>
    <row r="552" spans="1:2" x14ac:dyDescent="0.25">
      <c r="A552" t="s">
        <v>9</v>
      </c>
      <c r="B552">
        <v>2</v>
      </c>
    </row>
    <row r="553" spans="1:2" x14ac:dyDescent="0.25">
      <c r="A553" t="s">
        <v>9</v>
      </c>
      <c r="B553">
        <v>2</v>
      </c>
    </row>
    <row r="554" spans="1:2" x14ac:dyDescent="0.25">
      <c r="A554" t="s">
        <v>9</v>
      </c>
      <c r="B554">
        <v>2</v>
      </c>
    </row>
    <row r="555" spans="1:2" x14ac:dyDescent="0.25">
      <c r="A555" t="s">
        <v>9</v>
      </c>
      <c r="B555">
        <v>3</v>
      </c>
    </row>
    <row r="556" spans="1:2" x14ac:dyDescent="0.25">
      <c r="A556" t="s">
        <v>9</v>
      </c>
      <c r="B556">
        <v>2</v>
      </c>
    </row>
    <row r="557" spans="1:2" x14ac:dyDescent="0.25">
      <c r="A557" t="s">
        <v>9</v>
      </c>
      <c r="B557">
        <v>3</v>
      </c>
    </row>
    <row r="558" spans="1:2" x14ac:dyDescent="0.25">
      <c r="A558" t="s">
        <v>9</v>
      </c>
      <c r="B558">
        <v>3</v>
      </c>
    </row>
    <row r="559" spans="1:2" x14ac:dyDescent="0.25">
      <c r="A559" t="s">
        <v>9</v>
      </c>
      <c r="B559">
        <v>2</v>
      </c>
    </row>
    <row r="560" spans="1:2" x14ac:dyDescent="0.25">
      <c r="A560" t="s">
        <v>9</v>
      </c>
      <c r="B560">
        <v>3</v>
      </c>
    </row>
    <row r="561" spans="1:2" x14ac:dyDescent="0.25">
      <c r="A561" t="s">
        <v>9</v>
      </c>
      <c r="B561">
        <v>3</v>
      </c>
    </row>
    <row r="562" spans="1:2" x14ac:dyDescent="0.25">
      <c r="A562" t="s">
        <v>9</v>
      </c>
      <c r="B562">
        <v>3</v>
      </c>
    </row>
    <row r="563" spans="1:2" x14ac:dyDescent="0.25">
      <c r="A563" t="s">
        <v>9</v>
      </c>
      <c r="B563">
        <v>3</v>
      </c>
    </row>
    <row r="564" spans="1:2" x14ac:dyDescent="0.25">
      <c r="A564" t="s">
        <v>9</v>
      </c>
      <c r="B564">
        <v>3</v>
      </c>
    </row>
    <row r="565" spans="1:2" x14ac:dyDescent="0.25">
      <c r="A565" t="s">
        <v>9</v>
      </c>
      <c r="B565">
        <v>3</v>
      </c>
    </row>
    <row r="566" spans="1:2" x14ac:dyDescent="0.25">
      <c r="A566" t="s">
        <v>9</v>
      </c>
      <c r="B566">
        <v>1</v>
      </c>
    </row>
    <row r="567" spans="1:2" x14ac:dyDescent="0.25">
      <c r="A567" t="s">
        <v>9</v>
      </c>
      <c r="B567">
        <v>3</v>
      </c>
    </row>
    <row r="568" spans="1:2" x14ac:dyDescent="0.25">
      <c r="A568" t="s">
        <v>9</v>
      </c>
      <c r="B568">
        <v>2</v>
      </c>
    </row>
    <row r="569" spans="1:2" x14ac:dyDescent="0.25">
      <c r="A569" t="s">
        <v>10</v>
      </c>
      <c r="B569">
        <v>2</v>
      </c>
    </row>
    <row r="570" spans="1:2" x14ac:dyDescent="0.25">
      <c r="A570" t="s">
        <v>9</v>
      </c>
      <c r="B570">
        <v>2</v>
      </c>
    </row>
    <row r="571" spans="1:2" x14ac:dyDescent="0.25">
      <c r="A571" t="s">
        <v>9</v>
      </c>
      <c r="B571">
        <v>3</v>
      </c>
    </row>
    <row r="572" spans="1:2" x14ac:dyDescent="0.25">
      <c r="A572" t="s">
        <v>9</v>
      </c>
      <c r="B572">
        <v>3</v>
      </c>
    </row>
    <row r="573" spans="1:2" x14ac:dyDescent="0.25">
      <c r="A573" t="s">
        <v>10</v>
      </c>
      <c r="B573">
        <v>3</v>
      </c>
    </row>
    <row r="574" spans="1:2" x14ac:dyDescent="0.25">
      <c r="A574" t="s">
        <v>9</v>
      </c>
      <c r="B574">
        <v>2</v>
      </c>
    </row>
    <row r="575" spans="1:2" x14ac:dyDescent="0.25">
      <c r="A575" t="s">
        <v>9</v>
      </c>
      <c r="B575">
        <v>4</v>
      </c>
    </row>
    <row r="576" spans="1:2" x14ac:dyDescent="0.25">
      <c r="A576" t="s">
        <v>9</v>
      </c>
      <c r="B576">
        <v>3</v>
      </c>
    </row>
    <row r="577" spans="1:2" x14ac:dyDescent="0.25">
      <c r="A577" t="s">
        <v>9</v>
      </c>
      <c r="B577">
        <v>2</v>
      </c>
    </row>
    <row r="578" spans="1:2" x14ac:dyDescent="0.25">
      <c r="A578" t="s">
        <v>9</v>
      </c>
      <c r="B578">
        <v>2</v>
      </c>
    </row>
    <row r="579" spans="1:2" x14ac:dyDescent="0.25">
      <c r="A579" t="s">
        <v>9</v>
      </c>
      <c r="B579">
        <v>2</v>
      </c>
    </row>
    <row r="580" spans="1:2" x14ac:dyDescent="0.25">
      <c r="A580" t="s">
        <v>9</v>
      </c>
      <c r="B580">
        <v>3</v>
      </c>
    </row>
    <row r="581" spans="1:2" x14ac:dyDescent="0.25">
      <c r="A581" t="s">
        <v>9</v>
      </c>
      <c r="B581">
        <v>3</v>
      </c>
    </row>
    <row r="582" spans="1:2" x14ac:dyDescent="0.25">
      <c r="A582" t="s">
        <v>9</v>
      </c>
      <c r="B582">
        <v>3</v>
      </c>
    </row>
    <row r="583" spans="1:2" x14ac:dyDescent="0.25">
      <c r="A583" t="s">
        <v>9</v>
      </c>
      <c r="B583">
        <v>3</v>
      </c>
    </row>
    <row r="584" spans="1:2" x14ac:dyDescent="0.25">
      <c r="A584" t="s">
        <v>9</v>
      </c>
      <c r="B584">
        <v>1</v>
      </c>
    </row>
    <row r="585" spans="1:2" x14ac:dyDescent="0.25">
      <c r="A585" t="s">
        <v>9</v>
      </c>
      <c r="B585">
        <v>3</v>
      </c>
    </row>
    <row r="586" spans="1:2" x14ac:dyDescent="0.25">
      <c r="A586" t="s">
        <v>9</v>
      </c>
      <c r="B586">
        <v>3</v>
      </c>
    </row>
    <row r="587" spans="1:2" x14ac:dyDescent="0.25">
      <c r="A587" t="s">
        <v>9</v>
      </c>
      <c r="B587">
        <v>3</v>
      </c>
    </row>
    <row r="588" spans="1:2" x14ac:dyDescent="0.25">
      <c r="A588" t="s">
        <v>9</v>
      </c>
      <c r="B588">
        <v>1</v>
      </c>
    </row>
    <row r="589" spans="1:2" x14ac:dyDescent="0.25">
      <c r="A589" t="s">
        <v>10</v>
      </c>
      <c r="B589">
        <v>2</v>
      </c>
    </row>
    <row r="590" spans="1:2" x14ac:dyDescent="0.25">
      <c r="A590" t="s">
        <v>9</v>
      </c>
      <c r="B590">
        <v>3</v>
      </c>
    </row>
    <row r="591" spans="1:2" x14ac:dyDescent="0.25">
      <c r="A591" t="s">
        <v>9</v>
      </c>
      <c r="B591">
        <v>3</v>
      </c>
    </row>
    <row r="592" spans="1:2" x14ac:dyDescent="0.25">
      <c r="A592" t="s">
        <v>9</v>
      </c>
      <c r="B592">
        <v>2</v>
      </c>
    </row>
    <row r="593" spans="1:2" x14ac:dyDescent="0.25">
      <c r="A593" t="s">
        <v>10</v>
      </c>
      <c r="B593">
        <v>2</v>
      </c>
    </row>
    <row r="594" spans="1:2" x14ac:dyDescent="0.25">
      <c r="A594" t="s">
        <v>10</v>
      </c>
      <c r="B594">
        <v>3</v>
      </c>
    </row>
    <row r="595" spans="1:2" x14ac:dyDescent="0.25">
      <c r="A595" t="s">
        <v>9</v>
      </c>
      <c r="B595">
        <v>3</v>
      </c>
    </row>
    <row r="596" spans="1:2" x14ac:dyDescent="0.25">
      <c r="A596" t="s">
        <v>9</v>
      </c>
      <c r="B596">
        <v>2</v>
      </c>
    </row>
    <row r="597" spans="1:2" x14ac:dyDescent="0.25">
      <c r="A597" t="s">
        <v>9</v>
      </c>
      <c r="B597">
        <v>4</v>
      </c>
    </row>
    <row r="598" spans="1:2" x14ac:dyDescent="0.25">
      <c r="A598" t="s">
        <v>9</v>
      </c>
      <c r="B598">
        <v>2</v>
      </c>
    </row>
    <row r="599" spans="1:2" x14ac:dyDescent="0.25">
      <c r="A599" t="s">
        <v>9</v>
      </c>
      <c r="B599">
        <v>2</v>
      </c>
    </row>
    <row r="600" spans="1:2" x14ac:dyDescent="0.25">
      <c r="A600" t="s">
        <v>9</v>
      </c>
      <c r="B600">
        <v>4</v>
      </c>
    </row>
    <row r="601" spans="1:2" x14ac:dyDescent="0.25">
      <c r="A601" t="s">
        <v>10</v>
      </c>
      <c r="B601">
        <v>3</v>
      </c>
    </row>
    <row r="602" spans="1:2" x14ac:dyDescent="0.25">
      <c r="A602" t="s">
        <v>9</v>
      </c>
      <c r="B602">
        <v>3</v>
      </c>
    </row>
    <row r="603" spans="1:2" x14ac:dyDescent="0.25">
      <c r="A603" t="s">
        <v>9</v>
      </c>
      <c r="B603">
        <v>3</v>
      </c>
    </row>
    <row r="604" spans="1:2" x14ac:dyDescent="0.25">
      <c r="A604" t="s">
        <v>9</v>
      </c>
      <c r="B604">
        <v>4</v>
      </c>
    </row>
    <row r="605" spans="1:2" x14ac:dyDescent="0.25">
      <c r="A605" t="s">
        <v>9</v>
      </c>
      <c r="B605">
        <v>3</v>
      </c>
    </row>
    <row r="606" spans="1:2" x14ac:dyDescent="0.25">
      <c r="A606" t="s">
        <v>10</v>
      </c>
      <c r="B606">
        <v>1</v>
      </c>
    </row>
    <row r="607" spans="1:2" x14ac:dyDescent="0.25">
      <c r="A607" t="s">
        <v>9</v>
      </c>
      <c r="B607">
        <v>4</v>
      </c>
    </row>
    <row r="608" spans="1:2" x14ac:dyDescent="0.25">
      <c r="A608" t="s">
        <v>9</v>
      </c>
      <c r="B608">
        <v>2</v>
      </c>
    </row>
    <row r="609" spans="1:2" x14ac:dyDescent="0.25">
      <c r="A609" t="s">
        <v>9</v>
      </c>
      <c r="B609">
        <v>4</v>
      </c>
    </row>
    <row r="610" spans="1:2" x14ac:dyDescent="0.25">
      <c r="A610" t="s">
        <v>9</v>
      </c>
      <c r="B610">
        <v>4</v>
      </c>
    </row>
    <row r="611" spans="1:2" x14ac:dyDescent="0.25">
      <c r="A611" t="s">
        <v>9</v>
      </c>
      <c r="B611">
        <v>2</v>
      </c>
    </row>
    <row r="612" spans="1:2" x14ac:dyDescent="0.25">
      <c r="A612" t="s">
        <v>9</v>
      </c>
      <c r="B612">
        <v>2</v>
      </c>
    </row>
    <row r="613" spans="1:2" x14ac:dyDescent="0.25">
      <c r="A613" t="s">
        <v>9</v>
      </c>
      <c r="B613">
        <v>2</v>
      </c>
    </row>
    <row r="614" spans="1:2" x14ac:dyDescent="0.25">
      <c r="A614" t="s">
        <v>10</v>
      </c>
      <c r="B614">
        <v>3</v>
      </c>
    </row>
    <row r="615" spans="1:2" x14ac:dyDescent="0.25">
      <c r="A615" t="s">
        <v>10</v>
      </c>
      <c r="B615">
        <v>2</v>
      </c>
    </row>
    <row r="616" spans="1:2" x14ac:dyDescent="0.25">
      <c r="A616" t="s">
        <v>9</v>
      </c>
      <c r="B616">
        <v>3</v>
      </c>
    </row>
    <row r="617" spans="1:2" x14ac:dyDescent="0.25">
      <c r="A617" t="s">
        <v>9</v>
      </c>
      <c r="B617">
        <v>2</v>
      </c>
    </row>
    <row r="618" spans="1:2" x14ac:dyDescent="0.25">
      <c r="A618" t="s">
        <v>9</v>
      </c>
      <c r="B618">
        <v>2</v>
      </c>
    </row>
    <row r="619" spans="1:2" x14ac:dyDescent="0.25">
      <c r="A619" t="s">
        <v>9</v>
      </c>
      <c r="B619">
        <v>3</v>
      </c>
    </row>
    <row r="620" spans="1:2" x14ac:dyDescent="0.25">
      <c r="A620" t="s">
        <v>9</v>
      </c>
      <c r="B620">
        <v>2</v>
      </c>
    </row>
    <row r="621" spans="1:2" x14ac:dyDescent="0.25">
      <c r="A621" t="s">
        <v>9</v>
      </c>
      <c r="B621">
        <v>2</v>
      </c>
    </row>
    <row r="622" spans="1:2" x14ac:dyDescent="0.25">
      <c r="A622" t="s">
        <v>10</v>
      </c>
      <c r="B622">
        <v>2</v>
      </c>
    </row>
    <row r="623" spans="1:2" x14ac:dyDescent="0.25">
      <c r="A623" t="s">
        <v>9</v>
      </c>
      <c r="B623">
        <v>4</v>
      </c>
    </row>
    <row r="624" spans="1:2" x14ac:dyDescent="0.25">
      <c r="A624" t="s">
        <v>9</v>
      </c>
      <c r="B624">
        <v>4</v>
      </c>
    </row>
    <row r="625" spans="1:2" x14ac:dyDescent="0.25">
      <c r="A625" t="s">
        <v>9</v>
      </c>
      <c r="B625">
        <v>3</v>
      </c>
    </row>
    <row r="626" spans="1:2" x14ac:dyDescent="0.25">
      <c r="A626" t="s">
        <v>10</v>
      </c>
      <c r="B626">
        <v>2</v>
      </c>
    </row>
    <row r="627" spans="1:2" x14ac:dyDescent="0.25">
      <c r="A627" t="s">
        <v>9</v>
      </c>
      <c r="B627">
        <v>3</v>
      </c>
    </row>
    <row r="628" spans="1:2" x14ac:dyDescent="0.25">
      <c r="A628" t="s">
        <v>9</v>
      </c>
      <c r="B628">
        <v>3</v>
      </c>
    </row>
    <row r="629" spans="1:2" x14ac:dyDescent="0.25">
      <c r="A629" t="s">
        <v>9</v>
      </c>
      <c r="B629">
        <v>2</v>
      </c>
    </row>
    <row r="630" spans="1:2" x14ac:dyDescent="0.25">
      <c r="A630" t="s">
        <v>9</v>
      </c>
      <c r="B630">
        <v>3</v>
      </c>
    </row>
    <row r="631" spans="1:2" x14ac:dyDescent="0.25">
      <c r="A631" t="s">
        <v>9</v>
      </c>
      <c r="B631">
        <v>2</v>
      </c>
    </row>
    <row r="632" spans="1:2" x14ac:dyDescent="0.25">
      <c r="A632" t="s">
        <v>9</v>
      </c>
      <c r="B632">
        <v>2</v>
      </c>
    </row>
    <row r="633" spans="1:2" x14ac:dyDescent="0.25">
      <c r="A633" t="s">
        <v>9</v>
      </c>
      <c r="B633">
        <v>3</v>
      </c>
    </row>
    <row r="634" spans="1:2" x14ac:dyDescent="0.25">
      <c r="A634" t="s">
        <v>9</v>
      </c>
      <c r="B634">
        <v>3</v>
      </c>
    </row>
    <row r="635" spans="1:2" x14ac:dyDescent="0.25">
      <c r="A635" t="s">
        <v>9</v>
      </c>
      <c r="B635">
        <v>3</v>
      </c>
    </row>
    <row r="636" spans="1:2" x14ac:dyDescent="0.25">
      <c r="A636" t="s">
        <v>9</v>
      </c>
      <c r="B636">
        <v>3</v>
      </c>
    </row>
    <row r="637" spans="1:2" x14ac:dyDescent="0.25">
      <c r="A637" t="s">
        <v>9</v>
      </c>
      <c r="B637">
        <v>2</v>
      </c>
    </row>
    <row r="638" spans="1:2" x14ac:dyDescent="0.25">
      <c r="A638" t="s">
        <v>9</v>
      </c>
      <c r="B638">
        <v>3</v>
      </c>
    </row>
    <row r="639" spans="1:2" x14ac:dyDescent="0.25">
      <c r="A639" t="s">
        <v>9</v>
      </c>
      <c r="B639">
        <v>3</v>
      </c>
    </row>
    <row r="640" spans="1:2" x14ac:dyDescent="0.25">
      <c r="A640" t="s">
        <v>9</v>
      </c>
      <c r="B640">
        <v>4</v>
      </c>
    </row>
    <row r="641" spans="1:2" x14ac:dyDescent="0.25">
      <c r="A641" t="s">
        <v>10</v>
      </c>
      <c r="B641">
        <v>3</v>
      </c>
    </row>
    <row r="642" spans="1:2" x14ac:dyDescent="0.25">
      <c r="A642" t="s">
        <v>9</v>
      </c>
      <c r="B642">
        <v>3</v>
      </c>
    </row>
    <row r="643" spans="1:2" x14ac:dyDescent="0.25">
      <c r="A643" t="s">
        <v>9</v>
      </c>
      <c r="B643">
        <v>3</v>
      </c>
    </row>
    <row r="644" spans="1:2" x14ac:dyDescent="0.25">
      <c r="A644" t="s">
        <v>9</v>
      </c>
      <c r="B644">
        <v>2</v>
      </c>
    </row>
    <row r="645" spans="1:2" x14ac:dyDescent="0.25">
      <c r="A645" t="s">
        <v>10</v>
      </c>
      <c r="B645">
        <v>1</v>
      </c>
    </row>
    <row r="646" spans="1:2" x14ac:dyDescent="0.25">
      <c r="A646" t="s">
        <v>10</v>
      </c>
      <c r="B646">
        <v>2</v>
      </c>
    </row>
    <row r="647" spans="1:2" x14ac:dyDescent="0.25">
      <c r="A647" t="s">
        <v>9</v>
      </c>
      <c r="B647">
        <v>2</v>
      </c>
    </row>
    <row r="648" spans="1:2" x14ac:dyDescent="0.25">
      <c r="A648" t="s">
        <v>10</v>
      </c>
      <c r="B648">
        <v>3</v>
      </c>
    </row>
    <row r="649" spans="1:2" x14ac:dyDescent="0.25">
      <c r="A649" t="s">
        <v>9</v>
      </c>
      <c r="B649">
        <v>1</v>
      </c>
    </row>
    <row r="650" spans="1:2" x14ac:dyDescent="0.25">
      <c r="A650" t="s">
        <v>9</v>
      </c>
      <c r="B650">
        <v>2</v>
      </c>
    </row>
    <row r="651" spans="1:2" x14ac:dyDescent="0.25">
      <c r="A651" t="s">
        <v>10</v>
      </c>
      <c r="B651">
        <v>3</v>
      </c>
    </row>
    <row r="652" spans="1:2" x14ac:dyDescent="0.25">
      <c r="A652" t="s">
        <v>9</v>
      </c>
      <c r="B652">
        <v>2</v>
      </c>
    </row>
    <row r="653" spans="1:2" x14ac:dyDescent="0.25">
      <c r="A653" t="s">
        <v>9</v>
      </c>
      <c r="B653">
        <v>4</v>
      </c>
    </row>
    <row r="654" spans="1:2" x14ac:dyDescent="0.25">
      <c r="A654" t="s">
        <v>9</v>
      </c>
      <c r="B654">
        <v>3</v>
      </c>
    </row>
    <row r="655" spans="1:2" x14ac:dyDescent="0.25">
      <c r="A655" t="s">
        <v>9</v>
      </c>
      <c r="B655">
        <v>3</v>
      </c>
    </row>
    <row r="656" spans="1:2" x14ac:dyDescent="0.25">
      <c r="A656" t="s">
        <v>10</v>
      </c>
      <c r="B656">
        <v>2</v>
      </c>
    </row>
    <row r="657" spans="1:2" x14ac:dyDescent="0.25">
      <c r="A657" t="s">
        <v>9</v>
      </c>
      <c r="B657">
        <v>3</v>
      </c>
    </row>
    <row r="658" spans="1:2" x14ac:dyDescent="0.25">
      <c r="A658" t="s">
        <v>9</v>
      </c>
      <c r="B658">
        <v>2</v>
      </c>
    </row>
    <row r="659" spans="1:2" x14ac:dyDescent="0.25">
      <c r="A659" t="s">
        <v>9</v>
      </c>
      <c r="B659">
        <v>3</v>
      </c>
    </row>
    <row r="660" spans="1:2" x14ac:dyDescent="0.25">
      <c r="A660" t="s">
        <v>9</v>
      </c>
      <c r="B660">
        <v>2</v>
      </c>
    </row>
    <row r="661" spans="1:2" x14ac:dyDescent="0.25">
      <c r="A661" t="s">
        <v>9</v>
      </c>
      <c r="B661">
        <v>2</v>
      </c>
    </row>
    <row r="662" spans="1:2" x14ac:dyDescent="0.25">
      <c r="A662" t="s">
        <v>9</v>
      </c>
      <c r="B662">
        <v>3</v>
      </c>
    </row>
    <row r="663" spans="1:2" x14ac:dyDescent="0.25">
      <c r="A663" t="s">
        <v>9</v>
      </c>
      <c r="B663">
        <v>2</v>
      </c>
    </row>
    <row r="664" spans="1:2" x14ac:dyDescent="0.25">
      <c r="A664" t="s">
        <v>9</v>
      </c>
      <c r="B664">
        <v>3</v>
      </c>
    </row>
    <row r="665" spans="1:2" x14ac:dyDescent="0.25">
      <c r="A665" t="s">
        <v>9</v>
      </c>
      <c r="B665">
        <v>3</v>
      </c>
    </row>
    <row r="666" spans="1:2" x14ac:dyDescent="0.25">
      <c r="A666" t="s">
        <v>9</v>
      </c>
      <c r="B666">
        <v>3</v>
      </c>
    </row>
    <row r="667" spans="1:2" x14ac:dyDescent="0.25">
      <c r="A667" t="s">
        <v>9</v>
      </c>
      <c r="B667">
        <v>4</v>
      </c>
    </row>
    <row r="668" spans="1:2" x14ac:dyDescent="0.25">
      <c r="A668" t="s">
        <v>9</v>
      </c>
      <c r="B668">
        <v>3</v>
      </c>
    </row>
    <row r="669" spans="1:2" x14ac:dyDescent="0.25">
      <c r="A669" t="s">
        <v>10</v>
      </c>
      <c r="B669">
        <v>1</v>
      </c>
    </row>
    <row r="670" spans="1:2" x14ac:dyDescent="0.25">
      <c r="A670" t="s">
        <v>10</v>
      </c>
      <c r="B670">
        <v>3</v>
      </c>
    </row>
    <row r="671" spans="1:2" x14ac:dyDescent="0.25">
      <c r="A671" t="s">
        <v>9</v>
      </c>
      <c r="B671">
        <v>3</v>
      </c>
    </row>
    <row r="672" spans="1:2" x14ac:dyDescent="0.25">
      <c r="A672" t="s">
        <v>9</v>
      </c>
      <c r="B672">
        <v>3</v>
      </c>
    </row>
    <row r="673" spans="1:2" x14ac:dyDescent="0.25">
      <c r="A673" t="s">
        <v>9</v>
      </c>
      <c r="B673">
        <v>3</v>
      </c>
    </row>
    <row r="674" spans="1:2" x14ac:dyDescent="0.25">
      <c r="A674" t="s">
        <v>9</v>
      </c>
      <c r="B674">
        <v>3</v>
      </c>
    </row>
    <row r="675" spans="1:2" x14ac:dyDescent="0.25">
      <c r="A675" t="s">
        <v>10</v>
      </c>
      <c r="B675">
        <v>3</v>
      </c>
    </row>
    <row r="676" spans="1:2" x14ac:dyDescent="0.25">
      <c r="A676" t="s">
        <v>9</v>
      </c>
      <c r="B676">
        <v>4</v>
      </c>
    </row>
    <row r="677" spans="1:2" x14ac:dyDescent="0.25">
      <c r="A677" t="s">
        <v>9</v>
      </c>
      <c r="B677">
        <v>2</v>
      </c>
    </row>
    <row r="678" spans="1:2" x14ac:dyDescent="0.25">
      <c r="A678" t="s">
        <v>9</v>
      </c>
      <c r="B678">
        <v>3</v>
      </c>
    </row>
    <row r="679" spans="1:2" x14ac:dyDescent="0.25">
      <c r="A679" t="s">
        <v>9</v>
      </c>
      <c r="B679">
        <v>3</v>
      </c>
    </row>
    <row r="680" spans="1:2" x14ac:dyDescent="0.25">
      <c r="A680" t="s">
        <v>9</v>
      </c>
      <c r="B680">
        <v>3</v>
      </c>
    </row>
    <row r="681" spans="1:2" x14ac:dyDescent="0.25">
      <c r="A681" t="s">
        <v>9</v>
      </c>
      <c r="B681">
        <v>2</v>
      </c>
    </row>
    <row r="682" spans="1:2" x14ac:dyDescent="0.25">
      <c r="A682" t="s">
        <v>9</v>
      </c>
      <c r="B682">
        <v>2</v>
      </c>
    </row>
    <row r="683" spans="1:2" x14ac:dyDescent="0.25">
      <c r="A683" t="s">
        <v>9</v>
      </c>
      <c r="B683">
        <v>3</v>
      </c>
    </row>
    <row r="684" spans="1:2" x14ac:dyDescent="0.25">
      <c r="A684" t="s">
        <v>9</v>
      </c>
      <c r="B684">
        <v>3</v>
      </c>
    </row>
    <row r="685" spans="1:2" x14ac:dyDescent="0.25">
      <c r="A685" t="s">
        <v>9</v>
      </c>
      <c r="B685">
        <v>4</v>
      </c>
    </row>
    <row r="686" spans="1:2" x14ac:dyDescent="0.25">
      <c r="A686" t="s">
        <v>9</v>
      </c>
      <c r="B686">
        <v>3</v>
      </c>
    </row>
    <row r="687" spans="1:2" x14ac:dyDescent="0.25">
      <c r="A687" t="s">
        <v>9</v>
      </c>
      <c r="B687">
        <v>3</v>
      </c>
    </row>
    <row r="688" spans="1:2" x14ac:dyDescent="0.25">
      <c r="A688" t="s">
        <v>10</v>
      </c>
      <c r="B688">
        <v>3</v>
      </c>
    </row>
    <row r="689" spans="1:2" x14ac:dyDescent="0.25">
      <c r="A689" t="s">
        <v>9</v>
      </c>
      <c r="B689">
        <v>2</v>
      </c>
    </row>
    <row r="690" spans="1:2" x14ac:dyDescent="0.25">
      <c r="A690" t="s">
        <v>10</v>
      </c>
      <c r="B690">
        <v>2</v>
      </c>
    </row>
    <row r="691" spans="1:2" x14ac:dyDescent="0.25">
      <c r="A691" t="s">
        <v>9</v>
      </c>
      <c r="B691">
        <v>3</v>
      </c>
    </row>
    <row r="692" spans="1:2" x14ac:dyDescent="0.25">
      <c r="A692" t="s">
        <v>9</v>
      </c>
      <c r="B692">
        <v>3</v>
      </c>
    </row>
    <row r="693" spans="1:2" x14ac:dyDescent="0.25">
      <c r="A693" t="s">
        <v>10</v>
      </c>
      <c r="B693">
        <v>3</v>
      </c>
    </row>
    <row r="694" spans="1:2" x14ac:dyDescent="0.25">
      <c r="A694" t="s">
        <v>9</v>
      </c>
      <c r="B694">
        <v>2</v>
      </c>
    </row>
    <row r="695" spans="1:2" x14ac:dyDescent="0.25">
      <c r="A695" t="s">
        <v>10</v>
      </c>
      <c r="B695">
        <v>3</v>
      </c>
    </row>
    <row r="696" spans="1:2" x14ac:dyDescent="0.25">
      <c r="A696" t="s">
        <v>9</v>
      </c>
      <c r="B696">
        <v>1</v>
      </c>
    </row>
    <row r="697" spans="1:2" x14ac:dyDescent="0.25">
      <c r="A697" t="s">
        <v>9</v>
      </c>
      <c r="B697">
        <v>2</v>
      </c>
    </row>
    <row r="698" spans="1:2" x14ac:dyDescent="0.25">
      <c r="A698" t="s">
        <v>9</v>
      </c>
      <c r="B698">
        <v>2</v>
      </c>
    </row>
    <row r="699" spans="1:2" x14ac:dyDescent="0.25">
      <c r="A699" t="s">
        <v>9</v>
      </c>
      <c r="B699">
        <v>3</v>
      </c>
    </row>
    <row r="700" spans="1:2" x14ac:dyDescent="0.25">
      <c r="A700" t="s">
        <v>10</v>
      </c>
      <c r="B700">
        <v>3</v>
      </c>
    </row>
    <row r="701" spans="1:2" x14ac:dyDescent="0.25">
      <c r="A701" t="s">
        <v>9</v>
      </c>
      <c r="B701">
        <v>3</v>
      </c>
    </row>
    <row r="702" spans="1:2" x14ac:dyDescent="0.25">
      <c r="A702" t="s">
        <v>9</v>
      </c>
      <c r="B702">
        <v>2</v>
      </c>
    </row>
    <row r="703" spans="1:2" x14ac:dyDescent="0.25">
      <c r="A703" t="s">
        <v>9</v>
      </c>
      <c r="B703">
        <v>3</v>
      </c>
    </row>
    <row r="704" spans="1:2" x14ac:dyDescent="0.25">
      <c r="A704" t="s">
        <v>9</v>
      </c>
      <c r="B704">
        <v>2</v>
      </c>
    </row>
    <row r="705" spans="1:2" x14ac:dyDescent="0.25">
      <c r="A705" t="s">
        <v>10</v>
      </c>
      <c r="B705">
        <v>3</v>
      </c>
    </row>
    <row r="706" spans="1:2" x14ac:dyDescent="0.25">
      <c r="A706" t="s">
        <v>9</v>
      </c>
      <c r="B706">
        <v>3</v>
      </c>
    </row>
    <row r="707" spans="1:2" x14ac:dyDescent="0.25">
      <c r="A707" t="s">
        <v>9</v>
      </c>
      <c r="B707">
        <v>3</v>
      </c>
    </row>
    <row r="708" spans="1:2" x14ac:dyDescent="0.25">
      <c r="A708" t="s">
        <v>9</v>
      </c>
      <c r="B708">
        <v>3</v>
      </c>
    </row>
    <row r="709" spans="1:2" x14ac:dyDescent="0.25">
      <c r="A709" t="s">
        <v>9</v>
      </c>
      <c r="B709">
        <v>4</v>
      </c>
    </row>
    <row r="710" spans="1:2" x14ac:dyDescent="0.25">
      <c r="A710" t="s">
        <v>9</v>
      </c>
      <c r="B710">
        <v>2</v>
      </c>
    </row>
    <row r="711" spans="1:2" x14ac:dyDescent="0.25">
      <c r="A711" t="s">
        <v>9</v>
      </c>
      <c r="B711">
        <v>3</v>
      </c>
    </row>
    <row r="712" spans="1:2" x14ac:dyDescent="0.25">
      <c r="A712" t="s">
        <v>9</v>
      </c>
      <c r="B712">
        <v>3</v>
      </c>
    </row>
    <row r="713" spans="1:2" x14ac:dyDescent="0.25">
      <c r="A713" t="s">
        <v>9</v>
      </c>
      <c r="B713">
        <v>2</v>
      </c>
    </row>
    <row r="714" spans="1:2" x14ac:dyDescent="0.25">
      <c r="A714" t="s">
        <v>9</v>
      </c>
      <c r="B714">
        <v>4</v>
      </c>
    </row>
    <row r="715" spans="1:2" x14ac:dyDescent="0.25">
      <c r="A715" t="s">
        <v>9</v>
      </c>
      <c r="B715">
        <v>2</v>
      </c>
    </row>
    <row r="716" spans="1:2" x14ac:dyDescent="0.25">
      <c r="A716" t="s">
        <v>9</v>
      </c>
      <c r="B716">
        <v>2</v>
      </c>
    </row>
    <row r="717" spans="1:2" x14ac:dyDescent="0.25">
      <c r="A717" t="s">
        <v>10</v>
      </c>
      <c r="B717">
        <v>1</v>
      </c>
    </row>
    <row r="718" spans="1:2" x14ac:dyDescent="0.25">
      <c r="A718" t="s">
        <v>9</v>
      </c>
      <c r="B718">
        <v>2</v>
      </c>
    </row>
    <row r="719" spans="1:2" x14ac:dyDescent="0.25">
      <c r="A719" t="s">
        <v>9</v>
      </c>
      <c r="B719">
        <v>3</v>
      </c>
    </row>
    <row r="720" spans="1:2" x14ac:dyDescent="0.25">
      <c r="A720" t="s">
        <v>10</v>
      </c>
      <c r="B720">
        <v>3</v>
      </c>
    </row>
    <row r="721" spans="1:2" x14ac:dyDescent="0.25">
      <c r="A721" t="s">
        <v>9</v>
      </c>
      <c r="B721">
        <v>3</v>
      </c>
    </row>
    <row r="722" spans="1:2" x14ac:dyDescent="0.25">
      <c r="A722" t="s">
        <v>9</v>
      </c>
      <c r="B722">
        <v>3</v>
      </c>
    </row>
    <row r="723" spans="1:2" x14ac:dyDescent="0.25">
      <c r="A723" t="s">
        <v>9</v>
      </c>
      <c r="B723">
        <v>3</v>
      </c>
    </row>
    <row r="724" spans="1:2" x14ac:dyDescent="0.25">
      <c r="A724" t="s">
        <v>9</v>
      </c>
      <c r="B724">
        <v>3</v>
      </c>
    </row>
    <row r="725" spans="1:2" x14ac:dyDescent="0.25">
      <c r="A725" t="s">
        <v>9</v>
      </c>
      <c r="B725">
        <v>2</v>
      </c>
    </row>
    <row r="726" spans="1:2" x14ac:dyDescent="0.25">
      <c r="A726" t="s">
        <v>9</v>
      </c>
      <c r="B726">
        <v>3</v>
      </c>
    </row>
    <row r="727" spans="1:2" x14ac:dyDescent="0.25">
      <c r="A727" t="s">
        <v>9</v>
      </c>
      <c r="B727">
        <v>3</v>
      </c>
    </row>
    <row r="728" spans="1:2" x14ac:dyDescent="0.25">
      <c r="A728" t="s">
        <v>9</v>
      </c>
      <c r="B728">
        <v>3</v>
      </c>
    </row>
    <row r="729" spans="1:2" x14ac:dyDescent="0.25">
      <c r="A729" t="s">
        <v>9</v>
      </c>
      <c r="B729">
        <v>3</v>
      </c>
    </row>
    <row r="730" spans="1:2" x14ac:dyDescent="0.25">
      <c r="A730" t="s">
        <v>10</v>
      </c>
      <c r="B730">
        <v>1</v>
      </c>
    </row>
    <row r="731" spans="1:2" x14ac:dyDescent="0.25">
      <c r="A731" t="s">
        <v>9</v>
      </c>
      <c r="B731">
        <v>3</v>
      </c>
    </row>
    <row r="732" spans="1:2" x14ac:dyDescent="0.25">
      <c r="A732" t="s">
        <v>9</v>
      </c>
      <c r="B732">
        <v>3</v>
      </c>
    </row>
    <row r="733" spans="1:2" x14ac:dyDescent="0.25">
      <c r="A733" t="s">
        <v>10</v>
      </c>
      <c r="B733">
        <v>3</v>
      </c>
    </row>
    <row r="734" spans="1:2" x14ac:dyDescent="0.25">
      <c r="A734" t="s">
        <v>10</v>
      </c>
      <c r="B734">
        <v>2</v>
      </c>
    </row>
    <row r="735" spans="1:2" x14ac:dyDescent="0.25">
      <c r="A735" t="s">
        <v>10</v>
      </c>
      <c r="B735">
        <v>4</v>
      </c>
    </row>
    <row r="736" spans="1:2" x14ac:dyDescent="0.25">
      <c r="A736" t="s">
        <v>9</v>
      </c>
      <c r="B736">
        <v>3</v>
      </c>
    </row>
    <row r="737" spans="1:2" x14ac:dyDescent="0.25">
      <c r="A737" t="s">
        <v>9</v>
      </c>
      <c r="B737">
        <v>4</v>
      </c>
    </row>
    <row r="738" spans="1:2" x14ac:dyDescent="0.25">
      <c r="A738" t="s">
        <v>9</v>
      </c>
      <c r="B738">
        <v>2</v>
      </c>
    </row>
    <row r="739" spans="1:2" x14ac:dyDescent="0.25">
      <c r="A739" t="s">
        <v>9</v>
      </c>
      <c r="B739">
        <v>2</v>
      </c>
    </row>
    <row r="740" spans="1:2" x14ac:dyDescent="0.25">
      <c r="A740" t="s">
        <v>9</v>
      </c>
      <c r="B740">
        <v>3</v>
      </c>
    </row>
    <row r="741" spans="1:2" x14ac:dyDescent="0.25">
      <c r="A741" t="s">
        <v>9</v>
      </c>
      <c r="B741">
        <v>2</v>
      </c>
    </row>
    <row r="742" spans="1:2" x14ac:dyDescent="0.25">
      <c r="A742" t="s">
        <v>9</v>
      </c>
      <c r="B742">
        <v>2</v>
      </c>
    </row>
    <row r="743" spans="1:2" x14ac:dyDescent="0.25">
      <c r="A743" t="s">
        <v>9</v>
      </c>
      <c r="B743">
        <v>2</v>
      </c>
    </row>
    <row r="744" spans="1:2" x14ac:dyDescent="0.25">
      <c r="A744" t="s">
        <v>9</v>
      </c>
      <c r="B744">
        <v>3</v>
      </c>
    </row>
    <row r="745" spans="1:2" x14ac:dyDescent="0.25">
      <c r="A745" t="s">
        <v>9</v>
      </c>
      <c r="B745">
        <v>3</v>
      </c>
    </row>
    <row r="746" spans="1:2" x14ac:dyDescent="0.25">
      <c r="A746" t="s">
        <v>9</v>
      </c>
      <c r="B746">
        <v>3</v>
      </c>
    </row>
    <row r="747" spans="1:2" x14ac:dyDescent="0.25">
      <c r="A747" t="s">
        <v>9</v>
      </c>
      <c r="B747">
        <v>2</v>
      </c>
    </row>
    <row r="748" spans="1:2" x14ac:dyDescent="0.25">
      <c r="A748" t="s">
        <v>10</v>
      </c>
      <c r="B748">
        <v>2</v>
      </c>
    </row>
    <row r="749" spans="1:2" x14ac:dyDescent="0.25">
      <c r="A749" t="s">
        <v>9</v>
      </c>
      <c r="B749">
        <v>2</v>
      </c>
    </row>
    <row r="750" spans="1:2" x14ac:dyDescent="0.25">
      <c r="A750" t="s">
        <v>9</v>
      </c>
      <c r="B750">
        <v>3</v>
      </c>
    </row>
    <row r="751" spans="1:2" x14ac:dyDescent="0.25">
      <c r="A751" t="s">
        <v>9</v>
      </c>
      <c r="B751">
        <v>3</v>
      </c>
    </row>
    <row r="752" spans="1:2" x14ac:dyDescent="0.25">
      <c r="A752" t="s">
        <v>10</v>
      </c>
      <c r="B752">
        <v>3</v>
      </c>
    </row>
    <row r="753" spans="1:2" x14ac:dyDescent="0.25">
      <c r="A753" t="s">
        <v>10</v>
      </c>
      <c r="B753">
        <v>3</v>
      </c>
    </row>
    <row r="754" spans="1:2" x14ac:dyDescent="0.25">
      <c r="A754" t="s">
        <v>9</v>
      </c>
      <c r="B754">
        <v>3</v>
      </c>
    </row>
    <row r="755" spans="1:2" x14ac:dyDescent="0.25">
      <c r="A755" t="s">
        <v>10</v>
      </c>
      <c r="B755">
        <v>3</v>
      </c>
    </row>
    <row r="756" spans="1:2" x14ac:dyDescent="0.25">
      <c r="A756" t="s">
        <v>9</v>
      </c>
      <c r="B756">
        <v>3</v>
      </c>
    </row>
    <row r="757" spans="1:2" x14ac:dyDescent="0.25">
      <c r="A757" t="s">
        <v>9</v>
      </c>
      <c r="B757">
        <v>1</v>
      </c>
    </row>
    <row r="758" spans="1:2" x14ac:dyDescent="0.25">
      <c r="A758" t="s">
        <v>9</v>
      </c>
      <c r="B758">
        <v>3</v>
      </c>
    </row>
    <row r="759" spans="1:2" x14ac:dyDescent="0.25">
      <c r="A759" t="s">
        <v>9</v>
      </c>
      <c r="B759">
        <v>3</v>
      </c>
    </row>
    <row r="760" spans="1:2" x14ac:dyDescent="0.25">
      <c r="A760" t="s">
        <v>9</v>
      </c>
      <c r="B760">
        <v>3</v>
      </c>
    </row>
    <row r="761" spans="1:2" x14ac:dyDescent="0.25">
      <c r="A761" t="s">
        <v>10</v>
      </c>
      <c r="B761">
        <v>1</v>
      </c>
    </row>
    <row r="762" spans="1:2" x14ac:dyDescent="0.25">
      <c r="A762" t="s">
        <v>10</v>
      </c>
      <c r="B762">
        <v>2</v>
      </c>
    </row>
    <row r="763" spans="1:2" x14ac:dyDescent="0.25">
      <c r="A763" t="s">
        <v>9</v>
      </c>
      <c r="B763">
        <v>3</v>
      </c>
    </row>
    <row r="764" spans="1:2" x14ac:dyDescent="0.25">
      <c r="A764" t="s">
        <v>9</v>
      </c>
      <c r="B764">
        <v>1</v>
      </c>
    </row>
    <row r="765" spans="1:2" x14ac:dyDescent="0.25">
      <c r="A765" t="s">
        <v>9</v>
      </c>
      <c r="B765">
        <v>3</v>
      </c>
    </row>
    <row r="766" spans="1:2" x14ac:dyDescent="0.25">
      <c r="A766" t="s">
        <v>9</v>
      </c>
      <c r="B766">
        <v>3</v>
      </c>
    </row>
    <row r="767" spans="1:2" x14ac:dyDescent="0.25">
      <c r="A767" t="s">
        <v>9</v>
      </c>
      <c r="B767">
        <v>1</v>
      </c>
    </row>
    <row r="768" spans="1:2" x14ac:dyDescent="0.25">
      <c r="A768" t="s">
        <v>9</v>
      </c>
      <c r="B768">
        <v>4</v>
      </c>
    </row>
    <row r="769" spans="1:2" x14ac:dyDescent="0.25">
      <c r="A769" t="s">
        <v>9</v>
      </c>
      <c r="B769">
        <v>1</v>
      </c>
    </row>
    <row r="770" spans="1:2" x14ac:dyDescent="0.25">
      <c r="A770" t="s">
        <v>9</v>
      </c>
      <c r="B770">
        <v>3</v>
      </c>
    </row>
    <row r="771" spans="1:2" x14ac:dyDescent="0.25">
      <c r="A771" t="s">
        <v>9</v>
      </c>
      <c r="B771">
        <v>2</v>
      </c>
    </row>
    <row r="772" spans="1:2" x14ac:dyDescent="0.25">
      <c r="A772" t="s">
        <v>9</v>
      </c>
      <c r="B772">
        <v>2</v>
      </c>
    </row>
    <row r="773" spans="1:2" x14ac:dyDescent="0.25">
      <c r="A773" t="s">
        <v>9</v>
      </c>
      <c r="B773">
        <v>3</v>
      </c>
    </row>
    <row r="774" spans="1:2" x14ac:dyDescent="0.25">
      <c r="A774" t="s">
        <v>9</v>
      </c>
      <c r="B774">
        <v>3</v>
      </c>
    </row>
    <row r="775" spans="1:2" x14ac:dyDescent="0.25">
      <c r="A775" t="s">
        <v>10</v>
      </c>
      <c r="B775">
        <v>2</v>
      </c>
    </row>
    <row r="776" spans="1:2" x14ac:dyDescent="0.25">
      <c r="A776" t="s">
        <v>9</v>
      </c>
      <c r="B776">
        <v>3</v>
      </c>
    </row>
    <row r="777" spans="1:2" x14ac:dyDescent="0.25">
      <c r="A777" t="s">
        <v>9</v>
      </c>
      <c r="B777">
        <v>4</v>
      </c>
    </row>
    <row r="778" spans="1:2" x14ac:dyDescent="0.25">
      <c r="A778" t="s">
        <v>9</v>
      </c>
      <c r="B778">
        <v>3</v>
      </c>
    </row>
    <row r="779" spans="1:2" x14ac:dyDescent="0.25">
      <c r="A779" t="s">
        <v>9</v>
      </c>
      <c r="B779">
        <v>3</v>
      </c>
    </row>
    <row r="780" spans="1:2" x14ac:dyDescent="0.25">
      <c r="A780" t="s">
        <v>9</v>
      </c>
      <c r="B780">
        <v>3</v>
      </c>
    </row>
    <row r="781" spans="1:2" x14ac:dyDescent="0.25">
      <c r="A781" t="s">
        <v>10</v>
      </c>
      <c r="B781">
        <v>3</v>
      </c>
    </row>
    <row r="782" spans="1:2" x14ac:dyDescent="0.25">
      <c r="A782" t="s">
        <v>10</v>
      </c>
      <c r="B782">
        <v>3</v>
      </c>
    </row>
    <row r="783" spans="1:2" x14ac:dyDescent="0.25">
      <c r="A783" t="s">
        <v>9</v>
      </c>
      <c r="B783">
        <v>2</v>
      </c>
    </row>
    <row r="784" spans="1:2" x14ac:dyDescent="0.25">
      <c r="A784" t="s">
        <v>9</v>
      </c>
      <c r="B784">
        <v>3</v>
      </c>
    </row>
    <row r="785" spans="1:2" x14ac:dyDescent="0.25">
      <c r="A785" t="s">
        <v>9</v>
      </c>
      <c r="B785">
        <v>3</v>
      </c>
    </row>
    <row r="786" spans="1:2" x14ac:dyDescent="0.25">
      <c r="A786" t="s">
        <v>9</v>
      </c>
      <c r="B786">
        <v>3</v>
      </c>
    </row>
    <row r="787" spans="1:2" x14ac:dyDescent="0.25">
      <c r="A787" t="s">
        <v>9</v>
      </c>
      <c r="B787">
        <v>3</v>
      </c>
    </row>
    <row r="788" spans="1:2" x14ac:dyDescent="0.25">
      <c r="A788" t="s">
        <v>9</v>
      </c>
      <c r="B788">
        <v>3</v>
      </c>
    </row>
    <row r="789" spans="1:2" x14ac:dyDescent="0.25">
      <c r="A789" t="s">
        <v>10</v>
      </c>
      <c r="B789">
        <v>2</v>
      </c>
    </row>
    <row r="790" spans="1:2" x14ac:dyDescent="0.25">
      <c r="A790" t="s">
        <v>9</v>
      </c>
      <c r="B790">
        <v>2</v>
      </c>
    </row>
    <row r="791" spans="1:2" x14ac:dyDescent="0.25">
      <c r="A791" t="s">
        <v>9</v>
      </c>
      <c r="B791">
        <v>3</v>
      </c>
    </row>
    <row r="792" spans="1:2" x14ac:dyDescent="0.25">
      <c r="A792" t="s">
        <v>9</v>
      </c>
      <c r="B792">
        <v>2</v>
      </c>
    </row>
    <row r="793" spans="1:2" x14ac:dyDescent="0.25">
      <c r="A793" t="s">
        <v>9</v>
      </c>
      <c r="B793">
        <v>3</v>
      </c>
    </row>
    <row r="794" spans="1:2" x14ac:dyDescent="0.25">
      <c r="A794" t="s">
        <v>9</v>
      </c>
      <c r="B794">
        <v>2</v>
      </c>
    </row>
    <row r="795" spans="1:2" x14ac:dyDescent="0.25">
      <c r="A795" t="s">
        <v>9</v>
      </c>
      <c r="B795">
        <v>3</v>
      </c>
    </row>
    <row r="796" spans="1:2" x14ac:dyDescent="0.25">
      <c r="A796" t="s">
        <v>9</v>
      </c>
      <c r="B796">
        <v>3</v>
      </c>
    </row>
    <row r="797" spans="1:2" x14ac:dyDescent="0.25">
      <c r="A797" t="s">
        <v>10</v>
      </c>
      <c r="B797">
        <v>3</v>
      </c>
    </row>
    <row r="798" spans="1:2" x14ac:dyDescent="0.25">
      <c r="A798" t="s">
        <v>9</v>
      </c>
      <c r="B798">
        <v>3</v>
      </c>
    </row>
    <row r="799" spans="1:2" x14ac:dyDescent="0.25">
      <c r="A799" t="s">
        <v>10</v>
      </c>
      <c r="B799">
        <v>3</v>
      </c>
    </row>
    <row r="800" spans="1:2" x14ac:dyDescent="0.25">
      <c r="A800" t="s">
        <v>10</v>
      </c>
      <c r="B800">
        <v>2</v>
      </c>
    </row>
    <row r="801" spans="1:2" x14ac:dyDescent="0.25">
      <c r="A801" t="s">
        <v>9</v>
      </c>
      <c r="B801">
        <v>4</v>
      </c>
    </row>
    <row r="802" spans="1:2" x14ac:dyDescent="0.25">
      <c r="A802" t="s">
        <v>9</v>
      </c>
      <c r="B802">
        <v>4</v>
      </c>
    </row>
    <row r="803" spans="1:2" x14ac:dyDescent="0.25">
      <c r="A803" t="s">
        <v>9</v>
      </c>
      <c r="B803">
        <v>3</v>
      </c>
    </row>
    <row r="804" spans="1:2" x14ac:dyDescent="0.25">
      <c r="A804" t="s">
        <v>9</v>
      </c>
      <c r="B804">
        <v>3</v>
      </c>
    </row>
    <row r="805" spans="1:2" x14ac:dyDescent="0.25">
      <c r="A805" t="s">
        <v>10</v>
      </c>
      <c r="B805">
        <v>3</v>
      </c>
    </row>
    <row r="806" spans="1:2" x14ac:dyDescent="0.25">
      <c r="A806" t="s">
        <v>9</v>
      </c>
      <c r="B806">
        <v>3</v>
      </c>
    </row>
    <row r="807" spans="1:2" x14ac:dyDescent="0.25">
      <c r="A807" t="s">
        <v>9</v>
      </c>
      <c r="B807">
        <v>3</v>
      </c>
    </row>
    <row r="808" spans="1:2" x14ac:dyDescent="0.25">
      <c r="A808" t="s">
        <v>9</v>
      </c>
      <c r="B808">
        <v>4</v>
      </c>
    </row>
    <row r="809" spans="1:2" x14ac:dyDescent="0.25">
      <c r="A809" t="s">
        <v>9</v>
      </c>
      <c r="B809">
        <v>3</v>
      </c>
    </row>
    <row r="810" spans="1:2" x14ac:dyDescent="0.25">
      <c r="A810" t="s">
        <v>9</v>
      </c>
      <c r="B810">
        <v>3</v>
      </c>
    </row>
    <row r="811" spans="1:2" x14ac:dyDescent="0.25">
      <c r="A811" t="s">
        <v>9</v>
      </c>
      <c r="B811">
        <v>3</v>
      </c>
    </row>
    <row r="812" spans="1:2" x14ac:dyDescent="0.25">
      <c r="A812" t="s">
        <v>9</v>
      </c>
      <c r="B812">
        <v>3</v>
      </c>
    </row>
    <row r="813" spans="1:2" x14ac:dyDescent="0.25">
      <c r="A813" t="s">
        <v>9</v>
      </c>
      <c r="B813">
        <v>3</v>
      </c>
    </row>
    <row r="814" spans="1:2" x14ac:dyDescent="0.25">
      <c r="A814" t="s">
        <v>9</v>
      </c>
      <c r="B814">
        <v>3</v>
      </c>
    </row>
    <row r="815" spans="1:2" x14ac:dyDescent="0.25">
      <c r="A815" t="s">
        <v>9</v>
      </c>
      <c r="B815">
        <v>3</v>
      </c>
    </row>
    <row r="816" spans="1:2" x14ac:dyDescent="0.25">
      <c r="A816" t="s">
        <v>9</v>
      </c>
      <c r="B816">
        <v>2</v>
      </c>
    </row>
    <row r="817" spans="1:2" x14ac:dyDescent="0.25">
      <c r="A817" t="s">
        <v>9</v>
      </c>
      <c r="B817">
        <v>3</v>
      </c>
    </row>
    <row r="818" spans="1:2" x14ac:dyDescent="0.25">
      <c r="A818" t="s">
        <v>9</v>
      </c>
      <c r="B818">
        <v>2</v>
      </c>
    </row>
    <row r="819" spans="1:2" x14ac:dyDescent="0.25">
      <c r="A819" t="s">
        <v>9</v>
      </c>
      <c r="B819">
        <v>3</v>
      </c>
    </row>
    <row r="820" spans="1:2" x14ac:dyDescent="0.25">
      <c r="A820" t="s">
        <v>9</v>
      </c>
      <c r="B820">
        <v>2</v>
      </c>
    </row>
    <row r="821" spans="1:2" x14ac:dyDescent="0.25">
      <c r="A821" t="s">
        <v>10</v>
      </c>
      <c r="B821">
        <v>3</v>
      </c>
    </row>
    <row r="822" spans="1:2" x14ac:dyDescent="0.25">
      <c r="A822" t="s">
        <v>9</v>
      </c>
      <c r="B822">
        <v>4</v>
      </c>
    </row>
    <row r="823" spans="1:2" x14ac:dyDescent="0.25">
      <c r="A823" t="s">
        <v>9</v>
      </c>
      <c r="B823">
        <v>3</v>
      </c>
    </row>
    <row r="824" spans="1:2" x14ac:dyDescent="0.25">
      <c r="A824" t="s">
        <v>9</v>
      </c>
      <c r="B824">
        <v>2</v>
      </c>
    </row>
    <row r="825" spans="1:2" x14ac:dyDescent="0.25">
      <c r="A825" t="s">
        <v>10</v>
      </c>
      <c r="B825">
        <v>3</v>
      </c>
    </row>
    <row r="826" spans="1:2" x14ac:dyDescent="0.25">
      <c r="A826" t="s">
        <v>9</v>
      </c>
      <c r="B826">
        <v>3</v>
      </c>
    </row>
    <row r="827" spans="1:2" x14ac:dyDescent="0.25">
      <c r="A827" t="s">
        <v>9</v>
      </c>
      <c r="B827">
        <v>3</v>
      </c>
    </row>
    <row r="828" spans="1:2" x14ac:dyDescent="0.25">
      <c r="A828" t="s">
        <v>10</v>
      </c>
      <c r="B828">
        <v>3</v>
      </c>
    </row>
    <row r="829" spans="1:2" x14ac:dyDescent="0.25">
      <c r="A829" t="s">
        <v>9</v>
      </c>
      <c r="B829">
        <v>3</v>
      </c>
    </row>
    <row r="830" spans="1:2" x14ac:dyDescent="0.25">
      <c r="A830" t="s">
        <v>9</v>
      </c>
      <c r="B830">
        <v>2</v>
      </c>
    </row>
    <row r="831" spans="1:2" x14ac:dyDescent="0.25">
      <c r="A831" t="s">
        <v>9</v>
      </c>
      <c r="B831">
        <v>3</v>
      </c>
    </row>
    <row r="832" spans="1:2" x14ac:dyDescent="0.25">
      <c r="A832" t="s">
        <v>9</v>
      </c>
      <c r="B832">
        <v>3</v>
      </c>
    </row>
    <row r="833" spans="1:2" x14ac:dyDescent="0.25">
      <c r="A833" t="s">
        <v>10</v>
      </c>
      <c r="B833">
        <v>3</v>
      </c>
    </row>
    <row r="834" spans="1:2" x14ac:dyDescent="0.25">
      <c r="A834" t="s">
        <v>9</v>
      </c>
      <c r="B834">
        <v>2</v>
      </c>
    </row>
    <row r="835" spans="1:2" x14ac:dyDescent="0.25">
      <c r="A835" t="s">
        <v>9</v>
      </c>
      <c r="B835">
        <v>3</v>
      </c>
    </row>
    <row r="836" spans="1:2" x14ac:dyDescent="0.25">
      <c r="A836" t="s">
        <v>9</v>
      </c>
      <c r="B836">
        <v>2</v>
      </c>
    </row>
    <row r="837" spans="1:2" x14ac:dyDescent="0.25">
      <c r="A837" t="s">
        <v>9</v>
      </c>
      <c r="B837">
        <v>3</v>
      </c>
    </row>
    <row r="838" spans="1:2" x14ac:dyDescent="0.25">
      <c r="A838" t="s">
        <v>9</v>
      </c>
      <c r="B838">
        <v>3</v>
      </c>
    </row>
    <row r="839" spans="1:2" x14ac:dyDescent="0.25">
      <c r="A839" t="s">
        <v>9</v>
      </c>
      <c r="B839">
        <v>4</v>
      </c>
    </row>
    <row r="840" spans="1:2" x14ac:dyDescent="0.25">
      <c r="A840" t="s">
        <v>9</v>
      </c>
      <c r="B840">
        <v>2</v>
      </c>
    </row>
    <row r="841" spans="1:2" x14ac:dyDescent="0.25">
      <c r="A841" t="s">
        <v>9</v>
      </c>
      <c r="B841">
        <v>2</v>
      </c>
    </row>
    <row r="842" spans="1:2" x14ac:dyDescent="0.25">
      <c r="A842" t="s">
        <v>10</v>
      </c>
      <c r="B842">
        <v>3</v>
      </c>
    </row>
    <row r="843" spans="1:2" x14ac:dyDescent="0.25">
      <c r="A843" t="s">
        <v>9</v>
      </c>
      <c r="B843">
        <v>2</v>
      </c>
    </row>
    <row r="844" spans="1:2" x14ac:dyDescent="0.25">
      <c r="A844" t="s">
        <v>9</v>
      </c>
      <c r="B844">
        <v>2</v>
      </c>
    </row>
    <row r="845" spans="1:2" x14ac:dyDescent="0.25">
      <c r="A845" t="s">
        <v>9</v>
      </c>
      <c r="B845">
        <v>3</v>
      </c>
    </row>
    <row r="846" spans="1:2" x14ac:dyDescent="0.25">
      <c r="A846" t="s">
        <v>9</v>
      </c>
      <c r="B846">
        <v>1</v>
      </c>
    </row>
    <row r="847" spans="1:2" x14ac:dyDescent="0.25">
      <c r="A847" t="s">
        <v>9</v>
      </c>
      <c r="B847">
        <v>3</v>
      </c>
    </row>
    <row r="848" spans="1:2" x14ac:dyDescent="0.25">
      <c r="A848" t="s">
        <v>9</v>
      </c>
      <c r="B848">
        <v>3</v>
      </c>
    </row>
    <row r="849" spans="1:2" x14ac:dyDescent="0.25">
      <c r="A849" t="s">
        <v>9</v>
      </c>
      <c r="B849">
        <v>4</v>
      </c>
    </row>
    <row r="850" spans="1:2" x14ac:dyDescent="0.25">
      <c r="A850" t="s">
        <v>10</v>
      </c>
      <c r="B850">
        <v>2</v>
      </c>
    </row>
    <row r="851" spans="1:2" x14ac:dyDescent="0.25">
      <c r="A851" t="s">
        <v>9</v>
      </c>
      <c r="B851">
        <v>4</v>
      </c>
    </row>
    <row r="852" spans="1:2" x14ac:dyDescent="0.25">
      <c r="A852" t="s">
        <v>10</v>
      </c>
      <c r="B852">
        <v>1</v>
      </c>
    </row>
    <row r="853" spans="1:2" x14ac:dyDescent="0.25">
      <c r="A853" t="s">
        <v>9</v>
      </c>
      <c r="B853">
        <v>2</v>
      </c>
    </row>
    <row r="854" spans="1:2" x14ac:dyDescent="0.25">
      <c r="A854" t="s">
        <v>9</v>
      </c>
      <c r="B854">
        <v>2</v>
      </c>
    </row>
    <row r="855" spans="1:2" x14ac:dyDescent="0.25">
      <c r="A855" t="s">
        <v>9</v>
      </c>
      <c r="B855">
        <v>4</v>
      </c>
    </row>
    <row r="856" spans="1:2" x14ac:dyDescent="0.25">
      <c r="A856" t="s">
        <v>9</v>
      </c>
      <c r="B856">
        <v>2</v>
      </c>
    </row>
    <row r="857" spans="1:2" x14ac:dyDescent="0.25">
      <c r="A857" t="s">
        <v>9</v>
      </c>
      <c r="B857">
        <v>3</v>
      </c>
    </row>
    <row r="858" spans="1:2" x14ac:dyDescent="0.25">
      <c r="A858" t="s">
        <v>10</v>
      </c>
      <c r="B858">
        <v>3</v>
      </c>
    </row>
    <row r="859" spans="1:2" x14ac:dyDescent="0.25">
      <c r="A859" t="s">
        <v>9</v>
      </c>
      <c r="B859">
        <v>2</v>
      </c>
    </row>
    <row r="860" spans="1:2" x14ac:dyDescent="0.25">
      <c r="A860" t="s">
        <v>9</v>
      </c>
      <c r="B860">
        <v>3</v>
      </c>
    </row>
    <row r="861" spans="1:2" x14ac:dyDescent="0.25">
      <c r="A861" t="s">
        <v>10</v>
      </c>
      <c r="B861">
        <v>3</v>
      </c>
    </row>
    <row r="862" spans="1:2" x14ac:dyDescent="0.25">
      <c r="A862" t="s">
        <v>9</v>
      </c>
      <c r="B862">
        <v>2</v>
      </c>
    </row>
    <row r="863" spans="1:2" x14ac:dyDescent="0.25">
      <c r="A863" t="s">
        <v>9</v>
      </c>
      <c r="B863">
        <v>2</v>
      </c>
    </row>
    <row r="864" spans="1:2" x14ac:dyDescent="0.25">
      <c r="A864" t="s">
        <v>10</v>
      </c>
      <c r="B864">
        <v>4</v>
      </c>
    </row>
    <row r="865" spans="1:2" x14ac:dyDescent="0.25">
      <c r="A865" t="s">
        <v>9</v>
      </c>
      <c r="B865">
        <v>3</v>
      </c>
    </row>
    <row r="866" spans="1:2" x14ac:dyDescent="0.25">
      <c r="A866" t="s">
        <v>9</v>
      </c>
      <c r="B866">
        <v>3</v>
      </c>
    </row>
    <row r="867" spans="1:2" x14ac:dyDescent="0.25">
      <c r="A867" t="s">
        <v>9</v>
      </c>
      <c r="B867">
        <v>3</v>
      </c>
    </row>
    <row r="868" spans="1:2" x14ac:dyDescent="0.25">
      <c r="A868" t="s">
        <v>9</v>
      </c>
      <c r="B868">
        <v>3</v>
      </c>
    </row>
    <row r="869" spans="1:2" x14ac:dyDescent="0.25">
      <c r="A869" t="s">
        <v>9</v>
      </c>
      <c r="B869">
        <v>3</v>
      </c>
    </row>
    <row r="870" spans="1:2" x14ac:dyDescent="0.25">
      <c r="A870" t="s">
        <v>9</v>
      </c>
      <c r="B870">
        <v>3</v>
      </c>
    </row>
    <row r="871" spans="1:2" x14ac:dyDescent="0.25">
      <c r="A871" t="s">
        <v>9</v>
      </c>
      <c r="B871">
        <v>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53A2-C910-4211-A78A-DE2F2ABC8495}">
  <dimension ref="A1:H871"/>
  <sheetViews>
    <sheetView workbookViewId="0">
      <selection activeCell="F1" sqref="F1:G5"/>
    </sheetView>
  </sheetViews>
  <sheetFormatPr defaultRowHeight="15" x14ac:dyDescent="0.25"/>
  <cols>
    <col min="3" max="3" width="13.140625" bestFit="1" customWidth="1"/>
    <col min="4" max="4" width="25" bestFit="1" customWidth="1"/>
  </cols>
  <sheetData>
    <row r="1" spans="1:8" x14ac:dyDescent="0.25">
      <c r="A1" t="s">
        <v>70</v>
      </c>
      <c r="C1" s="12" t="s">
        <v>115</v>
      </c>
      <c r="D1" t="s">
        <v>129</v>
      </c>
      <c r="F1" t="s">
        <v>130</v>
      </c>
      <c r="G1" t="s">
        <v>131</v>
      </c>
    </row>
    <row r="2" spans="1:8" x14ac:dyDescent="0.25">
      <c r="A2">
        <v>1</v>
      </c>
      <c r="C2" s="13">
        <v>0</v>
      </c>
      <c r="D2">
        <v>379</v>
      </c>
      <c r="F2" s="13">
        <v>0</v>
      </c>
      <c r="G2">
        <v>379</v>
      </c>
      <c r="H2">
        <f>G2/870</f>
        <v>0.43563218390804598</v>
      </c>
    </row>
    <row r="3" spans="1:8" x14ac:dyDescent="0.25">
      <c r="A3">
        <v>0</v>
      </c>
      <c r="C3" s="13">
        <v>1</v>
      </c>
      <c r="D3">
        <v>355</v>
      </c>
      <c r="F3" s="13">
        <v>1</v>
      </c>
      <c r="G3">
        <v>355</v>
      </c>
    </row>
    <row r="4" spans="1:8" x14ac:dyDescent="0.25">
      <c r="A4">
        <v>0</v>
      </c>
      <c r="C4" s="13">
        <v>2</v>
      </c>
      <c r="D4">
        <v>81</v>
      </c>
      <c r="F4" s="13">
        <v>2</v>
      </c>
      <c r="G4">
        <v>81</v>
      </c>
    </row>
    <row r="5" spans="1:8" x14ac:dyDescent="0.25">
      <c r="A5">
        <v>2</v>
      </c>
      <c r="C5" s="13">
        <v>3</v>
      </c>
      <c r="D5">
        <v>55</v>
      </c>
      <c r="F5" s="13">
        <v>3</v>
      </c>
      <c r="G5">
        <v>55</v>
      </c>
    </row>
    <row r="6" spans="1:8" x14ac:dyDescent="0.25">
      <c r="A6">
        <v>0</v>
      </c>
      <c r="C6" s="13" t="s">
        <v>123</v>
      </c>
    </row>
    <row r="7" spans="1:8" x14ac:dyDescent="0.25">
      <c r="A7">
        <v>2</v>
      </c>
      <c r="C7" s="13" t="s">
        <v>116</v>
      </c>
      <c r="D7">
        <v>870</v>
      </c>
    </row>
    <row r="8" spans="1:8" x14ac:dyDescent="0.25">
      <c r="A8">
        <v>0</v>
      </c>
    </row>
    <row r="9" spans="1:8" x14ac:dyDescent="0.25">
      <c r="A9">
        <v>3</v>
      </c>
    </row>
    <row r="10" spans="1:8" x14ac:dyDescent="0.25">
      <c r="A10">
        <v>1</v>
      </c>
    </row>
    <row r="11" spans="1:8" x14ac:dyDescent="0.25">
      <c r="A11">
        <v>1</v>
      </c>
    </row>
    <row r="12" spans="1:8" x14ac:dyDescent="0.25">
      <c r="A12">
        <v>0</v>
      </c>
    </row>
    <row r="13" spans="1:8" x14ac:dyDescent="0.25">
      <c r="A13">
        <v>1</v>
      </c>
    </row>
    <row r="14" spans="1:8" x14ac:dyDescent="0.25">
      <c r="A14">
        <v>0</v>
      </c>
    </row>
    <row r="15" spans="1:8" x14ac:dyDescent="0.25">
      <c r="A15">
        <v>1</v>
      </c>
    </row>
    <row r="16" spans="1:8" x14ac:dyDescent="0.25">
      <c r="A16">
        <v>0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0</v>
      </c>
    </row>
    <row r="20" spans="1:1" x14ac:dyDescent="0.25">
      <c r="A20">
        <v>3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0</v>
      </c>
    </row>
    <row r="24" spans="1:1" x14ac:dyDescent="0.25">
      <c r="A24">
        <v>1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1</v>
      </c>
    </row>
    <row r="32" spans="1:1" x14ac:dyDescent="0.25">
      <c r="A32">
        <v>3</v>
      </c>
    </row>
    <row r="33" spans="1:1" x14ac:dyDescent="0.25">
      <c r="A33">
        <v>3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3</v>
      </c>
    </row>
    <row r="40" spans="1:1" x14ac:dyDescent="0.25">
      <c r="A40">
        <v>0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0</v>
      </c>
    </row>
    <row r="44" spans="1:1" x14ac:dyDescent="0.25">
      <c r="A44">
        <v>1</v>
      </c>
    </row>
    <row r="45" spans="1:1" x14ac:dyDescent="0.25">
      <c r="A45">
        <v>0</v>
      </c>
    </row>
    <row r="46" spans="1:1" x14ac:dyDescent="0.25">
      <c r="A46">
        <v>1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2</v>
      </c>
    </row>
    <row r="50" spans="1:1" x14ac:dyDescent="0.25">
      <c r="A50">
        <v>0</v>
      </c>
    </row>
    <row r="51" spans="1:1" x14ac:dyDescent="0.25">
      <c r="A51">
        <v>1</v>
      </c>
    </row>
    <row r="52" spans="1:1" x14ac:dyDescent="0.25">
      <c r="A52">
        <v>0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2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2</v>
      </c>
    </row>
    <row r="61" spans="1:1" x14ac:dyDescent="0.25">
      <c r="A61">
        <v>0</v>
      </c>
    </row>
    <row r="62" spans="1:1" x14ac:dyDescent="0.25">
      <c r="A62">
        <v>1</v>
      </c>
    </row>
    <row r="63" spans="1:1" x14ac:dyDescent="0.25">
      <c r="A63">
        <v>0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2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1</v>
      </c>
    </row>
    <row r="71" spans="1:1" x14ac:dyDescent="0.25">
      <c r="A71">
        <v>0</v>
      </c>
    </row>
    <row r="72" spans="1:1" x14ac:dyDescent="0.25">
      <c r="A72">
        <v>1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3</v>
      </c>
    </row>
    <row r="82" spans="1:1" x14ac:dyDescent="0.25">
      <c r="A82">
        <v>0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2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1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1</v>
      </c>
    </row>
    <row r="99" spans="1:1" x14ac:dyDescent="0.25">
      <c r="A99">
        <v>1</v>
      </c>
    </row>
    <row r="100" spans="1:1" x14ac:dyDescent="0.25">
      <c r="A100">
        <v>3</v>
      </c>
    </row>
    <row r="101" spans="1:1" x14ac:dyDescent="0.25">
      <c r="A101">
        <v>1</v>
      </c>
    </row>
    <row r="102" spans="1:1" x14ac:dyDescent="0.25">
      <c r="A102">
        <v>0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1</v>
      </c>
    </row>
    <row r="106" spans="1:1" x14ac:dyDescent="0.25">
      <c r="A106">
        <v>0</v>
      </c>
    </row>
    <row r="107" spans="1:1" x14ac:dyDescent="0.25">
      <c r="A107">
        <v>1</v>
      </c>
    </row>
    <row r="108" spans="1:1" x14ac:dyDescent="0.25">
      <c r="A108">
        <v>1</v>
      </c>
    </row>
    <row r="109" spans="1:1" x14ac:dyDescent="0.25">
      <c r="A109">
        <v>1</v>
      </c>
    </row>
    <row r="110" spans="1:1" x14ac:dyDescent="0.25">
      <c r="A110">
        <v>1</v>
      </c>
    </row>
    <row r="111" spans="1:1" x14ac:dyDescent="0.25">
      <c r="A111">
        <v>0</v>
      </c>
    </row>
    <row r="112" spans="1:1" x14ac:dyDescent="0.25">
      <c r="A112">
        <v>1</v>
      </c>
    </row>
    <row r="113" spans="1:1" x14ac:dyDescent="0.25">
      <c r="A113">
        <v>1</v>
      </c>
    </row>
    <row r="114" spans="1:1" x14ac:dyDescent="0.25">
      <c r="A114">
        <v>0</v>
      </c>
    </row>
    <row r="115" spans="1:1" x14ac:dyDescent="0.25">
      <c r="A115">
        <v>1</v>
      </c>
    </row>
    <row r="116" spans="1:1" x14ac:dyDescent="0.25">
      <c r="A116">
        <v>3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1</v>
      </c>
    </row>
    <row r="120" spans="1:1" x14ac:dyDescent="0.25">
      <c r="A120">
        <v>1</v>
      </c>
    </row>
    <row r="121" spans="1:1" x14ac:dyDescent="0.25">
      <c r="A121">
        <v>0</v>
      </c>
    </row>
    <row r="122" spans="1:1" x14ac:dyDescent="0.25">
      <c r="A122">
        <v>1</v>
      </c>
    </row>
    <row r="123" spans="1:1" x14ac:dyDescent="0.25">
      <c r="A123">
        <v>0</v>
      </c>
    </row>
    <row r="124" spans="1:1" x14ac:dyDescent="0.25">
      <c r="A124">
        <v>1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2</v>
      </c>
    </row>
    <row r="130" spans="1:1" x14ac:dyDescent="0.25">
      <c r="A130">
        <v>0</v>
      </c>
    </row>
    <row r="131" spans="1:1" x14ac:dyDescent="0.25">
      <c r="A131">
        <v>1</v>
      </c>
    </row>
    <row r="132" spans="1:1" x14ac:dyDescent="0.25">
      <c r="A132">
        <v>1</v>
      </c>
    </row>
    <row r="133" spans="1:1" x14ac:dyDescent="0.25">
      <c r="A133">
        <v>0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1</v>
      </c>
    </row>
    <row r="137" spans="1:1" x14ac:dyDescent="0.25">
      <c r="A137">
        <v>1</v>
      </c>
    </row>
    <row r="138" spans="1:1" x14ac:dyDescent="0.25">
      <c r="A138">
        <v>1</v>
      </c>
    </row>
    <row r="139" spans="1:1" x14ac:dyDescent="0.25">
      <c r="A139">
        <v>1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1</v>
      </c>
    </row>
    <row r="143" spans="1:1" x14ac:dyDescent="0.25">
      <c r="A143">
        <v>2</v>
      </c>
    </row>
    <row r="144" spans="1:1" x14ac:dyDescent="0.25">
      <c r="A144">
        <v>1</v>
      </c>
    </row>
    <row r="145" spans="1:1" x14ac:dyDescent="0.25">
      <c r="A145">
        <v>1</v>
      </c>
    </row>
    <row r="146" spans="1:1" x14ac:dyDescent="0.25">
      <c r="A146">
        <v>3</v>
      </c>
    </row>
    <row r="147" spans="1:1" x14ac:dyDescent="0.25">
      <c r="A147">
        <v>1</v>
      </c>
    </row>
    <row r="148" spans="1:1" x14ac:dyDescent="0.25">
      <c r="A148">
        <v>1</v>
      </c>
    </row>
    <row r="149" spans="1:1" x14ac:dyDescent="0.25">
      <c r="A149">
        <v>1</v>
      </c>
    </row>
    <row r="150" spans="1:1" x14ac:dyDescent="0.25">
      <c r="A150">
        <v>0</v>
      </c>
    </row>
    <row r="151" spans="1:1" x14ac:dyDescent="0.25">
      <c r="A151">
        <v>1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1</v>
      </c>
    </row>
    <row r="155" spans="1:1" x14ac:dyDescent="0.25">
      <c r="A155">
        <v>0</v>
      </c>
    </row>
    <row r="156" spans="1:1" x14ac:dyDescent="0.25">
      <c r="A156">
        <v>2</v>
      </c>
    </row>
    <row r="157" spans="1:1" x14ac:dyDescent="0.25">
      <c r="A157">
        <v>1</v>
      </c>
    </row>
    <row r="158" spans="1:1" x14ac:dyDescent="0.25">
      <c r="A158">
        <v>1</v>
      </c>
    </row>
    <row r="159" spans="1:1" x14ac:dyDescent="0.25">
      <c r="A159">
        <v>3</v>
      </c>
    </row>
    <row r="160" spans="1:1" x14ac:dyDescent="0.25">
      <c r="A160">
        <v>1</v>
      </c>
    </row>
    <row r="161" spans="1:1" x14ac:dyDescent="0.25">
      <c r="A161">
        <v>0</v>
      </c>
    </row>
    <row r="162" spans="1:1" x14ac:dyDescent="0.25">
      <c r="A162">
        <v>2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2</v>
      </c>
    </row>
    <row r="167" spans="1:1" x14ac:dyDescent="0.25">
      <c r="A167">
        <v>0</v>
      </c>
    </row>
    <row r="168" spans="1:1" x14ac:dyDescent="0.25">
      <c r="A168">
        <v>2</v>
      </c>
    </row>
    <row r="169" spans="1:1" x14ac:dyDescent="0.25">
      <c r="A169">
        <v>1</v>
      </c>
    </row>
    <row r="170" spans="1:1" x14ac:dyDescent="0.25">
      <c r="A170">
        <v>2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1</v>
      </c>
    </row>
    <row r="174" spans="1:1" x14ac:dyDescent="0.25">
      <c r="A174">
        <v>0</v>
      </c>
    </row>
    <row r="175" spans="1:1" x14ac:dyDescent="0.25">
      <c r="A175">
        <v>2</v>
      </c>
    </row>
    <row r="176" spans="1:1" x14ac:dyDescent="0.25">
      <c r="A176">
        <v>1</v>
      </c>
    </row>
    <row r="177" spans="1:1" x14ac:dyDescent="0.25">
      <c r="A177">
        <v>0</v>
      </c>
    </row>
    <row r="178" spans="1:1" x14ac:dyDescent="0.25">
      <c r="A178">
        <v>1</v>
      </c>
    </row>
    <row r="179" spans="1:1" x14ac:dyDescent="0.25">
      <c r="A179">
        <v>1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1</v>
      </c>
    </row>
    <row r="183" spans="1:1" x14ac:dyDescent="0.25">
      <c r="A183">
        <v>1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1</v>
      </c>
    </row>
    <row r="187" spans="1:1" x14ac:dyDescent="0.25">
      <c r="A187">
        <v>1</v>
      </c>
    </row>
    <row r="188" spans="1:1" x14ac:dyDescent="0.25">
      <c r="A188">
        <v>2</v>
      </c>
    </row>
    <row r="189" spans="1:1" x14ac:dyDescent="0.25">
      <c r="A189">
        <v>3</v>
      </c>
    </row>
    <row r="190" spans="1:1" x14ac:dyDescent="0.25">
      <c r="A190">
        <v>2</v>
      </c>
    </row>
    <row r="191" spans="1:1" x14ac:dyDescent="0.25">
      <c r="A191">
        <v>0</v>
      </c>
    </row>
    <row r="192" spans="1:1" x14ac:dyDescent="0.25">
      <c r="A192">
        <v>2</v>
      </c>
    </row>
    <row r="193" spans="1:1" x14ac:dyDescent="0.25">
      <c r="A193">
        <v>2</v>
      </c>
    </row>
    <row r="194" spans="1:1" x14ac:dyDescent="0.25">
      <c r="A194">
        <v>1</v>
      </c>
    </row>
    <row r="195" spans="1:1" x14ac:dyDescent="0.25">
      <c r="A195">
        <v>1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2</v>
      </c>
    </row>
    <row r="199" spans="1:1" x14ac:dyDescent="0.25">
      <c r="A199">
        <v>1</v>
      </c>
    </row>
    <row r="200" spans="1:1" x14ac:dyDescent="0.25">
      <c r="A200">
        <v>1</v>
      </c>
    </row>
    <row r="201" spans="1:1" x14ac:dyDescent="0.25">
      <c r="A201">
        <v>1</v>
      </c>
    </row>
    <row r="202" spans="1:1" x14ac:dyDescent="0.25">
      <c r="A202">
        <v>0</v>
      </c>
    </row>
    <row r="203" spans="1:1" x14ac:dyDescent="0.25">
      <c r="A203">
        <v>2</v>
      </c>
    </row>
    <row r="204" spans="1:1" x14ac:dyDescent="0.25">
      <c r="A204">
        <v>1</v>
      </c>
    </row>
    <row r="205" spans="1:1" x14ac:dyDescent="0.25">
      <c r="A205">
        <v>0</v>
      </c>
    </row>
    <row r="206" spans="1:1" x14ac:dyDescent="0.25">
      <c r="A206">
        <v>1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1</v>
      </c>
    </row>
    <row r="211" spans="1:1" x14ac:dyDescent="0.25">
      <c r="A211">
        <v>1</v>
      </c>
    </row>
    <row r="212" spans="1:1" x14ac:dyDescent="0.25">
      <c r="A212">
        <v>1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1</v>
      </c>
    </row>
    <row r="216" spans="1:1" x14ac:dyDescent="0.25">
      <c r="A216">
        <v>0</v>
      </c>
    </row>
    <row r="217" spans="1:1" x14ac:dyDescent="0.25">
      <c r="A217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2</v>
      </c>
    </row>
    <row r="224" spans="1:1" x14ac:dyDescent="0.25">
      <c r="A224">
        <v>1</v>
      </c>
    </row>
    <row r="225" spans="1:1" x14ac:dyDescent="0.25">
      <c r="A225">
        <v>1</v>
      </c>
    </row>
    <row r="226" spans="1:1" x14ac:dyDescent="0.25">
      <c r="A226">
        <v>2</v>
      </c>
    </row>
    <row r="227" spans="1:1" x14ac:dyDescent="0.25">
      <c r="A227">
        <v>0</v>
      </c>
    </row>
    <row r="228" spans="1:1" x14ac:dyDescent="0.25">
      <c r="A228">
        <v>1</v>
      </c>
    </row>
    <row r="229" spans="1:1" x14ac:dyDescent="0.25">
      <c r="A229">
        <v>1</v>
      </c>
    </row>
    <row r="230" spans="1:1" x14ac:dyDescent="0.25">
      <c r="A230">
        <v>1</v>
      </c>
    </row>
    <row r="231" spans="1:1" x14ac:dyDescent="0.25">
      <c r="A231">
        <v>1</v>
      </c>
    </row>
    <row r="232" spans="1:1" x14ac:dyDescent="0.25">
      <c r="A232">
        <v>2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1</v>
      </c>
    </row>
    <row r="236" spans="1:1" x14ac:dyDescent="0.25">
      <c r="A236">
        <v>2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1</v>
      </c>
    </row>
    <row r="240" spans="1:1" x14ac:dyDescent="0.25">
      <c r="A240">
        <v>0</v>
      </c>
    </row>
    <row r="241" spans="1:1" x14ac:dyDescent="0.25">
      <c r="A241">
        <v>3</v>
      </c>
    </row>
    <row r="242" spans="1:1" x14ac:dyDescent="0.25">
      <c r="A242">
        <v>1</v>
      </c>
    </row>
    <row r="243" spans="1:1" x14ac:dyDescent="0.25">
      <c r="A243">
        <v>0</v>
      </c>
    </row>
    <row r="244" spans="1:1" x14ac:dyDescent="0.25">
      <c r="A244">
        <v>1</v>
      </c>
    </row>
    <row r="245" spans="1:1" x14ac:dyDescent="0.25">
      <c r="A245">
        <v>0</v>
      </c>
    </row>
    <row r="246" spans="1:1" x14ac:dyDescent="0.25">
      <c r="A246">
        <v>1</v>
      </c>
    </row>
    <row r="247" spans="1:1" x14ac:dyDescent="0.25">
      <c r="A247">
        <v>3</v>
      </c>
    </row>
    <row r="248" spans="1:1" x14ac:dyDescent="0.25">
      <c r="A248">
        <v>0</v>
      </c>
    </row>
    <row r="249" spans="1:1" x14ac:dyDescent="0.25">
      <c r="A249">
        <v>1</v>
      </c>
    </row>
    <row r="250" spans="1:1" x14ac:dyDescent="0.25">
      <c r="A250">
        <v>2</v>
      </c>
    </row>
    <row r="251" spans="1:1" x14ac:dyDescent="0.25">
      <c r="A251">
        <v>1</v>
      </c>
    </row>
    <row r="252" spans="1:1" x14ac:dyDescent="0.25">
      <c r="A252">
        <v>3</v>
      </c>
    </row>
    <row r="253" spans="1:1" x14ac:dyDescent="0.25">
      <c r="A253">
        <v>2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1</v>
      </c>
    </row>
    <row r="257" spans="1:1" x14ac:dyDescent="0.25">
      <c r="A257">
        <v>0</v>
      </c>
    </row>
    <row r="258" spans="1:1" x14ac:dyDescent="0.25">
      <c r="A258">
        <v>1</v>
      </c>
    </row>
    <row r="259" spans="1:1" x14ac:dyDescent="0.25">
      <c r="A259">
        <v>2</v>
      </c>
    </row>
    <row r="260" spans="1:1" x14ac:dyDescent="0.25">
      <c r="A260">
        <v>3</v>
      </c>
    </row>
    <row r="261" spans="1:1" x14ac:dyDescent="0.25">
      <c r="A261">
        <v>1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2</v>
      </c>
    </row>
    <row r="269" spans="1:1" x14ac:dyDescent="0.25">
      <c r="A269">
        <v>0</v>
      </c>
    </row>
    <row r="270" spans="1:1" x14ac:dyDescent="0.25">
      <c r="A270">
        <v>3</v>
      </c>
    </row>
    <row r="271" spans="1:1" x14ac:dyDescent="0.25">
      <c r="A271">
        <v>1</v>
      </c>
    </row>
    <row r="272" spans="1:1" x14ac:dyDescent="0.25">
      <c r="A272">
        <v>2</v>
      </c>
    </row>
    <row r="273" spans="1:1" x14ac:dyDescent="0.25">
      <c r="A273">
        <v>1</v>
      </c>
    </row>
    <row r="274" spans="1:1" x14ac:dyDescent="0.25">
      <c r="A274">
        <v>1</v>
      </c>
    </row>
    <row r="275" spans="1:1" x14ac:dyDescent="0.25">
      <c r="A275">
        <v>2</v>
      </c>
    </row>
    <row r="276" spans="1:1" x14ac:dyDescent="0.25">
      <c r="A276">
        <v>0</v>
      </c>
    </row>
    <row r="277" spans="1:1" x14ac:dyDescent="0.25">
      <c r="A277">
        <v>1</v>
      </c>
    </row>
    <row r="278" spans="1:1" x14ac:dyDescent="0.25">
      <c r="A278">
        <v>1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1</v>
      </c>
    </row>
    <row r="283" spans="1:1" x14ac:dyDescent="0.25">
      <c r="A283">
        <v>0</v>
      </c>
    </row>
    <row r="284" spans="1:1" x14ac:dyDescent="0.25">
      <c r="A284">
        <v>1</v>
      </c>
    </row>
    <row r="285" spans="1:1" x14ac:dyDescent="0.25">
      <c r="A285">
        <v>3</v>
      </c>
    </row>
    <row r="286" spans="1:1" x14ac:dyDescent="0.25">
      <c r="A286">
        <v>1</v>
      </c>
    </row>
    <row r="287" spans="1:1" x14ac:dyDescent="0.25">
      <c r="A287">
        <v>1</v>
      </c>
    </row>
    <row r="288" spans="1:1" x14ac:dyDescent="0.25">
      <c r="A288">
        <v>0</v>
      </c>
    </row>
    <row r="289" spans="1:1" x14ac:dyDescent="0.25">
      <c r="A289">
        <v>1</v>
      </c>
    </row>
    <row r="290" spans="1:1" x14ac:dyDescent="0.25">
      <c r="A290">
        <v>1</v>
      </c>
    </row>
    <row r="291" spans="1:1" x14ac:dyDescent="0.25">
      <c r="A291">
        <v>1</v>
      </c>
    </row>
    <row r="292" spans="1:1" x14ac:dyDescent="0.25">
      <c r="A292">
        <v>2</v>
      </c>
    </row>
    <row r="293" spans="1:1" x14ac:dyDescent="0.25">
      <c r="A293">
        <v>1</v>
      </c>
    </row>
    <row r="294" spans="1:1" x14ac:dyDescent="0.25">
      <c r="A294">
        <v>0</v>
      </c>
    </row>
    <row r="295" spans="1:1" x14ac:dyDescent="0.25">
      <c r="A295">
        <v>2</v>
      </c>
    </row>
    <row r="296" spans="1:1" x14ac:dyDescent="0.25">
      <c r="A296">
        <v>0</v>
      </c>
    </row>
    <row r="297" spans="1:1" x14ac:dyDescent="0.25">
      <c r="A297">
        <v>1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1</v>
      </c>
    </row>
    <row r="303" spans="1:1" x14ac:dyDescent="0.25">
      <c r="A303">
        <v>1</v>
      </c>
    </row>
    <row r="304" spans="1:1" x14ac:dyDescent="0.25">
      <c r="A304">
        <v>1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3</v>
      </c>
    </row>
    <row r="310" spans="1:1" x14ac:dyDescent="0.25">
      <c r="A310">
        <v>2</v>
      </c>
    </row>
    <row r="311" spans="1:1" x14ac:dyDescent="0.25">
      <c r="A311">
        <v>1</v>
      </c>
    </row>
    <row r="312" spans="1:1" x14ac:dyDescent="0.25">
      <c r="A312">
        <v>1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1</v>
      </c>
    </row>
    <row r="319" spans="1:1" x14ac:dyDescent="0.25">
      <c r="A319">
        <v>0</v>
      </c>
    </row>
    <row r="320" spans="1:1" x14ac:dyDescent="0.25">
      <c r="A320">
        <v>2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1</v>
      </c>
    </row>
    <row r="324" spans="1:1" x14ac:dyDescent="0.25">
      <c r="A324">
        <v>1</v>
      </c>
    </row>
    <row r="325" spans="1:1" x14ac:dyDescent="0.25">
      <c r="A325">
        <v>3</v>
      </c>
    </row>
    <row r="326" spans="1:1" x14ac:dyDescent="0.25">
      <c r="A326">
        <v>1</v>
      </c>
    </row>
    <row r="327" spans="1:1" x14ac:dyDescent="0.25">
      <c r="A327">
        <v>0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3</v>
      </c>
    </row>
    <row r="335" spans="1:1" x14ac:dyDescent="0.25">
      <c r="A335">
        <v>0</v>
      </c>
    </row>
    <row r="336" spans="1:1" x14ac:dyDescent="0.25">
      <c r="A336">
        <v>1</v>
      </c>
    </row>
    <row r="337" spans="1:1" x14ac:dyDescent="0.25">
      <c r="A337">
        <v>0</v>
      </c>
    </row>
    <row r="338" spans="1:1" x14ac:dyDescent="0.25">
      <c r="A338">
        <v>1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1</v>
      </c>
    </row>
    <row r="342" spans="1:1" x14ac:dyDescent="0.25">
      <c r="A342">
        <v>1</v>
      </c>
    </row>
    <row r="343" spans="1:1" x14ac:dyDescent="0.25">
      <c r="A343">
        <v>1</v>
      </c>
    </row>
    <row r="344" spans="1:1" x14ac:dyDescent="0.25">
      <c r="A344">
        <v>1</v>
      </c>
    </row>
    <row r="345" spans="1:1" x14ac:dyDescent="0.25">
      <c r="A345">
        <v>1</v>
      </c>
    </row>
    <row r="346" spans="1:1" x14ac:dyDescent="0.25">
      <c r="A346">
        <v>3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1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1</v>
      </c>
    </row>
    <row r="353" spans="1:1" x14ac:dyDescent="0.25">
      <c r="A353">
        <v>1</v>
      </c>
    </row>
    <row r="354" spans="1:1" x14ac:dyDescent="0.25">
      <c r="A354">
        <v>1</v>
      </c>
    </row>
    <row r="355" spans="1:1" x14ac:dyDescent="0.25">
      <c r="A355">
        <v>0</v>
      </c>
    </row>
    <row r="356" spans="1:1" x14ac:dyDescent="0.25">
      <c r="A356">
        <v>1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1</v>
      </c>
    </row>
    <row r="361" spans="1:1" x14ac:dyDescent="0.25">
      <c r="A361">
        <v>1</v>
      </c>
    </row>
    <row r="362" spans="1:1" x14ac:dyDescent="0.25">
      <c r="A362">
        <v>1</v>
      </c>
    </row>
    <row r="363" spans="1:1" x14ac:dyDescent="0.25">
      <c r="A363">
        <v>0</v>
      </c>
    </row>
    <row r="364" spans="1:1" x14ac:dyDescent="0.25">
      <c r="A364">
        <v>1</v>
      </c>
    </row>
    <row r="365" spans="1:1" x14ac:dyDescent="0.25">
      <c r="A365">
        <v>1</v>
      </c>
    </row>
    <row r="366" spans="1:1" x14ac:dyDescent="0.25">
      <c r="A366">
        <v>1</v>
      </c>
    </row>
    <row r="367" spans="1:1" x14ac:dyDescent="0.25">
      <c r="A367">
        <v>3</v>
      </c>
    </row>
    <row r="368" spans="1:1" x14ac:dyDescent="0.25">
      <c r="A368">
        <v>2</v>
      </c>
    </row>
    <row r="369" spans="1:1" x14ac:dyDescent="0.25">
      <c r="A369">
        <v>0</v>
      </c>
    </row>
    <row r="370" spans="1:1" x14ac:dyDescent="0.25">
      <c r="A370">
        <v>1</v>
      </c>
    </row>
    <row r="371" spans="1:1" x14ac:dyDescent="0.25">
      <c r="A371">
        <v>0</v>
      </c>
    </row>
    <row r="372" spans="1:1" x14ac:dyDescent="0.25">
      <c r="A372">
        <v>1</v>
      </c>
    </row>
    <row r="373" spans="1:1" x14ac:dyDescent="0.25">
      <c r="A373">
        <v>0</v>
      </c>
    </row>
    <row r="374" spans="1:1" x14ac:dyDescent="0.25">
      <c r="A374">
        <v>1</v>
      </c>
    </row>
    <row r="375" spans="1:1" x14ac:dyDescent="0.25">
      <c r="A375">
        <v>1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2</v>
      </c>
    </row>
    <row r="380" spans="1:1" x14ac:dyDescent="0.25">
      <c r="A380">
        <v>1</v>
      </c>
    </row>
    <row r="381" spans="1:1" x14ac:dyDescent="0.25">
      <c r="A381">
        <v>0</v>
      </c>
    </row>
    <row r="382" spans="1:1" x14ac:dyDescent="0.25">
      <c r="A382">
        <v>1</v>
      </c>
    </row>
    <row r="383" spans="1:1" x14ac:dyDescent="0.25">
      <c r="A383">
        <v>1</v>
      </c>
    </row>
    <row r="384" spans="1:1" x14ac:dyDescent="0.25">
      <c r="A384">
        <v>3</v>
      </c>
    </row>
    <row r="385" spans="1:1" x14ac:dyDescent="0.25">
      <c r="A385">
        <v>1</v>
      </c>
    </row>
    <row r="386" spans="1:1" x14ac:dyDescent="0.25">
      <c r="A386">
        <v>3</v>
      </c>
    </row>
    <row r="387" spans="1:1" x14ac:dyDescent="0.25">
      <c r="A387">
        <v>1</v>
      </c>
    </row>
    <row r="388" spans="1:1" x14ac:dyDescent="0.25">
      <c r="A388">
        <v>0</v>
      </c>
    </row>
    <row r="389" spans="1:1" x14ac:dyDescent="0.25">
      <c r="A389">
        <v>2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1</v>
      </c>
    </row>
    <row r="393" spans="1:1" x14ac:dyDescent="0.25">
      <c r="A393">
        <v>1</v>
      </c>
    </row>
    <row r="394" spans="1:1" x14ac:dyDescent="0.25">
      <c r="A394">
        <v>1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1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1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1</v>
      </c>
    </row>
    <row r="404" spans="1:1" x14ac:dyDescent="0.25">
      <c r="A404">
        <v>0</v>
      </c>
    </row>
    <row r="405" spans="1:1" x14ac:dyDescent="0.25">
      <c r="A405">
        <v>2</v>
      </c>
    </row>
    <row r="406" spans="1:1" x14ac:dyDescent="0.25">
      <c r="A406">
        <v>0</v>
      </c>
    </row>
    <row r="407" spans="1:1" x14ac:dyDescent="0.25">
      <c r="A407">
        <v>1</v>
      </c>
    </row>
    <row r="408" spans="1:1" x14ac:dyDescent="0.25">
      <c r="A408">
        <v>2</v>
      </c>
    </row>
    <row r="409" spans="1:1" x14ac:dyDescent="0.25">
      <c r="A409">
        <v>1</v>
      </c>
    </row>
    <row r="410" spans="1:1" x14ac:dyDescent="0.25">
      <c r="A410">
        <v>0</v>
      </c>
    </row>
    <row r="411" spans="1:1" x14ac:dyDescent="0.25">
      <c r="A411">
        <v>1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1</v>
      </c>
    </row>
    <row r="417" spans="1:1" x14ac:dyDescent="0.25">
      <c r="A417">
        <v>1</v>
      </c>
    </row>
    <row r="418" spans="1:1" x14ac:dyDescent="0.25">
      <c r="A418">
        <v>0</v>
      </c>
    </row>
    <row r="419" spans="1:1" x14ac:dyDescent="0.25">
      <c r="A419">
        <v>2</v>
      </c>
    </row>
    <row r="420" spans="1:1" x14ac:dyDescent="0.25">
      <c r="A420">
        <v>1</v>
      </c>
    </row>
    <row r="421" spans="1:1" x14ac:dyDescent="0.25">
      <c r="A421">
        <v>0</v>
      </c>
    </row>
    <row r="422" spans="1:1" x14ac:dyDescent="0.25">
      <c r="A422">
        <v>0</v>
      </c>
    </row>
    <row r="423" spans="1:1" x14ac:dyDescent="0.25">
      <c r="A423">
        <v>2</v>
      </c>
    </row>
    <row r="424" spans="1:1" x14ac:dyDescent="0.25">
      <c r="A424">
        <v>0</v>
      </c>
    </row>
    <row r="425" spans="1:1" x14ac:dyDescent="0.25">
      <c r="A425">
        <v>0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2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1</v>
      </c>
    </row>
    <row r="432" spans="1:1" x14ac:dyDescent="0.25">
      <c r="A432">
        <v>0</v>
      </c>
    </row>
    <row r="433" spans="1:1" x14ac:dyDescent="0.25">
      <c r="A433">
        <v>1</v>
      </c>
    </row>
    <row r="434" spans="1:1" x14ac:dyDescent="0.25">
      <c r="A434">
        <v>0</v>
      </c>
    </row>
    <row r="435" spans="1:1" x14ac:dyDescent="0.25">
      <c r="A435">
        <v>1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0</v>
      </c>
    </row>
    <row r="445" spans="1:1" x14ac:dyDescent="0.25">
      <c r="A445">
        <v>3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2</v>
      </c>
    </row>
    <row r="449" spans="1:1" x14ac:dyDescent="0.25">
      <c r="A449">
        <v>2</v>
      </c>
    </row>
    <row r="450" spans="1:1" x14ac:dyDescent="0.25">
      <c r="A450">
        <v>0</v>
      </c>
    </row>
    <row r="451" spans="1:1" x14ac:dyDescent="0.25">
      <c r="A451">
        <v>1</v>
      </c>
    </row>
    <row r="452" spans="1:1" x14ac:dyDescent="0.25">
      <c r="A452">
        <v>1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1</v>
      </c>
    </row>
    <row r="457" spans="1:1" x14ac:dyDescent="0.25">
      <c r="A457">
        <v>0</v>
      </c>
    </row>
    <row r="458" spans="1:1" x14ac:dyDescent="0.25">
      <c r="A458">
        <v>2</v>
      </c>
    </row>
    <row r="459" spans="1:1" x14ac:dyDescent="0.25">
      <c r="A459">
        <v>0</v>
      </c>
    </row>
    <row r="460" spans="1:1" x14ac:dyDescent="0.25">
      <c r="A460">
        <v>1</v>
      </c>
    </row>
    <row r="461" spans="1:1" x14ac:dyDescent="0.25">
      <c r="A461">
        <v>0</v>
      </c>
    </row>
    <row r="462" spans="1:1" x14ac:dyDescent="0.25">
      <c r="A462">
        <v>1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1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2</v>
      </c>
    </row>
    <row r="472" spans="1:1" x14ac:dyDescent="0.25">
      <c r="A472">
        <v>1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1</v>
      </c>
    </row>
    <row r="477" spans="1:1" x14ac:dyDescent="0.25">
      <c r="A477">
        <v>0</v>
      </c>
    </row>
    <row r="478" spans="1:1" x14ac:dyDescent="0.25">
      <c r="A478">
        <v>2</v>
      </c>
    </row>
    <row r="479" spans="1:1" x14ac:dyDescent="0.25">
      <c r="A479">
        <v>2</v>
      </c>
    </row>
    <row r="480" spans="1:1" x14ac:dyDescent="0.25">
      <c r="A480">
        <v>0</v>
      </c>
    </row>
    <row r="481" spans="1:1" x14ac:dyDescent="0.25">
      <c r="A481">
        <v>1</v>
      </c>
    </row>
    <row r="482" spans="1:1" x14ac:dyDescent="0.25">
      <c r="A482">
        <v>1</v>
      </c>
    </row>
    <row r="483" spans="1:1" x14ac:dyDescent="0.25">
      <c r="A483">
        <v>1</v>
      </c>
    </row>
    <row r="484" spans="1:1" x14ac:dyDescent="0.25">
      <c r="A484">
        <v>0</v>
      </c>
    </row>
    <row r="485" spans="1:1" x14ac:dyDescent="0.25">
      <c r="A485">
        <v>1</v>
      </c>
    </row>
    <row r="486" spans="1:1" x14ac:dyDescent="0.25">
      <c r="A486">
        <v>1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1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1</v>
      </c>
    </row>
    <row r="497" spans="1:1" x14ac:dyDescent="0.25">
      <c r="A497">
        <v>1</v>
      </c>
    </row>
    <row r="498" spans="1:1" x14ac:dyDescent="0.25">
      <c r="A498">
        <v>2</v>
      </c>
    </row>
    <row r="499" spans="1:1" x14ac:dyDescent="0.25">
      <c r="A499">
        <v>3</v>
      </c>
    </row>
    <row r="500" spans="1:1" x14ac:dyDescent="0.25">
      <c r="A500">
        <v>2</v>
      </c>
    </row>
    <row r="501" spans="1:1" x14ac:dyDescent="0.25">
      <c r="A501">
        <v>1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2</v>
      </c>
    </row>
    <row r="505" spans="1:1" x14ac:dyDescent="0.25">
      <c r="A505">
        <v>1</v>
      </c>
    </row>
    <row r="506" spans="1:1" x14ac:dyDescent="0.25">
      <c r="A506">
        <v>2</v>
      </c>
    </row>
    <row r="507" spans="1:1" x14ac:dyDescent="0.25">
      <c r="A507">
        <v>1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1</v>
      </c>
    </row>
    <row r="511" spans="1:1" x14ac:dyDescent="0.25">
      <c r="A511">
        <v>0</v>
      </c>
    </row>
    <row r="512" spans="1:1" x14ac:dyDescent="0.25">
      <c r="A512">
        <v>1</v>
      </c>
    </row>
    <row r="513" spans="1:1" x14ac:dyDescent="0.25">
      <c r="A513">
        <v>1</v>
      </c>
    </row>
    <row r="514" spans="1:1" x14ac:dyDescent="0.25">
      <c r="A514">
        <v>1</v>
      </c>
    </row>
    <row r="515" spans="1:1" x14ac:dyDescent="0.25">
      <c r="A515">
        <v>0</v>
      </c>
    </row>
    <row r="516" spans="1:1" x14ac:dyDescent="0.25">
      <c r="A516">
        <v>0</v>
      </c>
    </row>
    <row r="517" spans="1:1" x14ac:dyDescent="0.25">
      <c r="A517">
        <v>1</v>
      </c>
    </row>
    <row r="518" spans="1:1" x14ac:dyDescent="0.25">
      <c r="A518">
        <v>3</v>
      </c>
    </row>
    <row r="519" spans="1:1" x14ac:dyDescent="0.25">
      <c r="A519">
        <v>3</v>
      </c>
    </row>
    <row r="520" spans="1:1" x14ac:dyDescent="0.25">
      <c r="A520">
        <v>1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3</v>
      </c>
    </row>
    <row r="524" spans="1:1" x14ac:dyDescent="0.25">
      <c r="A524">
        <v>1</v>
      </c>
    </row>
    <row r="525" spans="1:1" x14ac:dyDescent="0.25">
      <c r="A525">
        <v>1</v>
      </c>
    </row>
    <row r="526" spans="1:1" x14ac:dyDescent="0.25">
      <c r="A526">
        <v>1</v>
      </c>
    </row>
    <row r="527" spans="1:1" x14ac:dyDescent="0.25">
      <c r="A527">
        <v>1</v>
      </c>
    </row>
    <row r="528" spans="1:1" x14ac:dyDescent="0.25">
      <c r="A528">
        <v>1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3</v>
      </c>
    </row>
    <row r="532" spans="1:1" x14ac:dyDescent="0.25">
      <c r="A532">
        <v>1</v>
      </c>
    </row>
    <row r="533" spans="1:1" x14ac:dyDescent="0.25">
      <c r="A533">
        <v>0</v>
      </c>
    </row>
    <row r="534" spans="1:1" x14ac:dyDescent="0.25">
      <c r="A534">
        <v>1</v>
      </c>
    </row>
    <row r="535" spans="1:1" x14ac:dyDescent="0.25">
      <c r="A535">
        <v>1</v>
      </c>
    </row>
    <row r="536" spans="1:1" x14ac:dyDescent="0.25">
      <c r="A536">
        <v>0</v>
      </c>
    </row>
    <row r="537" spans="1:1" x14ac:dyDescent="0.25">
      <c r="A537">
        <v>3</v>
      </c>
    </row>
    <row r="538" spans="1:1" x14ac:dyDescent="0.25">
      <c r="A538">
        <v>0</v>
      </c>
    </row>
    <row r="539" spans="1:1" x14ac:dyDescent="0.25">
      <c r="A539">
        <v>1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3</v>
      </c>
    </row>
    <row r="543" spans="1:1" x14ac:dyDescent="0.25">
      <c r="A543">
        <v>1</v>
      </c>
    </row>
    <row r="544" spans="1:1" x14ac:dyDescent="0.25">
      <c r="A544">
        <v>1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1</v>
      </c>
    </row>
    <row r="549" spans="1:1" x14ac:dyDescent="0.25">
      <c r="A549">
        <v>0</v>
      </c>
    </row>
    <row r="550" spans="1:1" x14ac:dyDescent="0.25">
      <c r="A550">
        <v>1</v>
      </c>
    </row>
    <row r="551" spans="1:1" x14ac:dyDescent="0.25">
      <c r="A551">
        <v>0</v>
      </c>
    </row>
    <row r="552" spans="1:1" x14ac:dyDescent="0.25">
      <c r="A552">
        <v>1</v>
      </c>
    </row>
    <row r="553" spans="1:1" x14ac:dyDescent="0.25">
      <c r="A553">
        <v>1</v>
      </c>
    </row>
    <row r="554" spans="1:1" x14ac:dyDescent="0.25">
      <c r="A554">
        <v>0</v>
      </c>
    </row>
    <row r="555" spans="1:1" x14ac:dyDescent="0.25">
      <c r="A555">
        <v>2</v>
      </c>
    </row>
    <row r="556" spans="1:1" x14ac:dyDescent="0.25">
      <c r="A556">
        <v>1</v>
      </c>
    </row>
    <row r="557" spans="1:1" x14ac:dyDescent="0.25">
      <c r="A557">
        <v>1</v>
      </c>
    </row>
    <row r="558" spans="1:1" x14ac:dyDescent="0.25">
      <c r="A558">
        <v>0</v>
      </c>
    </row>
    <row r="559" spans="1:1" x14ac:dyDescent="0.25">
      <c r="A559">
        <v>1</v>
      </c>
    </row>
    <row r="560" spans="1:1" x14ac:dyDescent="0.25">
      <c r="A560">
        <v>1</v>
      </c>
    </row>
    <row r="561" spans="1:1" x14ac:dyDescent="0.25">
      <c r="A561">
        <v>1</v>
      </c>
    </row>
    <row r="562" spans="1:1" x14ac:dyDescent="0.25">
      <c r="A562">
        <v>0</v>
      </c>
    </row>
    <row r="563" spans="1:1" x14ac:dyDescent="0.25">
      <c r="A563">
        <v>0</v>
      </c>
    </row>
    <row r="564" spans="1:1" x14ac:dyDescent="0.25">
      <c r="A564">
        <v>1</v>
      </c>
    </row>
    <row r="565" spans="1:1" x14ac:dyDescent="0.25">
      <c r="A565">
        <v>1</v>
      </c>
    </row>
    <row r="566" spans="1:1" x14ac:dyDescent="0.25">
      <c r="A566">
        <v>2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1</v>
      </c>
    </row>
    <row r="570" spans="1:1" x14ac:dyDescent="0.25">
      <c r="A570">
        <v>0</v>
      </c>
    </row>
    <row r="571" spans="1:1" x14ac:dyDescent="0.25">
      <c r="A571">
        <v>1</v>
      </c>
    </row>
    <row r="572" spans="1:1" x14ac:dyDescent="0.25">
      <c r="A572">
        <v>1</v>
      </c>
    </row>
    <row r="573" spans="1:1" x14ac:dyDescent="0.25">
      <c r="A573">
        <v>0</v>
      </c>
    </row>
    <row r="574" spans="1:1" x14ac:dyDescent="0.25">
      <c r="A574">
        <v>1</v>
      </c>
    </row>
    <row r="575" spans="1:1" x14ac:dyDescent="0.25">
      <c r="A575">
        <v>2</v>
      </c>
    </row>
    <row r="576" spans="1:1" x14ac:dyDescent="0.25">
      <c r="A576">
        <v>2</v>
      </c>
    </row>
    <row r="577" spans="1:1" x14ac:dyDescent="0.25">
      <c r="A577">
        <v>1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2</v>
      </c>
    </row>
    <row r="582" spans="1:1" x14ac:dyDescent="0.25">
      <c r="A582">
        <v>3</v>
      </c>
    </row>
    <row r="583" spans="1:1" x14ac:dyDescent="0.25">
      <c r="A583">
        <v>0</v>
      </c>
    </row>
    <row r="584" spans="1:1" x14ac:dyDescent="0.25">
      <c r="A584">
        <v>1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1</v>
      </c>
    </row>
    <row r="588" spans="1:1" x14ac:dyDescent="0.25">
      <c r="A588">
        <v>3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1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1</v>
      </c>
    </row>
    <row r="595" spans="1:1" x14ac:dyDescent="0.25">
      <c r="A595">
        <v>1</v>
      </c>
    </row>
    <row r="596" spans="1:1" x14ac:dyDescent="0.25">
      <c r="A596">
        <v>2</v>
      </c>
    </row>
    <row r="597" spans="1:1" x14ac:dyDescent="0.25">
      <c r="A597">
        <v>1</v>
      </c>
    </row>
    <row r="598" spans="1:1" x14ac:dyDescent="0.25">
      <c r="A598">
        <v>0</v>
      </c>
    </row>
    <row r="599" spans="1:1" x14ac:dyDescent="0.25">
      <c r="A599">
        <v>1</v>
      </c>
    </row>
    <row r="600" spans="1:1" x14ac:dyDescent="0.25">
      <c r="A600">
        <v>1</v>
      </c>
    </row>
    <row r="601" spans="1:1" x14ac:dyDescent="0.25">
      <c r="A601">
        <v>1</v>
      </c>
    </row>
    <row r="602" spans="1:1" x14ac:dyDescent="0.25">
      <c r="A602">
        <v>1</v>
      </c>
    </row>
    <row r="603" spans="1:1" x14ac:dyDescent="0.25">
      <c r="A603">
        <v>1</v>
      </c>
    </row>
    <row r="604" spans="1:1" x14ac:dyDescent="0.25">
      <c r="A604">
        <v>3</v>
      </c>
    </row>
    <row r="605" spans="1:1" x14ac:dyDescent="0.25">
      <c r="A605">
        <v>1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1</v>
      </c>
    </row>
    <row r="610" spans="1:1" x14ac:dyDescent="0.25">
      <c r="A610">
        <v>0</v>
      </c>
    </row>
    <row r="611" spans="1:1" x14ac:dyDescent="0.25">
      <c r="A611">
        <v>0</v>
      </c>
    </row>
    <row r="612" spans="1:1" x14ac:dyDescent="0.25">
      <c r="A612">
        <v>1</v>
      </c>
    </row>
    <row r="613" spans="1:1" x14ac:dyDescent="0.25">
      <c r="A613">
        <v>0</v>
      </c>
    </row>
    <row r="614" spans="1:1" x14ac:dyDescent="0.25">
      <c r="A614">
        <v>0</v>
      </c>
    </row>
    <row r="615" spans="1:1" x14ac:dyDescent="0.25">
      <c r="A615">
        <v>0</v>
      </c>
    </row>
    <row r="616" spans="1:1" x14ac:dyDescent="0.25">
      <c r="A616">
        <v>1</v>
      </c>
    </row>
    <row r="617" spans="1:1" x14ac:dyDescent="0.25">
      <c r="A617">
        <v>1</v>
      </c>
    </row>
    <row r="618" spans="1:1" x14ac:dyDescent="0.25">
      <c r="A618">
        <v>0</v>
      </c>
    </row>
    <row r="619" spans="1:1" x14ac:dyDescent="0.25">
      <c r="A619">
        <v>1</v>
      </c>
    </row>
    <row r="620" spans="1:1" x14ac:dyDescent="0.25">
      <c r="A620">
        <v>1</v>
      </c>
    </row>
    <row r="621" spans="1:1" x14ac:dyDescent="0.25">
      <c r="A621">
        <v>2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3</v>
      </c>
    </row>
    <row r="628" spans="1:1" x14ac:dyDescent="0.25">
      <c r="A628">
        <v>2</v>
      </c>
    </row>
    <row r="629" spans="1:1" x14ac:dyDescent="0.25">
      <c r="A629">
        <v>1</v>
      </c>
    </row>
    <row r="630" spans="1:1" x14ac:dyDescent="0.25">
      <c r="A630">
        <v>1</v>
      </c>
    </row>
    <row r="631" spans="1:1" x14ac:dyDescent="0.25">
      <c r="A631">
        <v>0</v>
      </c>
    </row>
    <row r="632" spans="1:1" x14ac:dyDescent="0.25">
      <c r="A632">
        <v>1</v>
      </c>
    </row>
    <row r="633" spans="1:1" x14ac:dyDescent="0.25">
      <c r="A633">
        <v>0</v>
      </c>
    </row>
    <row r="634" spans="1:1" x14ac:dyDescent="0.25">
      <c r="A634">
        <v>0</v>
      </c>
    </row>
    <row r="635" spans="1:1" x14ac:dyDescent="0.25">
      <c r="A635">
        <v>1</v>
      </c>
    </row>
    <row r="636" spans="1:1" x14ac:dyDescent="0.25">
      <c r="A636">
        <v>1</v>
      </c>
    </row>
    <row r="637" spans="1:1" x14ac:dyDescent="0.25">
      <c r="A637">
        <v>1</v>
      </c>
    </row>
    <row r="638" spans="1:1" x14ac:dyDescent="0.25">
      <c r="A638">
        <v>1</v>
      </c>
    </row>
    <row r="639" spans="1:1" x14ac:dyDescent="0.25">
      <c r="A639">
        <v>1</v>
      </c>
    </row>
    <row r="640" spans="1:1" x14ac:dyDescent="0.25">
      <c r="A640">
        <v>2</v>
      </c>
    </row>
    <row r="641" spans="1:1" x14ac:dyDescent="0.25">
      <c r="A641">
        <v>1</v>
      </c>
    </row>
    <row r="642" spans="1:1" x14ac:dyDescent="0.25">
      <c r="A642">
        <v>1</v>
      </c>
    </row>
    <row r="643" spans="1:1" x14ac:dyDescent="0.25">
      <c r="A643">
        <v>1</v>
      </c>
    </row>
    <row r="644" spans="1:1" x14ac:dyDescent="0.25">
      <c r="A644">
        <v>0</v>
      </c>
    </row>
    <row r="645" spans="1:1" x14ac:dyDescent="0.25">
      <c r="A645">
        <v>1</v>
      </c>
    </row>
    <row r="646" spans="1:1" x14ac:dyDescent="0.25">
      <c r="A646">
        <v>1</v>
      </c>
    </row>
    <row r="647" spans="1:1" x14ac:dyDescent="0.25">
      <c r="A647">
        <v>1</v>
      </c>
    </row>
    <row r="648" spans="1:1" x14ac:dyDescent="0.25">
      <c r="A648">
        <v>0</v>
      </c>
    </row>
    <row r="649" spans="1:1" x14ac:dyDescent="0.25">
      <c r="A649">
        <v>3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1</v>
      </c>
    </row>
    <row r="654" spans="1:1" x14ac:dyDescent="0.25">
      <c r="A654">
        <v>0</v>
      </c>
    </row>
    <row r="655" spans="1:1" x14ac:dyDescent="0.25">
      <c r="A655">
        <v>1</v>
      </c>
    </row>
    <row r="656" spans="1:1" x14ac:dyDescent="0.25">
      <c r="A656">
        <v>0</v>
      </c>
    </row>
    <row r="657" spans="1:1" x14ac:dyDescent="0.25">
      <c r="A657">
        <v>1</v>
      </c>
    </row>
    <row r="658" spans="1:1" x14ac:dyDescent="0.25">
      <c r="A658">
        <v>2</v>
      </c>
    </row>
    <row r="659" spans="1:1" x14ac:dyDescent="0.25">
      <c r="A659">
        <v>1</v>
      </c>
    </row>
    <row r="660" spans="1:1" x14ac:dyDescent="0.25">
      <c r="A660">
        <v>0</v>
      </c>
    </row>
    <row r="661" spans="1:1" x14ac:dyDescent="0.25">
      <c r="A661">
        <v>0</v>
      </c>
    </row>
    <row r="662" spans="1:1" x14ac:dyDescent="0.25">
      <c r="A662">
        <v>2</v>
      </c>
    </row>
    <row r="663" spans="1:1" x14ac:dyDescent="0.25">
      <c r="A663">
        <v>1</v>
      </c>
    </row>
    <row r="664" spans="1:1" x14ac:dyDescent="0.25">
      <c r="A664">
        <v>1</v>
      </c>
    </row>
    <row r="665" spans="1:1" x14ac:dyDescent="0.25">
      <c r="A665">
        <v>1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1</v>
      </c>
    </row>
    <row r="669" spans="1:1" x14ac:dyDescent="0.25">
      <c r="A669">
        <v>3</v>
      </c>
    </row>
    <row r="670" spans="1:1" x14ac:dyDescent="0.25">
      <c r="A670">
        <v>1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2</v>
      </c>
    </row>
    <row r="674" spans="1:1" x14ac:dyDescent="0.25">
      <c r="A674">
        <v>0</v>
      </c>
    </row>
    <row r="675" spans="1:1" x14ac:dyDescent="0.25">
      <c r="A675">
        <v>1</v>
      </c>
    </row>
    <row r="676" spans="1:1" x14ac:dyDescent="0.25">
      <c r="A676">
        <v>0</v>
      </c>
    </row>
    <row r="677" spans="1:1" x14ac:dyDescent="0.25">
      <c r="A677">
        <v>1</v>
      </c>
    </row>
    <row r="678" spans="1:1" x14ac:dyDescent="0.25">
      <c r="A678">
        <v>1</v>
      </c>
    </row>
    <row r="679" spans="1:1" x14ac:dyDescent="0.25">
      <c r="A679">
        <v>1</v>
      </c>
    </row>
    <row r="680" spans="1:1" x14ac:dyDescent="0.25">
      <c r="A680">
        <v>3</v>
      </c>
    </row>
    <row r="681" spans="1:1" x14ac:dyDescent="0.25">
      <c r="A681">
        <v>0</v>
      </c>
    </row>
    <row r="682" spans="1:1" x14ac:dyDescent="0.25">
      <c r="A682">
        <v>0</v>
      </c>
    </row>
    <row r="683" spans="1:1" x14ac:dyDescent="0.25">
      <c r="A683">
        <v>1</v>
      </c>
    </row>
    <row r="684" spans="1:1" x14ac:dyDescent="0.25">
      <c r="A684">
        <v>2</v>
      </c>
    </row>
    <row r="685" spans="1:1" x14ac:dyDescent="0.25">
      <c r="A685">
        <v>1</v>
      </c>
    </row>
    <row r="686" spans="1:1" x14ac:dyDescent="0.25">
      <c r="A686">
        <v>1</v>
      </c>
    </row>
    <row r="687" spans="1:1" x14ac:dyDescent="0.25">
      <c r="A687">
        <v>1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3</v>
      </c>
    </row>
    <row r="692" spans="1:1" x14ac:dyDescent="0.25">
      <c r="A692">
        <v>0</v>
      </c>
    </row>
    <row r="693" spans="1:1" x14ac:dyDescent="0.25">
      <c r="A693">
        <v>1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2</v>
      </c>
    </row>
    <row r="697" spans="1:1" x14ac:dyDescent="0.25">
      <c r="A697">
        <v>0</v>
      </c>
    </row>
    <row r="698" spans="1:1" x14ac:dyDescent="0.25">
      <c r="A698">
        <v>1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1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1</v>
      </c>
    </row>
    <row r="705" spans="1:1" x14ac:dyDescent="0.25">
      <c r="A705">
        <v>0</v>
      </c>
    </row>
    <row r="706" spans="1:1" x14ac:dyDescent="0.25">
      <c r="A706">
        <v>0</v>
      </c>
    </row>
    <row r="707" spans="1:1" x14ac:dyDescent="0.25">
      <c r="A707">
        <v>0</v>
      </c>
    </row>
    <row r="708" spans="1:1" x14ac:dyDescent="0.25">
      <c r="A708">
        <v>1</v>
      </c>
    </row>
    <row r="709" spans="1:1" x14ac:dyDescent="0.25">
      <c r="A709">
        <v>0</v>
      </c>
    </row>
    <row r="710" spans="1:1" x14ac:dyDescent="0.25">
      <c r="A710">
        <v>1</v>
      </c>
    </row>
    <row r="711" spans="1:1" x14ac:dyDescent="0.25">
      <c r="A711">
        <v>1</v>
      </c>
    </row>
    <row r="712" spans="1:1" x14ac:dyDescent="0.25">
      <c r="A712">
        <v>2</v>
      </c>
    </row>
    <row r="713" spans="1:1" x14ac:dyDescent="0.25">
      <c r="A713">
        <v>1</v>
      </c>
    </row>
    <row r="714" spans="1:1" x14ac:dyDescent="0.25">
      <c r="A714">
        <v>0</v>
      </c>
    </row>
    <row r="715" spans="1:1" x14ac:dyDescent="0.25">
      <c r="A715">
        <v>1</v>
      </c>
    </row>
    <row r="716" spans="1:1" x14ac:dyDescent="0.25">
      <c r="A716">
        <v>0</v>
      </c>
    </row>
    <row r="717" spans="1:1" x14ac:dyDescent="0.25">
      <c r="A717">
        <v>1</v>
      </c>
    </row>
    <row r="718" spans="1:1" x14ac:dyDescent="0.25">
      <c r="A718">
        <v>1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3</v>
      </c>
    </row>
    <row r="722" spans="1:1" x14ac:dyDescent="0.25">
      <c r="A722">
        <v>1</v>
      </c>
    </row>
    <row r="723" spans="1:1" x14ac:dyDescent="0.25">
      <c r="A723">
        <v>3</v>
      </c>
    </row>
    <row r="724" spans="1:1" x14ac:dyDescent="0.25">
      <c r="A724">
        <v>2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2</v>
      </c>
    </row>
    <row r="728" spans="1:1" x14ac:dyDescent="0.25">
      <c r="A728">
        <v>1</v>
      </c>
    </row>
    <row r="729" spans="1:1" x14ac:dyDescent="0.25">
      <c r="A729">
        <v>1</v>
      </c>
    </row>
    <row r="730" spans="1:1" x14ac:dyDescent="0.25">
      <c r="A730">
        <v>0</v>
      </c>
    </row>
    <row r="731" spans="1:1" x14ac:dyDescent="0.25">
      <c r="A731">
        <v>1</v>
      </c>
    </row>
    <row r="732" spans="1:1" x14ac:dyDescent="0.25">
      <c r="A732">
        <v>1</v>
      </c>
    </row>
    <row r="733" spans="1:1" x14ac:dyDescent="0.25">
      <c r="A733">
        <v>0</v>
      </c>
    </row>
    <row r="734" spans="1:1" x14ac:dyDescent="0.25">
      <c r="A734">
        <v>0</v>
      </c>
    </row>
    <row r="735" spans="1:1" x14ac:dyDescent="0.25">
      <c r="A735">
        <v>0</v>
      </c>
    </row>
    <row r="736" spans="1:1" x14ac:dyDescent="0.25">
      <c r="A736">
        <v>0</v>
      </c>
    </row>
    <row r="737" spans="1:1" x14ac:dyDescent="0.25">
      <c r="A737">
        <v>0</v>
      </c>
    </row>
    <row r="738" spans="1:1" x14ac:dyDescent="0.25">
      <c r="A738">
        <v>1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1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1</v>
      </c>
    </row>
    <row r="747" spans="1:1" x14ac:dyDescent="0.25">
      <c r="A747">
        <v>3</v>
      </c>
    </row>
    <row r="748" spans="1:1" x14ac:dyDescent="0.25">
      <c r="A748">
        <v>3</v>
      </c>
    </row>
    <row r="749" spans="1:1" x14ac:dyDescent="0.25">
      <c r="A749">
        <v>0</v>
      </c>
    </row>
    <row r="750" spans="1:1" x14ac:dyDescent="0.25">
      <c r="A750">
        <v>3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</v>
      </c>
    </row>
    <row r="754" spans="1:1" x14ac:dyDescent="0.25">
      <c r="A754">
        <v>1</v>
      </c>
    </row>
    <row r="755" spans="1:1" x14ac:dyDescent="0.25">
      <c r="A755">
        <v>3</v>
      </c>
    </row>
    <row r="756" spans="1:1" x14ac:dyDescent="0.25">
      <c r="A756">
        <v>1</v>
      </c>
    </row>
    <row r="757" spans="1:1" x14ac:dyDescent="0.25">
      <c r="A757">
        <v>0</v>
      </c>
    </row>
    <row r="758" spans="1:1" x14ac:dyDescent="0.25">
      <c r="A758">
        <v>1</v>
      </c>
    </row>
    <row r="759" spans="1:1" x14ac:dyDescent="0.25">
      <c r="A759">
        <v>1</v>
      </c>
    </row>
    <row r="760" spans="1:1" x14ac:dyDescent="0.25">
      <c r="A760">
        <v>1</v>
      </c>
    </row>
    <row r="761" spans="1:1" x14ac:dyDescent="0.25">
      <c r="A761">
        <v>0</v>
      </c>
    </row>
    <row r="762" spans="1:1" x14ac:dyDescent="0.25">
      <c r="A762">
        <v>0</v>
      </c>
    </row>
    <row r="763" spans="1:1" x14ac:dyDescent="0.25">
      <c r="A763">
        <v>1</v>
      </c>
    </row>
    <row r="764" spans="1:1" x14ac:dyDescent="0.25">
      <c r="A764">
        <v>0</v>
      </c>
    </row>
    <row r="765" spans="1:1" x14ac:dyDescent="0.25">
      <c r="A765">
        <v>1</v>
      </c>
    </row>
    <row r="766" spans="1:1" x14ac:dyDescent="0.25">
      <c r="A766">
        <v>1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1</v>
      </c>
    </row>
    <row r="770" spans="1:1" x14ac:dyDescent="0.25">
      <c r="A770">
        <v>1</v>
      </c>
    </row>
    <row r="771" spans="1:1" x14ac:dyDescent="0.25">
      <c r="A771">
        <v>1</v>
      </c>
    </row>
    <row r="772" spans="1:1" x14ac:dyDescent="0.25">
      <c r="A772">
        <v>0</v>
      </c>
    </row>
    <row r="773" spans="1:1" x14ac:dyDescent="0.25">
      <c r="A773">
        <v>3</v>
      </c>
    </row>
    <row r="774" spans="1:1" x14ac:dyDescent="0.25">
      <c r="A774">
        <v>0</v>
      </c>
    </row>
    <row r="775" spans="1:1" x14ac:dyDescent="0.25">
      <c r="A775">
        <v>1</v>
      </c>
    </row>
    <row r="776" spans="1:1" x14ac:dyDescent="0.25">
      <c r="A776">
        <v>1</v>
      </c>
    </row>
    <row r="777" spans="1:1" x14ac:dyDescent="0.25">
      <c r="A777">
        <v>0</v>
      </c>
    </row>
    <row r="778" spans="1:1" x14ac:dyDescent="0.25">
      <c r="A778">
        <v>1</v>
      </c>
    </row>
    <row r="779" spans="1:1" x14ac:dyDescent="0.25">
      <c r="A779">
        <v>3</v>
      </c>
    </row>
    <row r="780" spans="1:1" x14ac:dyDescent="0.25">
      <c r="A780">
        <v>0</v>
      </c>
    </row>
    <row r="781" spans="1:1" x14ac:dyDescent="0.25">
      <c r="A781">
        <v>3</v>
      </c>
    </row>
    <row r="782" spans="1:1" x14ac:dyDescent="0.25">
      <c r="A782">
        <v>0</v>
      </c>
    </row>
    <row r="783" spans="1:1" x14ac:dyDescent="0.25">
      <c r="A783">
        <v>0</v>
      </c>
    </row>
    <row r="784" spans="1:1" x14ac:dyDescent="0.25">
      <c r="A784">
        <v>1</v>
      </c>
    </row>
    <row r="785" spans="1:1" x14ac:dyDescent="0.25">
      <c r="A785">
        <v>1</v>
      </c>
    </row>
    <row r="786" spans="1:1" x14ac:dyDescent="0.25">
      <c r="A786">
        <v>1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3</v>
      </c>
    </row>
    <row r="791" spans="1:1" x14ac:dyDescent="0.25">
      <c r="A791">
        <v>0</v>
      </c>
    </row>
    <row r="792" spans="1:1" x14ac:dyDescent="0.25">
      <c r="A792">
        <v>1</v>
      </c>
    </row>
    <row r="793" spans="1:1" x14ac:dyDescent="0.25">
      <c r="A793">
        <v>0</v>
      </c>
    </row>
    <row r="794" spans="1:1" x14ac:dyDescent="0.25">
      <c r="A794">
        <v>1</v>
      </c>
    </row>
    <row r="795" spans="1:1" x14ac:dyDescent="0.25">
      <c r="A795">
        <v>3</v>
      </c>
    </row>
    <row r="796" spans="1:1" x14ac:dyDescent="0.25">
      <c r="A796">
        <v>2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1</v>
      </c>
    </row>
    <row r="802" spans="1:1" x14ac:dyDescent="0.25">
      <c r="A802">
        <v>2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0</v>
      </c>
    </row>
    <row r="806" spans="1:1" x14ac:dyDescent="0.25">
      <c r="A806">
        <v>1</v>
      </c>
    </row>
    <row r="807" spans="1:1" x14ac:dyDescent="0.25">
      <c r="A807">
        <v>1</v>
      </c>
    </row>
    <row r="808" spans="1:1" x14ac:dyDescent="0.25">
      <c r="A808">
        <v>0</v>
      </c>
    </row>
    <row r="809" spans="1:1" x14ac:dyDescent="0.25">
      <c r="A809">
        <v>2</v>
      </c>
    </row>
    <row r="810" spans="1:1" x14ac:dyDescent="0.25">
      <c r="A810">
        <v>1</v>
      </c>
    </row>
    <row r="811" spans="1:1" x14ac:dyDescent="0.25">
      <c r="A811">
        <v>1</v>
      </c>
    </row>
    <row r="812" spans="1:1" x14ac:dyDescent="0.25">
      <c r="A812">
        <v>2</v>
      </c>
    </row>
    <row r="813" spans="1:1" x14ac:dyDescent="0.25">
      <c r="A813">
        <v>1</v>
      </c>
    </row>
    <row r="814" spans="1:1" x14ac:dyDescent="0.25">
      <c r="A814">
        <v>1</v>
      </c>
    </row>
    <row r="815" spans="1:1" x14ac:dyDescent="0.25">
      <c r="A815">
        <v>1</v>
      </c>
    </row>
    <row r="816" spans="1:1" x14ac:dyDescent="0.25">
      <c r="A816">
        <v>1</v>
      </c>
    </row>
    <row r="817" spans="1:1" x14ac:dyDescent="0.25">
      <c r="A817">
        <v>1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2</v>
      </c>
    </row>
    <row r="823" spans="1:1" x14ac:dyDescent="0.25">
      <c r="A823">
        <v>1</v>
      </c>
    </row>
    <row r="824" spans="1:1" x14ac:dyDescent="0.25">
      <c r="A824">
        <v>2</v>
      </c>
    </row>
    <row r="825" spans="1:1" x14ac:dyDescent="0.25">
      <c r="A825">
        <v>1</v>
      </c>
    </row>
    <row r="826" spans="1:1" x14ac:dyDescent="0.25">
      <c r="A826">
        <v>2</v>
      </c>
    </row>
    <row r="827" spans="1:1" x14ac:dyDescent="0.25">
      <c r="A827">
        <v>2</v>
      </c>
    </row>
    <row r="828" spans="1:1" x14ac:dyDescent="0.25">
      <c r="A828">
        <v>3</v>
      </c>
    </row>
    <row r="829" spans="1:1" x14ac:dyDescent="0.25">
      <c r="A829">
        <v>0</v>
      </c>
    </row>
    <row r="830" spans="1:1" x14ac:dyDescent="0.25">
      <c r="A830">
        <v>1</v>
      </c>
    </row>
    <row r="831" spans="1:1" x14ac:dyDescent="0.25">
      <c r="A831">
        <v>1</v>
      </c>
    </row>
    <row r="832" spans="1:1" x14ac:dyDescent="0.25">
      <c r="A832">
        <v>1</v>
      </c>
    </row>
    <row r="833" spans="1:1" x14ac:dyDescent="0.25">
      <c r="A833">
        <v>0</v>
      </c>
    </row>
    <row r="834" spans="1:1" x14ac:dyDescent="0.25">
      <c r="A834">
        <v>3</v>
      </c>
    </row>
    <row r="835" spans="1:1" x14ac:dyDescent="0.25">
      <c r="A835">
        <v>0</v>
      </c>
    </row>
    <row r="836" spans="1:1" x14ac:dyDescent="0.25">
      <c r="A836">
        <v>1</v>
      </c>
    </row>
    <row r="837" spans="1:1" x14ac:dyDescent="0.25">
      <c r="A837">
        <v>1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1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1</v>
      </c>
    </row>
    <row r="846" spans="1:1" x14ac:dyDescent="0.25">
      <c r="A846">
        <v>0</v>
      </c>
    </row>
    <row r="847" spans="1:1" x14ac:dyDescent="0.25">
      <c r="A847">
        <v>1</v>
      </c>
    </row>
    <row r="848" spans="1:1" x14ac:dyDescent="0.25">
      <c r="A848">
        <v>0</v>
      </c>
    </row>
    <row r="849" spans="1:1" x14ac:dyDescent="0.25">
      <c r="A849">
        <v>3</v>
      </c>
    </row>
    <row r="850" spans="1:1" x14ac:dyDescent="0.25">
      <c r="A850">
        <v>2</v>
      </c>
    </row>
    <row r="851" spans="1:1" x14ac:dyDescent="0.25">
      <c r="A851">
        <v>1</v>
      </c>
    </row>
    <row r="852" spans="1:1" x14ac:dyDescent="0.25">
      <c r="A852">
        <v>1</v>
      </c>
    </row>
    <row r="853" spans="1:1" x14ac:dyDescent="0.25">
      <c r="A853">
        <v>0</v>
      </c>
    </row>
    <row r="854" spans="1:1" x14ac:dyDescent="0.25">
      <c r="A854">
        <v>0</v>
      </c>
    </row>
    <row r="855" spans="1:1" x14ac:dyDescent="0.25">
      <c r="A855">
        <v>0</v>
      </c>
    </row>
    <row r="856" spans="1:1" x14ac:dyDescent="0.25">
      <c r="A856">
        <v>0</v>
      </c>
    </row>
    <row r="857" spans="1:1" x14ac:dyDescent="0.25">
      <c r="A857">
        <v>1</v>
      </c>
    </row>
    <row r="858" spans="1:1" x14ac:dyDescent="0.25">
      <c r="A858">
        <v>0</v>
      </c>
    </row>
    <row r="859" spans="1:1" x14ac:dyDescent="0.25">
      <c r="A859">
        <v>1</v>
      </c>
    </row>
    <row r="860" spans="1:1" x14ac:dyDescent="0.25">
      <c r="A860">
        <v>1</v>
      </c>
    </row>
    <row r="861" spans="1:1" x14ac:dyDescent="0.25">
      <c r="A861">
        <v>1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2</v>
      </c>
    </row>
    <row r="866" spans="1:1" x14ac:dyDescent="0.25">
      <c r="A866">
        <v>2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1</v>
      </c>
    </row>
    <row r="870" spans="1:1" x14ac:dyDescent="0.25">
      <c r="A870">
        <v>1</v>
      </c>
    </row>
    <row r="871" spans="1:1" x14ac:dyDescent="0.25">
      <c r="A871">
        <v>0</v>
      </c>
    </row>
  </sheetData>
  <autoFilter ref="A1:A871" xr:uid="{A8F853A2-C910-4211-A78A-DE2F2ABC8495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raw_data</vt:lpstr>
      <vt:lpstr>replacement cost analysis</vt:lpstr>
      <vt:lpstr>Sheet3</vt:lpstr>
      <vt:lpstr>summary numerical</vt:lpstr>
      <vt:lpstr>attrition breakdown</vt:lpstr>
      <vt:lpstr>job role</vt:lpstr>
      <vt:lpstr>department</vt:lpstr>
      <vt:lpstr>marital status</vt:lpstr>
      <vt:lpstr>overtime</vt:lpstr>
      <vt:lpstr>job involvement</vt:lpstr>
      <vt:lpstr>stock 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Westlauer</dc:creator>
  <cp:lastModifiedBy>Westlauer, Isabella</cp:lastModifiedBy>
  <dcterms:created xsi:type="dcterms:W3CDTF">2015-06-05T18:17:20Z</dcterms:created>
  <dcterms:modified xsi:type="dcterms:W3CDTF">2026-03-06T18:29:08Z</dcterms:modified>
</cp:coreProperties>
</file>