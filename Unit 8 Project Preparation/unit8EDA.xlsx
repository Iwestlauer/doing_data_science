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mu365-my.sharepoint.com/personal/iwestlauer_smu_edu/Documents/doing_data_science/Unit 8 Project Preparation/"/>
    </mc:Choice>
  </mc:AlternateContent>
  <xr:revisionPtr revIDLastSave="361" documentId="13_ncr:1_{D0E4DFBC-36BD-407A-ACB0-CBE40FFE7C6E}" xr6:coauthVersionLast="47" xr6:coauthVersionMax="47" xr10:uidLastSave="{081BB075-8512-4F4A-90C4-9EF90DF4FE59}"/>
  <bookViews>
    <workbookView minimized="1" xWindow="5520" yWindow="3510" windowWidth="15660" windowHeight="9270" activeTab="4" xr2:uid="{00000000-000D-0000-FFFF-FFFF00000000}"/>
  </bookViews>
  <sheets>
    <sheet name="Sheet1" sheetId="1" r:id="rId1"/>
    <sheet name="Sheet2" sheetId="2" r:id="rId2"/>
    <sheet name="Sheet3" sheetId="3" r:id="rId3"/>
    <sheet name="Sheet6" sheetId="6" r:id="rId4"/>
    <sheet name="cost model" sheetId="7" r:id="rId5"/>
    <sheet name="Sheet4" sheetId="4" r:id="rId6"/>
    <sheet name="Sheet5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7" l="1"/>
  <c r="L15" i="7"/>
  <c r="L14" i="7"/>
  <c r="L13" i="7"/>
  <c r="L12" i="7"/>
  <c r="D12" i="7"/>
  <c r="D13" i="7"/>
  <c r="D14" i="7"/>
  <c r="D15" i="7"/>
  <c r="D16" i="7"/>
  <c r="D17" i="7"/>
  <c r="D11" i="7"/>
  <c r="H5" i="7"/>
  <c r="F5" i="7"/>
  <c r="H4" i="7"/>
  <c r="D62" i="6"/>
  <c r="G62" i="6" s="1"/>
  <c r="E62" i="6"/>
  <c r="I60" i="6"/>
  <c r="I59" i="6"/>
  <c r="I58" i="6"/>
  <c r="I63" i="6"/>
  <c r="F68" i="6"/>
  <c r="G68" i="6" s="1"/>
  <c r="G66" i="6"/>
  <c r="F66" i="6"/>
  <c r="I61" i="6"/>
  <c r="G61" i="6"/>
  <c r="H48" i="6"/>
  <c r="G48" i="6"/>
  <c r="G50" i="6"/>
  <c r="H49" i="6"/>
  <c r="G49" i="6"/>
  <c r="G47" i="6"/>
  <c r="D27" i="6"/>
  <c r="D25" i="6"/>
  <c r="B35" i="6"/>
  <c r="A35" i="6"/>
  <c r="B34" i="6"/>
  <c r="A31" i="6"/>
  <c r="E19" i="6"/>
  <c r="E18" i="6"/>
  <c r="E17" i="6"/>
  <c r="E16" i="6"/>
  <c r="F13" i="6"/>
  <c r="F12" i="6"/>
  <c r="D9" i="6"/>
  <c r="C12" i="6"/>
  <c r="C11" i="6"/>
  <c r="C10" i="6"/>
  <c r="C9" i="6"/>
  <c r="F3" i="6"/>
  <c r="F4" i="6"/>
  <c r="F5" i="6"/>
  <c r="F2" i="6"/>
  <c r="F62" i="6" l="1"/>
  <c r="I62" i="6"/>
  <c r="H62" i="6"/>
  <c r="F11" i="6"/>
  <c r="F10" i="6"/>
  <c r="F9" i="6"/>
</calcChain>
</file>

<file path=xl/sharedStrings.xml><?xml version="1.0" encoding="utf-8"?>
<sst xmlns="http://schemas.openxmlformats.org/spreadsheetml/2006/main" count="363" uniqueCount="253">
  <si>
    <t>$Attrition</t>
  </si>
  <si>
    <t>$BusinessTravel</t>
  </si>
  <si>
    <t>$Department</t>
  </si>
  <si>
    <t>$EducationField</t>
  </si>
  <si>
    <t>$Gender</t>
  </si>
  <si>
    <t>$JobRole</t>
  </si>
  <si>
    <t>$MaritalStatus</t>
  </si>
  <si>
    <t>$Over18</t>
  </si>
  <si>
    <t>$OverTime</t>
  </si>
  <si>
    <t>No</t>
  </si>
  <si>
    <t>Yes</t>
  </si>
  <si>
    <t>Travel_Frequently</t>
  </si>
  <si>
    <t xml:space="preserve">Research &amp; Development </t>
  </si>
  <si>
    <t xml:space="preserve">Human Resources  </t>
  </si>
  <si>
    <t xml:space="preserve">Sales                  </t>
  </si>
  <si>
    <t>Travel_Rarely</t>
  </si>
  <si>
    <t>Non-Travel</t>
  </si>
  <si>
    <t>Medical</t>
  </si>
  <si>
    <t>Marketing</t>
  </si>
  <si>
    <t>Other</t>
  </si>
  <si>
    <t>Human Resources</t>
  </si>
  <si>
    <t>Life Sciences</t>
  </si>
  <si>
    <t>Technical Degree</t>
  </si>
  <si>
    <t>Male</t>
  </si>
  <si>
    <t>Female</t>
  </si>
  <si>
    <t>Sales Executive</t>
  </si>
  <si>
    <t>Divorced</t>
  </si>
  <si>
    <t>Single</t>
  </si>
  <si>
    <t>Married</t>
  </si>
  <si>
    <t>Y</t>
  </si>
  <si>
    <t>Research Director</t>
  </si>
  <si>
    <t>Manufacturing Director</t>
  </si>
  <si>
    <t>Research Scientist</t>
  </si>
  <si>
    <t>Sales Representative</t>
  </si>
  <si>
    <t>Healthcare Representative</t>
  </si>
  <si>
    <t>Manager</t>
  </si>
  <si>
    <t>Laboratory Technician</t>
  </si>
  <si>
    <t>$ID</t>
  </si>
  <si>
    <t xml:space="preserve">   Min. 1st Qu.  Median    Mean 3rd Qu.    Max. </t>
  </si>
  <si>
    <t xml:space="preserve">    1.0   218.2   435.5   435.5   652.8   870.0 </t>
  </si>
  <si>
    <t>$Age</t>
  </si>
  <si>
    <t xml:space="preserve">  18.00   30.00   35.00   36.83   43.00   60.00 </t>
  </si>
  <si>
    <t>$DailyRate</t>
  </si>
  <si>
    <t xml:space="preserve">  103.0   472.5   817.5   815.2  1165.8  1499.0 </t>
  </si>
  <si>
    <t>$DistanceFromHome</t>
  </si>
  <si>
    <t xml:space="preserve">  1.000   2.000   7.000   9.339  14.000  29.000 </t>
  </si>
  <si>
    <t>$Education</t>
  </si>
  <si>
    <t xml:space="preserve">  1.000   2.000   3.000   2.901   4.000   5.000 </t>
  </si>
  <si>
    <t>$EmployeeCount</t>
  </si>
  <si>
    <t xml:space="preserve">      1       1       1       1       1       1 </t>
  </si>
  <si>
    <t>$EmployeeNumber</t>
  </si>
  <si>
    <t xml:space="preserve">    1.0   477.2  1039.0  1029.8  1561.5  2064.0 </t>
  </si>
  <si>
    <t>$EnvironmentSatisfaction</t>
  </si>
  <si>
    <t xml:space="preserve">  1.000   2.000   3.000   2.701   4.000   4.000 </t>
  </si>
  <si>
    <t>$HourlyRate</t>
  </si>
  <si>
    <t xml:space="preserve">  30.00   48.00   66.00   65.61   83.00  100.00 </t>
  </si>
  <si>
    <t>$JobInvolvement</t>
  </si>
  <si>
    <t xml:space="preserve">  1.000   2.000   3.000   2.723   3.000   4.000 </t>
  </si>
  <si>
    <t>$JobLevel</t>
  </si>
  <si>
    <t xml:space="preserve">  1.000   1.000   2.000   2.039   3.000   5.000 </t>
  </si>
  <si>
    <t>$JobSatisfaction</t>
  </si>
  <si>
    <t xml:space="preserve">  1.000   2.000   3.000   2.709   4.000   4.000 </t>
  </si>
  <si>
    <t>$MonthlyIncome</t>
  </si>
  <si>
    <t xml:space="preserve">   1081    2840    4946    6390    8182   19999 </t>
  </si>
  <si>
    <t>$MonthlyRate</t>
  </si>
  <si>
    <t xml:space="preserve">   2094    8092   14074   14326   20456   26997 </t>
  </si>
  <si>
    <t>$NumCompaniesWorked</t>
  </si>
  <si>
    <t xml:space="preserve">  0.000   1.000   2.000   2.728   4.000   9.000 </t>
  </si>
  <si>
    <t>$PercentSalaryHike</t>
  </si>
  <si>
    <t xml:space="preserve">   11.0    12.0    14.0    15.2    18.0    25.0 </t>
  </si>
  <si>
    <t>$PerformanceRating</t>
  </si>
  <si>
    <t xml:space="preserve">  3.000   3.000   3.000   3.152   3.000   4.000 </t>
  </si>
  <si>
    <t>$RelationshipSatisfaction</t>
  </si>
  <si>
    <t xml:space="preserve">  1.000   2.000   3.000   2.707   4.000   4.000 </t>
  </si>
  <si>
    <t>$StandardHours</t>
  </si>
  <si>
    <t xml:space="preserve">     80      80      80      80      80      80 </t>
  </si>
  <si>
    <t>$StockOptionLevel</t>
  </si>
  <si>
    <t xml:space="preserve"> 0.0000  0.0000  1.0000  0.7839  1.0000  3.0000 </t>
  </si>
  <si>
    <t>$TotalWorkingYears</t>
  </si>
  <si>
    <t xml:space="preserve">   0.00    6.00   10.00   11.05   15.00   40.00 </t>
  </si>
  <si>
    <t>$TrainingTimesLastYear</t>
  </si>
  <si>
    <t xml:space="preserve">  0.000   2.000   3.000   2.832   3.000   6.000 </t>
  </si>
  <si>
    <t>$WorkLifeBalance</t>
  </si>
  <si>
    <t xml:space="preserve">  1.000   2.000   3.000   2.782   3.000   4.000 </t>
  </si>
  <si>
    <t>$YearsAtCompany</t>
  </si>
  <si>
    <t xml:space="preserve">  0.000   3.000   5.000   6.962  10.000  40.000 </t>
  </si>
  <si>
    <t>$YearsInCurrentRole</t>
  </si>
  <si>
    <t xml:space="preserve">  0.000   2.000   3.000   4.205   7.000  18.000 </t>
  </si>
  <si>
    <t>$YearsSinceLastPromotion</t>
  </si>
  <si>
    <t xml:space="preserve">  0.000   0.000   1.000   2.169   3.000  15.000 </t>
  </si>
  <si>
    <t>$YearsWithCurrManager</t>
  </si>
  <si>
    <t xml:space="preserve">   0.00    2.00    3.00    4.14    7.00   17.00 </t>
  </si>
  <si>
    <t xml:space="preserve">   skim_variable            n_missing complete_rate      mean       sd   p0   p25    p50    p75  p100 hist </t>
  </si>
  <si>
    <r>
      <t xml:space="preserve"> 1</t>
    </r>
    <r>
      <rPr>
        <sz val="10"/>
        <color rgb="FF000000"/>
        <rFont val="Lucida Console"/>
        <family val="3"/>
      </rPr>
      <t xml:space="preserve"> ID                               0             1   436.     251.       1  218.   436.   653.   870 ▇▇▇▇▇</t>
    </r>
  </si>
  <si>
    <r>
      <t xml:space="preserve"> 2</t>
    </r>
    <r>
      <rPr>
        <sz val="10"/>
        <color rgb="FF000000"/>
        <rFont val="Lucida Console"/>
        <family val="3"/>
      </rPr>
      <t xml:space="preserve"> Age                              0             1    36.8      8.93    18   30     35     43     60 ▂▇▇▃▂</t>
    </r>
  </si>
  <si>
    <r>
      <t xml:space="preserve"> 3</t>
    </r>
    <r>
      <rPr>
        <sz val="10"/>
        <color rgb="FF000000"/>
        <rFont val="Lucida Console"/>
        <family val="3"/>
      </rPr>
      <t xml:space="preserve"> DailyRate                        0             1   815.     401.     103  472.   818.  </t>
    </r>
    <r>
      <rPr>
        <u/>
        <sz val="10"/>
        <color rgb="FF000000"/>
        <rFont val="Lucida Console"/>
        <family val="3"/>
      </rPr>
      <t>1</t>
    </r>
    <r>
      <rPr>
        <sz val="10"/>
        <color rgb="FF000000"/>
        <rFont val="Lucida Console"/>
        <family val="3"/>
      </rPr>
      <t xml:space="preserve">166.  </t>
    </r>
    <r>
      <rPr>
        <u/>
        <sz val="10"/>
        <color rgb="FF000000"/>
        <rFont val="Lucida Console"/>
        <family val="3"/>
      </rPr>
      <t>1</t>
    </r>
    <r>
      <rPr>
        <sz val="10"/>
        <color rgb="FF000000"/>
        <rFont val="Lucida Console"/>
        <family val="3"/>
      </rPr>
      <t>499 ▇▇▇▇▇</t>
    </r>
  </si>
  <si>
    <r>
      <t xml:space="preserve"> 4</t>
    </r>
    <r>
      <rPr>
        <sz val="10"/>
        <color rgb="FF000000"/>
        <rFont val="Lucida Console"/>
        <family val="3"/>
      </rPr>
      <t xml:space="preserve"> DistanceFromHome                 0             1     9.34     8.14     1    2      7     14     29 ▇▅▂▂▂</t>
    </r>
  </si>
  <si>
    <r>
      <t xml:space="preserve"> 5</t>
    </r>
    <r>
      <rPr>
        <sz val="10"/>
        <color rgb="FF000000"/>
        <rFont val="Lucida Console"/>
        <family val="3"/>
      </rPr>
      <t xml:space="preserve"> Education                        0             1     2.90     1.02     1    2      3      4      5 ▂▅▇▆▁</t>
    </r>
  </si>
  <si>
    <r>
      <t xml:space="preserve"> 6</t>
    </r>
    <r>
      <rPr>
        <sz val="10"/>
        <color rgb="FF000000"/>
        <rFont val="Lucida Console"/>
        <family val="3"/>
      </rPr>
      <t xml:space="preserve"> EmployeeCount                    0             1     1        0        1    1      1      1      1 ▁▁▇▁▁</t>
    </r>
  </si>
  <si>
    <r>
      <t xml:space="preserve"> 7</t>
    </r>
    <r>
      <rPr>
        <sz val="10"/>
        <color rgb="FF000000"/>
        <rFont val="Lucida Console"/>
        <family val="3"/>
      </rPr>
      <t xml:space="preserve"> EmployeeNumber                   0             1  </t>
    </r>
    <r>
      <rPr>
        <u/>
        <sz val="10"/>
        <color rgb="FF000000"/>
        <rFont val="Lucida Console"/>
        <family val="3"/>
      </rPr>
      <t>1</t>
    </r>
    <r>
      <rPr>
        <sz val="10"/>
        <color rgb="FF000000"/>
        <rFont val="Lucida Console"/>
        <family val="3"/>
      </rPr>
      <t xml:space="preserve">030.     605.       1  477.  </t>
    </r>
    <r>
      <rPr>
        <u/>
        <sz val="10"/>
        <color rgb="FF000000"/>
        <rFont val="Lucida Console"/>
        <family val="3"/>
      </rPr>
      <t>1</t>
    </r>
    <r>
      <rPr>
        <sz val="10"/>
        <color rgb="FF000000"/>
        <rFont val="Lucida Console"/>
        <family val="3"/>
      </rPr>
      <t xml:space="preserve">039   </t>
    </r>
    <r>
      <rPr>
        <u/>
        <sz val="10"/>
        <color rgb="FF000000"/>
        <rFont val="Lucida Console"/>
        <family val="3"/>
      </rPr>
      <t>1</t>
    </r>
    <r>
      <rPr>
        <sz val="10"/>
        <color rgb="FF000000"/>
        <rFont val="Lucida Console"/>
        <family val="3"/>
      </rPr>
      <t xml:space="preserve">562.  </t>
    </r>
    <r>
      <rPr>
        <u/>
        <sz val="10"/>
        <color rgb="FF000000"/>
        <rFont val="Lucida Console"/>
        <family val="3"/>
      </rPr>
      <t>2</t>
    </r>
    <r>
      <rPr>
        <sz val="10"/>
        <color rgb="FF000000"/>
        <rFont val="Lucida Console"/>
        <family val="3"/>
      </rPr>
      <t>064 ▇▇▇▇▇</t>
    </r>
  </si>
  <si>
    <r>
      <t xml:space="preserve"> 8</t>
    </r>
    <r>
      <rPr>
        <sz val="10"/>
        <color rgb="FF000000"/>
        <rFont val="Lucida Console"/>
        <family val="3"/>
      </rPr>
      <t xml:space="preserve"> EnvironmentSatisfaction          0             1     2.70     1.10     1    2      3      4      4 ▅▆▁▇▇</t>
    </r>
  </si>
  <si>
    <r>
      <t xml:space="preserve"> 9</t>
    </r>
    <r>
      <rPr>
        <sz val="10"/>
        <color rgb="FF000000"/>
        <rFont val="Lucida Console"/>
        <family val="3"/>
      </rPr>
      <t xml:space="preserve"> HourlyRate                       0             1    65.6     20.1     30   48     66     83    100 ▇▇▆▇▇</t>
    </r>
  </si>
  <si>
    <r>
      <t>10</t>
    </r>
    <r>
      <rPr>
        <sz val="10"/>
        <color rgb="FF000000"/>
        <rFont val="Lucida Console"/>
        <family val="3"/>
      </rPr>
      <t xml:space="preserve"> JobInvolvement                   0             1     2.72     0.704    1    2      3      3      4 ▁▃▁▇▁</t>
    </r>
  </si>
  <si>
    <r>
      <t>11</t>
    </r>
    <r>
      <rPr>
        <sz val="10"/>
        <color rgb="FF000000"/>
        <rFont val="Lucida Console"/>
        <family val="3"/>
      </rPr>
      <t xml:space="preserve"> JobLevel                         0             1     2.04     1.09     1    1      2      3      5 ▇▇▃▂▁</t>
    </r>
  </si>
  <si>
    <r>
      <t>12</t>
    </r>
    <r>
      <rPr>
        <sz val="10"/>
        <color rgb="FF000000"/>
        <rFont val="Lucida Console"/>
        <family val="3"/>
      </rPr>
      <t xml:space="preserve"> JobSatisfaction                  0             1     2.71     1.11     1    2      3      4      4 ▅▅▁▇▇</t>
    </r>
  </si>
  <si>
    <r>
      <t>13</t>
    </r>
    <r>
      <rPr>
        <sz val="10"/>
        <color rgb="FF000000"/>
        <rFont val="Lucida Console"/>
        <family val="3"/>
      </rPr>
      <t xml:space="preserve"> MonthlyIncome                    0             1  </t>
    </r>
    <r>
      <rPr>
        <u/>
        <sz val="10"/>
        <color rgb="FF000000"/>
        <rFont val="Lucida Console"/>
        <family val="3"/>
      </rPr>
      <t>6</t>
    </r>
    <r>
      <rPr>
        <sz val="10"/>
        <color rgb="FF000000"/>
        <rFont val="Lucida Console"/>
        <family val="3"/>
      </rPr>
      <t xml:space="preserve">390.    </t>
    </r>
    <r>
      <rPr>
        <u/>
        <sz val="10"/>
        <color rgb="FF000000"/>
        <rFont val="Lucida Console"/>
        <family val="3"/>
      </rPr>
      <t>4</t>
    </r>
    <r>
      <rPr>
        <sz val="10"/>
        <color rgb="FF000000"/>
        <rFont val="Lucida Console"/>
        <family val="3"/>
      </rPr>
      <t xml:space="preserve">598.    </t>
    </r>
    <r>
      <rPr>
        <u/>
        <sz val="10"/>
        <color rgb="FF000000"/>
        <rFont val="Lucida Console"/>
        <family val="3"/>
      </rPr>
      <t>1</t>
    </r>
    <r>
      <rPr>
        <sz val="10"/>
        <color rgb="FF000000"/>
        <rFont val="Lucida Console"/>
        <family val="3"/>
      </rPr>
      <t xml:space="preserve">081 </t>
    </r>
    <r>
      <rPr>
        <u/>
        <sz val="10"/>
        <color rgb="FF000000"/>
        <rFont val="Lucida Console"/>
        <family val="3"/>
      </rPr>
      <t>2</t>
    </r>
    <r>
      <rPr>
        <sz val="10"/>
        <color rgb="FF000000"/>
        <rFont val="Lucida Console"/>
        <family val="3"/>
      </rPr>
      <t xml:space="preserve">840.  </t>
    </r>
    <r>
      <rPr>
        <u/>
        <sz val="10"/>
        <color rgb="FF000000"/>
        <rFont val="Lucida Console"/>
        <family val="3"/>
      </rPr>
      <t>4</t>
    </r>
    <r>
      <rPr>
        <sz val="10"/>
        <color rgb="FF000000"/>
        <rFont val="Lucida Console"/>
        <family val="3"/>
      </rPr>
      <t xml:space="preserve">946.  </t>
    </r>
    <r>
      <rPr>
        <u/>
        <sz val="10"/>
        <color rgb="FF000000"/>
        <rFont val="Lucida Console"/>
        <family val="3"/>
      </rPr>
      <t>8</t>
    </r>
    <r>
      <rPr>
        <sz val="10"/>
        <color rgb="FF000000"/>
        <rFont val="Lucida Console"/>
        <family val="3"/>
      </rPr>
      <t xml:space="preserve">182  </t>
    </r>
    <r>
      <rPr>
        <u/>
        <sz val="10"/>
        <color rgb="FF000000"/>
        <rFont val="Lucida Console"/>
        <family val="3"/>
      </rPr>
      <t>19</t>
    </r>
    <r>
      <rPr>
        <sz val="10"/>
        <color rgb="FF000000"/>
        <rFont val="Lucida Console"/>
        <family val="3"/>
      </rPr>
      <t>999 ▇▅▂▁▁</t>
    </r>
  </si>
  <si>
    <r>
      <t>14</t>
    </r>
    <r>
      <rPr>
        <sz val="10"/>
        <color rgb="FF000000"/>
        <rFont val="Lucida Console"/>
        <family val="3"/>
      </rPr>
      <t xml:space="preserve"> MonthlyRate                      0             1 </t>
    </r>
    <r>
      <rPr>
        <u/>
        <sz val="10"/>
        <color rgb="FF000000"/>
        <rFont val="Lucida Console"/>
        <family val="3"/>
      </rPr>
      <t>14</t>
    </r>
    <r>
      <rPr>
        <sz val="10"/>
        <color rgb="FF000000"/>
        <rFont val="Lucida Console"/>
        <family val="3"/>
      </rPr>
      <t xml:space="preserve">326.    </t>
    </r>
    <r>
      <rPr>
        <u/>
        <sz val="10"/>
        <color rgb="FF000000"/>
        <rFont val="Lucida Console"/>
        <family val="3"/>
      </rPr>
      <t>7</t>
    </r>
    <r>
      <rPr>
        <sz val="10"/>
        <color rgb="FF000000"/>
        <rFont val="Lucida Console"/>
        <family val="3"/>
      </rPr>
      <t xml:space="preserve">108.    </t>
    </r>
    <r>
      <rPr>
        <u/>
        <sz val="10"/>
        <color rgb="FF000000"/>
        <rFont val="Lucida Console"/>
        <family val="3"/>
      </rPr>
      <t>2</t>
    </r>
    <r>
      <rPr>
        <sz val="10"/>
        <color rgb="FF000000"/>
        <rFont val="Lucida Console"/>
        <family val="3"/>
      </rPr>
      <t xml:space="preserve">094 </t>
    </r>
    <r>
      <rPr>
        <u/>
        <sz val="10"/>
        <color rgb="FF000000"/>
        <rFont val="Lucida Console"/>
        <family val="3"/>
      </rPr>
      <t>8</t>
    </r>
    <r>
      <rPr>
        <sz val="10"/>
        <color rgb="FF000000"/>
        <rFont val="Lucida Console"/>
        <family val="3"/>
      </rPr>
      <t xml:space="preserve">092  </t>
    </r>
    <r>
      <rPr>
        <u/>
        <sz val="10"/>
        <color rgb="FF000000"/>
        <rFont val="Lucida Console"/>
        <family val="3"/>
      </rPr>
      <t>14</t>
    </r>
    <r>
      <rPr>
        <sz val="10"/>
        <color rgb="FF000000"/>
        <rFont val="Lucida Console"/>
        <family val="3"/>
      </rPr>
      <t xml:space="preserve">074. </t>
    </r>
    <r>
      <rPr>
        <u/>
        <sz val="10"/>
        <color rgb="FF000000"/>
        <rFont val="Lucida Console"/>
        <family val="3"/>
      </rPr>
      <t>20</t>
    </r>
    <r>
      <rPr>
        <sz val="10"/>
        <color rgb="FF000000"/>
        <rFont val="Lucida Console"/>
        <family val="3"/>
      </rPr>
      <t xml:space="preserve">456. </t>
    </r>
    <r>
      <rPr>
        <u/>
        <sz val="10"/>
        <color rgb="FF000000"/>
        <rFont val="Lucida Console"/>
        <family val="3"/>
      </rPr>
      <t>26</t>
    </r>
    <r>
      <rPr>
        <sz val="10"/>
        <color rgb="FF000000"/>
        <rFont val="Lucida Console"/>
        <family val="3"/>
      </rPr>
      <t>997 ▇▇▇▇▇</t>
    </r>
  </si>
  <si>
    <r>
      <t>15</t>
    </r>
    <r>
      <rPr>
        <sz val="10"/>
        <color rgb="FF000000"/>
        <rFont val="Lucida Console"/>
        <family val="3"/>
      </rPr>
      <t xml:space="preserve"> NumCompaniesWorked               0             1     2.73     2.52     0    1      2      4      9 ▇▃▂▂▁</t>
    </r>
  </si>
  <si>
    <r>
      <t>16</t>
    </r>
    <r>
      <rPr>
        <sz val="10"/>
        <color rgb="FF000000"/>
        <rFont val="Lucida Console"/>
        <family val="3"/>
      </rPr>
      <t xml:space="preserve"> PercentSalaryHike                0             1    15.2      3.68    11   12     14     18     25 ▇▅▃▂▁</t>
    </r>
  </si>
  <si>
    <r>
      <t>17</t>
    </r>
    <r>
      <rPr>
        <sz val="10"/>
        <color rgb="FF000000"/>
        <rFont val="Lucida Console"/>
        <family val="3"/>
      </rPr>
      <t xml:space="preserve"> PerformanceRating                0             1     3.15     0.359    3    3      3      3      4 ▇▁▁▁▂</t>
    </r>
  </si>
  <si>
    <r>
      <t>18</t>
    </r>
    <r>
      <rPr>
        <sz val="10"/>
        <color rgb="FF000000"/>
        <rFont val="Lucida Console"/>
        <family val="3"/>
      </rPr>
      <t xml:space="preserve"> RelationshipSatisfaction         0             1     2.71     1.10     1    2      3      4      4 ▅▅▁▇▇</t>
    </r>
  </si>
  <si>
    <r>
      <t>19</t>
    </r>
    <r>
      <rPr>
        <sz val="10"/>
        <color rgb="FF000000"/>
        <rFont val="Lucida Console"/>
        <family val="3"/>
      </rPr>
      <t xml:space="preserve"> StandardHours                    0             1    80        0       80   80     80     80     80 ▁▁▇▁▁</t>
    </r>
  </si>
  <si>
    <r>
      <t>20</t>
    </r>
    <r>
      <rPr>
        <sz val="10"/>
        <color rgb="FF000000"/>
        <rFont val="Lucida Console"/>
        <family val="3"/>
      </rPr>
      <t xml:space="preserve"> StockOptionLevel                 0             1     0.784    0.858    0    0      1      1      3 ▇▇▁▂▁</t>
    </r>
  </si>
  <si>
    <r>
      <t>21</t>
    </r>
    <r>
      <rPr>
        <sz val="10"/>
        <color rgb="FF000000"/>
        <rFont val="Lucida Console"/>
        <family val="3"/>
      </rPr>
      <t xml:space="preserve"> TotalWorkingYears                0             1    11.1      7.51     0    6     10     15     40 ▇▇▂▁▁</t>
    </r>
  </si>
  <si>
    <r>
      <t>22</t>
    </r>
    <r>
      <rPr>
        <sz val="10"/>
        <color rgb="FF000000"/>
        <rFont val="Lucida Console"/>
        <family val="3"/>
      </rPr>
      <t xml:space="preserve"> TrainingTimesLastYear            0             1     2.83     1.27     0    2      3      3      6 ▂▇▇▂▃</t>
    </r>
  </si>
  <si>
    <r>
      <t>23</t>
    </r>
    <r>
      <rPr>
        <sz val="10"/>
        <color rgb="FF000000"/>
        <rFont val="Lucida Console"/>
        <family val="3"/>
      </rPr>
      <t xml:space="preserve"> WorkLifeBalance                  0             1     2.78     0.712    1    2      3      3      4 ▁▃▁▇▂</t>
    </r>
  </si>
  <si>
    <r>
      <t>24</t>
    </r>
    <r>
      <rPr>
        <sz val="10"/>
        <color rgb="FF000000"/>
        <rFont val="Lucida Console"/>
        <family val="3"/>
      </rPr>
      <t xml:space="preserve"> YearsAtCompany                   0             1     6.96     6.02     0    3      5     10     40 ▇▃▁▁▁</t>
    </r>
  </si>
  <si>
    <r>
      <t>25</t>
    </r>
    <r>
      <rPr>
        <sz val="10"/>
        <color rgb="FF000000"/>
        <rFont val="Lucida Console"/>
        <family val="3"/>
      </rPr>
      <t xml:space="preserve"> YearsInCurrentRole               0             1     4.20     3.64     0    2      3      7     18 ▇▃▂▁▁</t>
    </r>
  </si>
  <si>
    <r>
      <t>26</t>
    </r>
    <r>
      <rPr>
        <sz val="10"/>
        <color rgb="FF000000"/>
        <rFont val="Lucida Console"/>
        <family val="3"/>
      </rPr>
      <t xml:space="preserve"> YearsSinceLastPromotion          0             1     2.17     3.19     0    0      1      3     15 ▇▁▁▁▁</t>
    </r>
  </si>
  <si>
    <r>
      <t>27</t>
    </r>
    <r>
      <rPr>
        <sz val="10"/>
        <color rgb="FF000000"/>
        <rFont val="Lucida Console"/>
        <family val="3"/>
      </rPr>
      <t xml:space="preserve"> YearsWithCurrManager             0             1     4.14     3.57     0    2      3      7     17 ▇▂▅▁▁</t>
    </r>
  </si>
  <si>
    <t>ID</t>
  </si>
  <si>
    <t>▇▇▇▇▇</t>
  </si>
  <si>
    <t>Age</t>
  </si>
  <si>
    <t>▂▇▇▃▂</t>
  </si>
  <si>
    <t>DailyRate</t>
  </si>
  <si>
    <t>DistanceFromHome</t>
  </si>
  <si>
    <t>▇▅▂▂▂</t>
  </si>
  <si>
    <t>Education</t>
  </si>
  <si>
    <t>▂▅▇▆▁</t>
  </si>
  <si>
    <t>EmployeeCount</t>
  </si>
  <si>
    <t>▁▁▇▁▁</t>
  </si>
  <si>
    <t>EmployeeNumber</t>
  </si>
  <si>
    <t>EnvironmentSatisfaction</t>
  </si>
  <si>
    <t>▅▆▁▇▇</t>
  </si>
  <si>
    <t>HourlyRate</t>
  </si>
  <si>
    <t>▇▇▆▇▇</t>
  </si>
  <si>
    <t>JobInvolvement</t>
  </si>
  <si>
    <t>▁▃▁▇▁</t>
  </si>
  <si>
    <t>JobLevel</t>
  </si>
  <si>
    <t>▇▇▃▂▁</t>
  </si>
  <si>
    <t>JobSatisfaction</t>
  </si>
  <si>
    <t>▅▅▁▇▇</t>
  </si>
  <si>
    <t>MonthlyIncome</t>
  </si>
  <si>
    <t>▇▅▂▁▁</t>
  </si>
  <si>
    <t>MonthlyRate</t>
  </si>
  <si>
    <t>NumCompaniesWorked</t>
  </si>
  <si>
    <t>▇▃▂▂▁</t>
  </si>
  <si>
    <t>PercentSalaryHike</t>
  </si>
  <si>
    <t>▇▅▃▂▁</t>
  </si>
  <si>
    <t>PerformanceRating</t>
  </si>
  <si>
    <t>▇▁▁▁▂</t>
  </si>
  <si>
    <t>RelationshipSatisfaction</t>
  </si>
  <si>
    <t>StandardHours</t>
  </si>
  <si>
    <t>StockOptionLevel</t>
  </si>
  <si>
    <t>▇▇▁▂▁</t>
  </si>
  <si>
    <t>TotalWorkingYears</t>
  </si>
  <si>
    <t>▇▇▂▁▁</t>
  </si>
  <si>
    <t>TrainingTimesLastYear</t>
  </si>
  <si>
    <t>▂▇▇▂▃</t>
  </si>
  <si>
    <t>WorkLifeBalance</t>
  </si>
  <si>
    <t>▁▃▁▇▂</t>
  </si>
  <si>
    <t>YearsAtCompany</t>
  </si>
  <si>
    <t>▇▃▁▁▁</t>
  </si>
  <si>
    <t>YearsInCurrentRole</t>
  </si>
  <si>
    <t>▇▃▂▁▁</t>
  </si>
  <si>
    <t>YearsSinceLastPromotion</t>
  </si>
  <si>
    <t>▇▁▁▁▁</t>
  </si>
  <si>
    <t>YearsWithCurrManager</t>
  </si>
  <si>
    <t>▇▂▅▁▁</t>
  </si>
  <si>
    <t>Mean</t>
  </si>
  <si>
    <t>SD</t>
  </si>
  <si>
    <t>p0</t>
  </si>
  <si>
    <t>p25</t>
  </si>
  <si>
    <t>p50</t>
  </si>
  <si>
    <t>p75</t>
  </si>
  <si>
    <t>p100</t>
  </si>
  <si>
    <t>histogram</t>
  </si>
  <si>
    <t>Variable</t>
  </si>
  <si>
    <t>Relevant to Attrition?</t>
  </si>
  <si>
    <t>Further Inspection?</t>
  </si>
  <si>
    <t>flat</t>
  </si>
  <si>
    <t>right skew</t>
  </si>
  <si>
    <t>normal</t>
  </si>
  <si>
    <t>Estimated Distribution</t>
  </si>
  <si>
    <t>U-shaped</t>
  </si>
  <si>
    <t>zero-variance</t>
  </si>
  <si>
    <t>factor</t>
  </si>
  <si>
    <t>Total Cost*</t>
  </si>
  <si>
    <t>Correctly Predicted Attrition</t>
  </si>
  <si>
    <t>Falsely Predicted Attrition</t>
  </si>
  <si>
    <t>Correctly Predicted No Attrition</t>
  </si>
  <si>
    <t>Falsely Predicted No Attrition</t>
  </si>
  <si>
    <t>Take no action</t>
  </si>
  <si>
    <t>KNN model</t>
  </si>
  <si>
    <t>NB model</t>
  </si>
  <si>
    <t>Incentives for all!</t>
  </si>
  <si>
    <t>261 employees</t>
  </si>
  <si>
    <t>in thousand dollars</t>
  </si>
  <si>
    <t>total positives</t>
  </si>
  <si>
    <t>total guesses =261</t>
  </si>
  <si>
    <t>cost per</t>
  </si>
  <si>
    <t>total false negative</t>
  </si>
  <si>
    <t>x</t>
  </si>
  <si>
    <t>tp</t>
  </si>
  <si>
    <t>yes</t>
  </si>
  <si>
    <t>no</t>
  </si>
  <si>
    <t>fp</t>
  </si>
  <si>
    <t>fn</t>
  </si>
  <si>
    <t>tn</t>
  </si>
  <si>
    <t>tp+fn</t>
  </si>
  <si>
    <t>total positive</t>
  </si>
  <si>
    <t>total true neg</t>
  </si>
  <si>
    <t>total negative</t>
  </si>
  <si>
    <t>200x</t>
  </si>
  <si>
    <t>total cost = 52,200</t>
  </si>
  <si>
    <t xml:space="preserve">cost model = 200*(tp + fp) + 38340*fn </t>
  </si>
  <si>
    <t>fn =1</t>
  </si>
  <si>
    <t>52200-38340 = 200 * pos</t>
  </si>
  <si>
    <t>69.3 positives</t>
  </si>
  <si>
    <t>69 positives</t>
  </si>
  <si>
    <t>1 false neg</t>
  </si>
  <si>
    <t>sensitivity = tp/tp+fn</t>
  </si>
  <si>
    <t>specificity = tn/tn+fp</t>
  </si>
  <si>
    <t>approach fp=0</t>
  </si>
  <si>
    <t>approach fn = 0</t>
  </si>
  <si>
    <t>false negatives cost the most</t>
  </si>
  <si>
    <t>Overall Accuracy</t>
  </si>
  <si>
    <t>Perfect model</t>
  </si>
  <si>
    <t>Break-Even model</t>
  </si>
  <si>
    <t>N/A</t>
  </si>
  <si>
    <t>Overall Sensitivity</t>
  </si>
  <si>
    <t>Overall Specificity</t>
  </si>
  <si>
    <t>tp+tn/tp+tn+fp+fn</t>
  </si>
  <si>
    <t>100 employees</t>
  </si>
  <si>
    <t>assume $40k for replacement</t>
  </si>
  <si>
    <t>actual positives: 16</t>
  </si>
  <si>
    <t>actual negatives: 84</t>
  </si>
  <si>
    <t>tn $0</t>
  </si>
  <si>
    <t>tp $200</t>
  </si>
  <si>
    <t>fp $200</t>
  </si>
  <si>
    <t>fn $40k</t>
  </si>
  <si>
    <t>sensitivity</t>
  </si>
  <si>
    <t>specificity</t>
  </si>
  <si>
    <t>actual pos = tp+fn</t>
  </si>
  <si>
    <t>actual neg = tn + fp</t>
  </si>
  <si>
    <t xml:space="preserve">          Reference</t>
  </si>
  <si>
    <t>Prediction Yes  No</t>
  </si>
  <si>
    <t xml:space="preserve">       Yes  25 106</t>
  </si>
  <si>
    <t xml:space="preserve">       No    1  86</t>
  </si>
  <si>
    <t>cost model</t>
  </si>
  <si>
    <t>cost</t>
  </si>
  <si>
    <t>cost of a perfect model</t>
  </si>
  <si>
    <t>total predictions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</si>
</sst>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11"/>
      <color rgb="FF000000"/>
      <name val="Calibri"/>
      <family val="2"/>
      <scheme val="minor"/>
    </font>
    <font>
      <sz val="10"/>
      <color rgb="FFBCBCBC"/>
      <name val="Lucida Console"/>
      <family val="3"/>
    </font>
    <font>
      <u/>
      <sz val="10"/>
      <color rgb="FF000000"/>
      <name val="Lucida Console"/>
      <family val="3"/>
    </font>
    <font>
      <sz val="8"/>
      <color rgb="FF333333"/>
      <name val="Segoe UI"/>
      <family val="2"/>
    </font>
    <font>
      <sz val="8"/>
      <color theme="1"/>
      <name val="Calibri"/>
      <family val="2"/>
      <scheme val="minor"/>
    </font>
    <font>
      <b/>
      <sz val="18"/>
      <color rgb="FFFFFFFF"/>
      <name val="Avenir Next LT Pro"/>
      <family val="2"/>
    </font>
    <font>
      <b/>
      <sz val="12"/>
      <color rgb="FFFFFFFF"/>
      <name val="Avenir Next LT Pro"/>
      <family val="2"/>
    </font>
    <font>
      <sz val="12"/>
      <color theme="1"/>
      <name val="Calibri"/>
      <family val="2"/>
      <scheme val="minor"/>
    </font>
    <font>
      <sz val="12"/>
      <color rgb="FF262626"/>
      <name val="Avenir Next LT Pro"/>
      <family val="2"/>
    </font>
    <font>
      <sz val="18"/>
      <color rgb="FF262626"/>
      <name val="Avenir Next LT Pro"/>
      <family val="2"/>
    </font>
    <font>
      <b/>
      <sz val="11"/>
      <color rgb="FFFFFFFF"/>
      <name val="Avenir Next LT Pro"/>
      <family val="2"/>
    </font>
    <font>
      <sz val="11"/>
      <color rgb="FF262626"/>
      <name val="Avenir Next LT Pro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EBE9B"/>
        <bgColor indexed="64"/>
      </patternFill>
    </fill>
    <fill>
      <patternFill patternType="solid">
        <fgColor rgb="FFCCE8DE"/>
        <bgColor indexed="64"/>
      </patternFill>
    </fill>
    <fill>
      <patternFill patternType="solid">
        <fgColor rgb="FFE7F4E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D3D3D3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6" fillId="0" borderId="0" xfId="0" applyFont="1"/>
    <xf numFmtId="0" fontId="5" fillId="2" borderId="2" xfId="0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right" vertical="center" wrapText="1" indent="1"/>
    </xf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right" vertical="center" wrapText="1" indent="1"/>
    </xf>
    <xf numFmtId="0" fontId="5" fillId="2" borderId="0" xfId="0" applyFont="1" applyFill="1" applyAlignment="1">
      <alignment horizontal="left" vertical="center" wrapText="1" indent="1"/>
    </xf>
    <xf numFmtId="0" fontId="7" fillId="4" borderId="3" xfId="0" applyFont="1" applyFill="1" applyBorder="1" applyAlignment="1">
      <alignment horizontal="left" vertical="center" wrapText="1" readingOrder="1"/>
    </xf>
    <xf numFmtId="0" fontId="9" fillId="0" borderId="0" xfId="0" applyFont="1"/>
    <xf numFmtId="0" fontId="8" fillId="4" borderId="3" xfId="0" applyFont="1" applyFill="1" applyBorder="1" applyAlignment="1">
      <alignment horizontal="left" vertical="center" wrapText="1" readingOrder="1"/>
    </xf>
    <xf numFmtId="0" fontId="10" fillId="5" borderId="4" xfId="0" applyFont="1" applyFill="1" applyBorder="1" applyAlignment="1">
      <alignment horizontal="left" vertical="center" wrapText="1" readingOrder="1"/>
    </xf>
    <xf numFmtId="0" fontId="10" fillId="6" borderId="5" xfId="0" applyFont="1" applyFill="1" applyBorder="1" applyAlignment="1">
      <alignment horizontal="left" vertical="center" wrapText="1" readingOrder="1"/>
    </xf>
    <xf numFmtId="0" fontId="10" fillId="5" borderId="5" xfId="0" applyFont="1" applyFill="1" applyBorder="1" applyAlignment="1">
      <alignment horizontal="left" vertical="center" wrapText="1" readingOrder="1"/>
    </xf>
    <xf numFmtId="1" fontId="10" fillId="5" borderId="4" xfId="0" applyNumberFormat="1" applyFont="1" applyFill="1" applyBorder="1" applyAlignment="1">
      <alignment horizontal="left" vertical="center" wrapText="1" readingOrder="1"/>
    </xf>
    <xf numFmtId="1" fontId="10" fillId="6" borderId="5" xfId="0" applyNumberFormat="1" applyFont="1" applyFill="1" applyBorder="1" applyAlignment="1">
      <alignment horizontal="left" vertical="center" wrapText="1" readingOrder="1"/>
    </xf>
    <xf numFmtId="1" fontId="10" fillId="5" borderId="5" xfId="0" applyNumberFormat="1" applyFont="1" applyFill="1" applyBorder="1" applyAlignment="1">
      <alignment horizontal="left" vertical="center" wrapText="1" readingOrder="1"/>
    </xf>
    <xf numFmtId="0" fontId="0" fillId="7" borderId="0" xfId="0" applyFill="1"/>
    <xf numFmtId="0" fontId="9" fillId="7" borderId="0" xfId="0" applyFont="1" applyFill="1"/>
    <xf numFmtId="164" fontId="0" fillId="0" borderId="0" xfId="0" applyNumberFormat="1"/>
    <xf numFmtId="10" fontId="9" fillId="0" borderId="0" xfId="0" applyNumberFormat="1" applyFont="1"/>
    <xf numFmtId="9" fontId="0" fillId="0" borderId="0" xfId="0" applyNumberFormat="1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3" fontId="11" fillId="0" borderId="0" xfId="0" applyNumberFormat="1" applyFont="1"/>
    <xf numFmtId="9" fontId="7" fillId="4" borderId="3" xfId="0" applyNumberFormat="1" applyFont="1" applyFill="1" applyBorder="1" applyAlignment="1">
      <alignment horizontal="left" vertical="center" wrapText="1" readingOrder="1"/>
    </xf>
    <xf numFmtId="0" fontId="11" fillId="5" borderId="4" xfId="0" applyFont="1" applyFill="1" applyBorder="1" applyAlignment="1">
      <alignment horizontal="left" vertical="center" wrapText="1" readingOrder="1"/>
    </xf>
    <xf numFmtId="10" fontId="11" fillId="5" borderId="4" xfId="0" applyNumberFormat="1" applyFont="1" applyFill="1" applyBorder="1" applyAlignment="1">
      <alignment horizontal="left" vertical="center" wrapText="1" readingOrder="1"/>
    </xf>
    <xf numFmtId="0" fontId="11" fillId="6" borderId="5" xfId="0" applyFont="1" applyFill="1" applyBorder="1" applyAlignment="1">
      <alignment horizontal="left" vertical="center" wrapText="1" readingOrder="1"/>
    </xf>
    <xf numFmtId="10" fontId="11" fillId="6" borderId="5" xfId="0" applyNumberFormat="1" applyFont="1" applyFill="1" applyBorder="1" applyAlignment="1">
      <alignment horizontal="left" vertical="center" wrapText="1" readingOrder="1"/>
    </xf>
    <xf numFmtId="0" fontId="11" fillId="5" borderId="5" xfId="0" applyFont="1" applyFill="1" applyBorder="1" applyAlignment="1">
      <alignment horizontal="left" vertical="center" wrapText="1" readingOrder="1"/>
    </xf>
    <xf numFmtId="9" fontId="11" fillId="5" borderId="5" xfId="0" applyNumberFormat="1" applyFont="1" applyFill="1" applyBorder="1" applyAlignment="1">
      <alignment horizontal="left" vertical="center" wrapText="1" readingOrder="1"/>
    </xf>
    <xf numFmtId="0" fontId="12" fillId="4" borderId="3" xfId="0" applyFont="1" applyFill="1" applyBorder="1" applyAlignment="1">
      <alignment horizontal="left" vertical="center" wrapText="1" readingOrder="1"/>
    </xf>
    <xf numFmtId="6" fontId="12" fillId="4" borderId="3" xfId="0" applyNumberFormat="1" applyFont="1" applyFill="1" applyBorder="1" applyAlignment="1">
      <alignment horizontal="left" vertical="center" wrapText="1" readingOrder="1"/>
    </xf>
    <xf numFmtId="0" fontId="13" fillId="5" borderId="4" xfId="0" applyFont="1" applyFill="1" applyBorder="1" applyAlignment="1">
      <alignment horizontal="left" vertical="center" wrapText="1" readingOrder="1"/>
    </xf>
    <xf numFmtId="6" fontId="13" fillId="5" borderId="4" xfId="0" applyNumberFormat="1" applyFont="1" applyFill="1" applyBorder="1" applyAlignment="1">
      <alignment horizontal="left" vertical="center" wrapText="1" readingOrder="1"/>
    </xf>
    <xf numFmtId="0" fontId="13" fillId="6" borderId="5" xfId="0" applyFont="1" applyFill="1" applyBorder="1" applyAlignment="1">
      <alignment horizontal="left" vertical="center" wrapText="1" readingOrder="1"/>
    </xf>
    <xf numFmtId="6" fontId="13" fillId="6" borderId="5" xfId="0" applyNumberFormat="1" applyFont="1" applyFill="1" applyBorder="1" applyAlignment="1">
      <alignment horizontal="left" vertical="center" wrapText="1" readingOrder="1"/>
    </xf>
    <xf numFmtId="0" fontId="13" fillId="5" borderId="5" xfId="0" applyFont="1" applyFill="1" applyBorder="1" applyAlignment="1">
      <alignment horizontal="left" vertical="center" wrapText="1" readingOrder="1"/>
    </xf>
    <xf numFmtId="6" fontId="13" fillId="5" borderId="5" xfId="0" applyNumberFormat="1" applyFont="1" applyFill="1" applyBorder="1" applyAlignment="1">
      <alignment horizontal="left" vertical="center" wrapText="1" readingOrder="1"/>
    </xf>
    <xf numFmtId="9" fontId="11" fillId="5" borderId="4" xfId="0" applyNumberFormat="1" applyFont="1" applyFill="1" applyBorder="1" applyAlignment="1">
      <alignment horizontal="left" vertical="center" wrapText="1" readingOrder="1"/>
    </xf>
    <xf numFmtId="9" fontId="11" fillId="6" borderId="5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/>
        <top style="medium">
          <color rgb="FFD3D3D3"/>
        </top>
        <bottom/>
        <vertical/>
        <horizontal/>
      </border>
    </dxf>
    <dxf>
      <border outline="0">
        <top style="thick">
          <color rgb="FFA8A8A8"/>
        </top>
        <bottom style="thick">
          <color rgb="FFA8A8A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BCBCBC"/>
        <name val="Lucida Console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BCBCBC"/>
        <name val="Lucida Console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ucida Console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Analysis (in</a:t>
            </a:r>
            <a:r>
              <a:rPr lang="en-US" baseline="0"/>
              <a:t> thousands of dollars)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Correctly Predicted Attrition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Sheet6!$A$2:$A$5</c:f>
              <c:strCache>
                <c:ptCount val="4"/>
                <c:pt idx="0">
                  <c:v>Take no action</c:v>
                </c:pt>
                <c:pt idx="1">
                  <c:v>KNN model</c:v>
                </c:pt>
                <c:pt idx="2">
                  <c:v>NB model</c:v>
                </c:pt>
                <c:pt idx="3">
                  <c:v>Incentives for all!</c:v>
                </c:pt>
              </c:strCache>
            </c:strRef>
          </c:cat>
          <c:val>
            <c:numRef>
              <c:f>Sheet6!$B$2:$B$5</c:f>
              <c:numCache>
                <c:formatCode>0</c:formatCode>
                <c:ptCount val="4"/>
                <c:pt idx="0">
                  <c:v>0</c:v>
                </c:pt>
                <c:pt idx="1">
                  <c:v>6.4</c:v>
                </c:pt>
                <c:pt idx="2">
                  <c:v>6.8</c:v>
                </c:pt>
                <c:pt idx="3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9-4C27-BCD6-A0793ED609D5}"/>
            </c:ext>
          </c:extLst>
        </c:ser>
        <c:ser>
          <c:idx val="1"/>
          <c:order val="1"/>
          <c:tx>
            <c:strRef>
              <c:f>Sheet6!$C$1</c:f>
              <c:strCache>
                <c:ptCount val="1"/>
                <c:pt idx="0">
                  <c:v>Falsely Predicted Attrition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Sheet6!$A$2:$A$5</c:f>
              <c:strCache>
                <c:ptCount val="4"/>
                <c:pt idx="0">
                  <c:v>Take no action</c:v>
                </c:pt>
                <c:pt idx="1">
                  <c:v>KNN model</c:v>
                </c:pt>
                <c:pt idx="2">
                  <c:v>NB model</c:v>
                </c:pt>
                <c:pt idx="3">
                  <c:v>Incentives for all!</c:v>
                </c:pt>
              </c:strCache>
            </c:strRef>
          </c:cat>
          <c:val>
            <c:numRef>
              <c:f>Sheet6!$C$2:$C$5</c:f>
              <c:numCache>
                <c:formatCode>0</c:formatCode>
                <c:ptCount val="4"/>
                <c:pt idx="0">
                  <c:v>0</c:v>
                </c:pt>
                <c:pt idx="1">
                  <c:v>27.8</c:v>
                </c:pt>
                <c:pt idx="2">
                  <c:v>17.399999999999999</c:v>
                </c:pt>
                <c:pt idx="3">
                  <c:v>43.8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B9-4C27-BCD6-A0793ED609D5}"/>
            </c:ext>
          </c:extLst>
        </c:ser>
        <c:ser>
          <c:idx val="2"/>
          <c:order val="2"/>
          <c:tx>
            <c:strRef>
              <c:f>Sheet6!$D$1</c:f>
              <c:strCache>
                <c:ptCount val="1"/>
                <c:pt idx="0">
                  <c:v>Correctly Predicted No Attrition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Sheet6!$A$2:$A$5</c:f>
              <c:strCache>
                <c:ptCount val="4"/>
                <c:pt idx="0">
                  <c:v>Take no action</c:v>
                </c:pt>
                <c:pt idx="1">
                  <c:v>KNN model</c:v>
                </c:pt>
                <c:pt idx="2">
                  <c:v>NB model</c:v>
                </c:pt>
                <c:pt idx="3">
                  <c:v>Incentives for all!</c:v>
                </c:pt>
              </c:strCache>
            </c:strRef>
          </c:cat>
          <c:val>
            <c:numRef>
              <c:f>Sheet6!$D$2:$D$5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B9-4C27-BCD6-A0793ED609D5}"/>
            </c:ext>
          </c:extLst>
        </c:ser>
        <c:ser>
          <c:idx val="3"/>
          <c:order val="3"/>
          <c:tx>
            <c:strRef>
              <c:f>Sheet6!$E$1</c:f>
              <c:strCache>
                <c:ptCount val="1"/>
                <c:pt idx="0">
                  <c:v>Falsely Predicted No Attrition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Sheet6!$A$2:$A$5</c:f>
              <c:strCache>
                <c:ptCount val="4"/>
                <c:pt idx="0">
                  <c:v>Take no action</c:v>
                </c:pt>
                <c:pt idx="1">
                  <c:v>KNN model</c:v>
                </c:pt>
                <c:pt idx="2">
                  <c:v>NB model</c:v>
                </c:pt>
                <c:pt idx="3">
                  <c:v>Incentives for all!</c:v>
                </c:pt>
              </c:strCache>
            </c:strRef>
          </c:cat>
          <c:val>
            <c:numRef>
              <c:f>Sheet6!$E$2:$E$5</c:f>
              <c:numCache>
                <c:formatCode>0</c:formatCode>
                <c:ptCount val="4"/>
                <c:pt idx="0">
                  <c:v>1610.28</c:v>
                </c:pt>
                <c:pt idx="1">
                  <c:v>268.38</c:v>
                </c:pt>
                <c:pt idx="2">
                  <c:v>191.7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B9-4C27-BCD6-A0793ED60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5792160"/>
        <c:axId val="2015791200"/>
      </c:barChart>
      <c:catAx>
        <c:axId val="201579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791200"/>
        <c:crosses val="autoZero"/>
        <c:auto val="1"/>
        <c:lblAlgn val="ctr"/>
        <c:lblOffset val="100"/>
        <c:noMultiLvlLbl val="0"/>
      </c:catAx>
      <c:valAx>
        <c:axId val="201579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Thousands of Dollars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79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'cost model'!$J$11:$J$16</c:f>
              <c:strCache>
                <c:ptCount val="6"/>
                <c:pt idx="0">
                  <c:v>Take no action</c:v>
                </c:pt>
                <c:pt idx="1">
                  <c:v>KNN model</c:v>
                </c:pt>
                <c:pt idx="2">
                  <c:v>NB model</c:v>
                </c:pt>
                <c:pt idx="3">
                  <c:v>Perfect model</c:v>
                </c:pt>
                <c:pt idx="4">
                  <c:v>Break-Even model</c:v>
                </c:pt>
                <c:pt idx="5">
                  <c:v>Incentives for all!</c:v>
                </c:pt>
              </c:strCache>
            </c:strRef>
          </c:cat>
          <c:val>
            <c:numRef>
              <c:f>'cost model'!$K$11:$K$16</c:f>
              <c:numCache>
                <c:formatCode>"$"#,##0_);[Red]\("$"#,##0\)</c:formatCode>
                <c:ptCount val="6"/>
                <c:pt idx="0">
                  <c:v>6169</c:v>
                </c:pt>
                <c:pt idx="1">
                  <c:v>1159</c:v>
                </c:pt>
                <c:pt idx="2">
                  <c:v>827</c:v>
                </c:pt>
                <c:pt idx="3">
                  <c:v>32</c:v>
                </c:pt>
                <c:pt idx="4">
                  <c:v>200</c:v>
                </c:pt>
                <c:pt idx="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E-40AB-9D0B-746054C9B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7167215"/>
        <c:axId val="647163855"/>
      </c:barChart>
      <c:catAx>
        <c:axId val="647167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63855"/>
        <c:crosses val="autoZero"/>
        <c:auto val="1"/>
        <c:lblAlgn val="ctr"/>
        <c:lblOffset val="100"/>
        <c:noMultiLvlLbl val="0"/>
      </c:catAx>
      <c:valAx>
        <c:axId val="64716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per Employee (based on mean salary)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67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0</xdr:row>
      <xdr:rowOff>547687</xdr:rowOff>
    </xdr:from>
    <xdr:to>
      <xdr:col>10</xdr:col>
      <xdr:colOff>428625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EA6461-EA48-C036-AEBF-4A86EE250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600075</xdr:colOff>
      <xdr:row>14</xdr:row>
      <xdr:rowOff>671512</xdr:rowOff>
    </xdr:from>
    <xdr:to>
      <xdr:col>19</xdr:col>
      <xdr:colOff>295275</xdr:colOff>
      <xdr:row>16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05F5A5-09E7-9495-B576-5355486C0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47682-3415-48DA-B45D-F86C389AAC1F}" name="Table1" displayName="Table1" ref="A1:I10" totalsRowShown="0" headerRowDxfId="28" dataDxfId="27">
  <autoFilter ref="A1:I10" xr:uid="{88247682-3415-48DA-B45D-F86C389AAC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A1E6017-FB43-40A7-8BE2-C68BA9EDA7DA}" name="$Attrition" dataDxfId="26"/>
    <tableColumn id="2" xr3:uid="{C453612B-84EB-4099-A324-B273F27883AE}" name="$BusinessTravel" dataDxfId="25"/>
    <tableColumn id="3" xr3:uid="{8CF43C7C-331F-4101-828D-8BC35890189B}" name="$Department" dataDxfId="24"/>
    <tableColumn id="4" xr3:uid="{F6E46764-E62E-4485-AB77-50DC14C7D0D9}" name="$EducationField" dataDxfId="23"/>
    <tableColumn id="5" xr3:uid="{7B404D07-5926-440F-BE0C-82DA689EC5AD}" name="$Gender" dataDxfId="22"/>
    <tableColumn id="6" xr3:uid="{8A0B7A99-EB60-4AA1-A86B-A70149E3B230}" name="$JobRole" dataDxfId="21"/>
    <tableColumn id="7" xr3:uid="{020FF7D2-A13D-4ECE-9153-B7417580DAD2}" name="$MaritalStatus" dataDxfId="20"/>
    <tableColumn id="8" xr3:uid="{77FDF78C-5E02-40B3-A009-BE5151964F15}" name="$Over18" dataDxfId="19"/>
    <tableColumn id="9" xr3:uid="{1AB22151-EAC1-4EFE-A0D9-B3BAB5D7B9C9}" name="$OverTime" dataDxfId="1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B25A9D-3347-4A79-87F4-2FBEA0F04A75}" name="Table2" displayName="Table2" ref="A1:A28" totalsRowShown="0" headerRowDxfId="17" dataDxfId="16">
  <autoFilter ref="A1:A28" xr:uid="{4FB25A9D-3347-4A79-87F4-2FBEA0F04A75}"/>
  <tableColumns count="1">
    <tableColumn id="1" xr3:uid="{A54A8BEB-E4FD-4CEE-8005-C516F742B311}" name="   skim_variable            n_missing complete_rate      mean       sd   p0   p25    p50    p75  p100 hist 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134275-4D40-49AE-957B-C57D5CFC4511}" name="Table3" displayName="Table3" ref="A1:L28" totalsRowShown="0" headerRowDxfId="14" dataDxfId="13" tableBorderDxfId="12">
  <autoFilter ref="A1:L28" xr:uid="{E9134275-4D40-49AE-957B-C57D5CFC45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B125558F-8E1F-4993-8F26-DBC70F2A1918}" name="Variable" dataDxfId="11"/>
    <tableColumn id="2" xr3:uid="{EA65520E-2249-4DB1-93F4-42E15462D8C1}" name="Mean" dataDxfId="10"/>
    <tableColumn id="3" xr3:uid="{5990B2C7-FC6C-4FD8-85CA-F3AB7052D260}" name="SD" dataDxfId="9"/>
    <tableColumn id="4" xr3:uid="{16AE5F2D-3CE6-4D99-A027-DE87A7DBC204}" name="p0" dataDxfId="8"/>
    <tableColumn id="5" xr3:uid="{CB6C1C5C-4E18-4787-9B90-29213C4F2D03}" name="p25" dataDxfId="7"/>
    <tableColumn id="6" xr3:uid="{40300BD1-D42D-4F22-ABF8-F8F724DDF235}" name="p50" dataDxfId="6"/>
    <tableColumn id="7" xr3:uid="{202CA519-B6CF-4CDC-874A-569F8C0E45D9}" name="p75" dataDxfId="5"/>
    <tableColumn id="8" xr3:uid="{1052F43F-B603-49C0-9E7F-DDF1F7D94BFB}" name="p100" dataDxfId="4"/>
    <tableColumn id="9" xr3:uid="{E428A4CC-BCC0-4529-A397-3364438A145A}" name="histogram" dataDxfId="3"/>
    <tableColumn id="12" xr3:uid="{33F6964E-BB13-4263-8D01-ED7DC760F2F3}" name="Estimated Distribution" dataDxfId="2"/>
    <tableColumn id="10" xr3:uid="{2AD2B97D-28E0-4682-9617-158A5223FC05}" name="Relevant to Attrition?" dataDxfId="1"/>
    <tableColumn id="11" xr3:uid="{F5073B3F-3709-4E2B-9F59-72F2A208D621}" name="Further Inspection?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B6" sqref="B6"/>
    </sheetView>
  </sheetViews>
  <sheetFormatPr defaultRowHeight="15" x14ac:dyDescent="0.25"/>
  <cols>
    <col min="1" max="1" width="11.7109375" customWidth="1"/>
    <col min="2" max="2" width="17.42578125" bestFit="1" customWidth="1"/>
    <col min="3" max="3" width="24.28515625" bestFit="1" customWidth="1"/>
    <col min="4" max="4" width="17.28515625" customWidth="1"/>
    <col min="5" max="5" width="10.7109375" customWidth="1"/>
    <col min="6" max="6" width="25" bestFit="1" customWidth="1"/>
    <col min="7" max="7" width="15.85546875" customWidth="1"/>
    <col min="8" max="8" width="10.42578125" customWidth="1"/>
    <col min="9" max="9" width="12.855468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4" t="s">
        <v>9</v>
      </c>
      <c r="B2" s="4" t="s">
        <v>15</v>
      </c>
      <c r="C2" s="4" t="s">
        <v>14</v>
      </c>
      <c r="D2" s="4" t="s">
        <v>21</v>
      </c>
      <c r="E2" s="4" t="s">
        <v>23</v>
      </c>
      <c r="F2" s="4" t="s">
        <v>25</v>
      </c>
      <c r="G2" s="4" t="s">
        <v>26</v>
      </c>
      <c r="H2" s="4" t="s">
        <v>29</v>
      </c>
      <c r="I2" s="5" t="s">
        <v>9</v>
      </c>
    </row>
    <row r="3" spans="1:9" x14ac:dyDescent="0.25">
      <c r="A3" s="4" t="s">
        <v>10</v>
      </c>
      <c r="B3" s="4" t="s">
        <v>11</v>
      </c>
      <c r="C3" s="4" t="s">
        <v>12</v>
      </c>
      <c r="D3" s="4" t="s">
        <v>17</v>
      </c>
      <c r="E3" s="4" t="s">
        <v>24</v>
      </c>
      <c r="F3" t="s">
        <v>30</v>
      </c>
      <c r="G3" s="4" t="s">
        <v>27</v>
      </c>
      <c r="I3" s="4" t="s">
        <v>10</v>
      </c>
    </row>
    <row r="4" spans="1:9" x14ac:dyDescent="0.25">
      <c r="A4" s="4"/>
      <c r="B4" s="4" t="s">
        <v>16</v>
      </c>
      <c r="C4" s="4" t="s">
        <v>13</v>
      </c>
      <c r="D4" s="4" t="s">
        <v>18</v>
      </c>
      <c r="E4" s="4"/>
      <c r="F4" t="s">
        <v>31</v>
      </c>
      <c r="G4" s="4" t="s">
        <v>28</v>
      </c>
    </row>
    <row r="5" spans="1:9" s="1" customFormat="1" ht="15" customHeight="1" x14ac:dyDescent="0.25">
      <c r="A5" s="4"/>
      <c r="B5" s="4"/>
      <c r="C5" s="4"/>
      <c r="D5" s="4" t="s">
        <v>22</v>
      </c>
      <c r="E5" s="4"/>
      <c r="F5" t="s">
        <v>32</v>
      </c>
      <c r="G5" s="4"/>
      <c r="H5" s="4"/>
      <c r="I5" s="4"/>
    </row>
    <row r="6" spans="1:9" x14ac:dyDescent="0.25">
      <c r="A6" s="4"/>
      <c r="B6" s="4"/>
      <c r="C6" s="4"/>
      <c r="D6" s="4" t="s">
        <v>19</v>
      </c>
      <c r="E6" s="4"/>
      <c r="F6" t="s">
        <v>33</v>
      </c>
    </row>
    <row r="7" spans="1:9" x14ac:dyDescent="0.25">
      <c r="A7" s="4"/>
      <c r="B7" s="4"/>
      <c r="C7" s="4"/>
      <c r="D7" s="4" t="s">
        <v>20</v>
      </c>
      <c r="E7" s="4"/>
      <c r="F7" t="s">
        <v>34</v>
      </c>
    </row>
    <row r="8" spans="1:9" x14ac:dyDescent="0.25">
      <c r="A8" s="4"/>
      <c r="B8" s="4"/>
      <c r="C8" s="4"/>
      <c r="F8" t="s">
        <v>35</v>
      </c>
    </row>
    <row r="9" spans="1:9" x14ac:dyDescent="0.25">
      <c r="A9" s="3"/>
      <c r="F9" t="s">
        <v>20</v>
      </c>
    </row>
    <row r="10" spans="1:9" x14ac:dyDescent="0.25">
      <c r="F10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3EC2-3297-4BF0-8AED-08999B6325B5}">
  <dimension ref="A1:B28"/>
  <sheetViews>
    <sheetView workbookViewId="0">
      <selection activeCell="B2" sqref="B2"/>
    </sheetView>
  </sheetViews>
  <sheetFormatPr defaultRowHeight="15" x14ac:dyDescent="0.25"/>
  <sheetData>
    <row r="1" spans="1:2" x14ac:dyDescent="0.25">
      <c r="B1" s="1" t="s">
        <v>38</v>
      </c>
    </row>
    <row r="2" spans="1:2" x14ac:dyDescent="0.25">
      <c r="A2" s="1" t="s">
        <v>37</v>
      </c>
      <c r="B2" s="1" t="s">
        <v>39</v>
      </c>
    </row>
    <row r="3" spans="1:2" x14ac:dyDescent="0.25">
      <c r="A3" s="1" t="s">
        <v>40</v>
      </c>
      <c r="B3" s="1" t="s">
        <v>41</v>
      </c>
    </row>
    <row r="4" spans="1:2" x14ac:dyDescent="0.25">
      <c r="A4" s="1" t="s">
        <v>42</v>
      </c>
      <c r="B4" s="1" t="s">
        <v>43</v>
      </c>
    </row>
    <row r="5" spans="1:2" x14ac:dyDescent="0.25">
      <c r="A5" s="1" t="s">
        <v>44</v>
      </c>
      <c r="B5" s="1" t="s">
        <v>45</v>
      </c>
    </row>
    <row r="6" spans="1:2" x14ac:dyDescent="0.25">
      <c r="A6" s="1" t="s">
        <v>46</v>
      </c>
      <c r="B6" s="1" t="s">
        <v>47</v>
      </c>
    </row>
    <row r="7" spans="1:2" x14ac:dyDescent="0.25">
      <c r="A7" s="1" t="s">
        <v>48</v>
      </c>
      <c r="B7" s="1" t="s">
        <v>49</v>
      </c>
    </row>
    <row r="8" spans="1:2" x14ac:dyDescent="0.25">
      <c r="A8" s="1" t="s">
        <v>50</v>
      </c>
      <c r="B8" s="1" t="s">
        <v>51</v>
      </c>
    </row>
    <row r="9" spans="1:2" x14ac:dyDescent="0.25">
      <c r="A9" s="1" t="s">
        <v>52</v>
      </c>
      <c r="B9" s="1" t="s">
        <v>53</v>
      </c>
    </row>
    <row r="10" spans="1:2" x14ac:dyDescent="0.25">
      <c r="A10" s="1" t="s">
        <v>54</v>
      </c>
      <c r="B10" s="1" t="s">
        <v>55</v>
      </c>
    </row>
    <row r="11" spans="1:2" x14ac:dyDescent="0.25">
      <c r="A11" s="1" t="s">
        <v>56</v>
      </c>
      <c r="B11" s="1" t="s">
        <v>57</v>
      </c>
    </row>
    <row r="12" spans="1:2" x14ac:dyDescent="0.25">
      <c r="A12" s="1" t="s">
        <v>58</v>
      </c>
      <c r="B12" s="1" t="s">
        <v>59</v>
      </c>
    </row>
    <row r="13" spans="1:2" x14ac:dyDescent="0.25">
      <c r="A13" s="1" t="s">
        <v>60</v>
      </c>
      <c r="B13" s="1" t="s">
        <v>61</v>
      </c>
    </row>
    <row r="14" spans="1:2" x14ac:dyDescent="0.25">
      <c r="A14" s="1" t="s">
        <v>62</v>
      </c>
      <c r="B14" s="1" t="s">
        <v>63</v>
      </c>
    </row>
    <row r="15" spans="1:2" x14ac:dyDescent="0.25">
      <c r="A15" s="1" t="s">
        <v>64</v>
      </c>
      <c r="B15" s="1" t="s">
        <v>65</v>
      </c>
    </row>
    <row r="16" spans="1:2" x14ac:dyDescent="0.25">
      <c r="A16" s="1" t="s">
        <v>66</v>
      </c>
      <c r="B16" s="1" t="s">
        <v>67</v>
      </c>
    </row>
    <row r="17" spans="1:2" x14ac:dyDescent="0.25">
      <c r="A17" s="1" t="s">
        <v>68</v>
      </c>
      <c r="B17" s="1" t="s">
        <v>69</v>
      </c>
    </row>
    <row r="18" spans="1:2" x14ac:dyDescent="0.25">
      <c r="A18" s="1" t="s">
        <v>70</v>
      </c>
      <c r="B18" s="1" t="s">
        <v>71</v>
      </c>
    </row>
    <row r="19" spans="1:2" x14ac:dyDescent="0.25">
      <c r="A19" s="1" t="s">
        <v>72</v>
      </c>
      <c r="B19" s="1" t="s">
        <v>73</v>
      </c>
    </row>
    <row r="20" spans="1:2" x14ac:dyDescent="0.25">
      <c r="A20" s="1" t="s">
        <v>74</v>
      </c>
      <c r="B20" s="1" t="s">
        <v>75</v>
      </c>
    </row>
    <row r="21" spans="1:2" x14ac:dyDescent="0.25">
      <c r="A21" s="1" t="s">
        <v>76</v>
      </c>
      <c r="B21" s="1" t="s">
        <v>77</v>
      </c>
    </row>
    <row r="22" spans="1:2" x14ac:dyDescent="0.25">
      <c r="A22" s="1" t="s">
        <v>78</v>
      </c>
      <c r="B22" s="1" t="s">
        <v>79</v>
      </c>
    </row>
    <row r="23" spans="1:2" x14ac:dyDescent="0.25">
      <c r="A23" s="1" t="s">
        <v>80</v>
      </c>
      <c r="B23" s="1" t="s">
        <v>81</v>
      </c>
    </row>
    <row r="24" spans="1:2" x14ac:dyDescent="0.25">
      <c r="A24" s="1" t="s">
        <v>82</v>
      </c>
      <c r="B24" s="1" t="s">
        <v>83</v>
      </c>
    </row>
    <row r="25" spans="1:2" x14ac:dyDescent="0.25">
      <c r="A25" s="1" t="s">
        <v>84</v>
      </c>
      <c r="B25" s="1" t="s">
        <v>85</v>
      </c>
    </row>
    <row r="26" spans="1:2" x14ac:dyDescent="0.25">
      <c r="A26" s="1" t="s">
        <v>86</v>
      </c>
      <c r="B26" s="1" t="s">
        <v>87</v>
      </c>
    </row>
    <row r="27" spans="1:2" x14ac:dyDescent="0.25">
      <c r="A27" s="1" t="s">
        <v>88</v>
      </c>
      <c r="B27" s="1" t="s">
        <v>89</v>
      </c>
    </row>
    <row r="28" spans="1:2" x14ac:dyDescent="0.25">
      <c r="A28" s="1" t="s">
        <v>90</v>
      </c>
      <c r="B28" s="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362E6-2748-40CE-B166-0CF07733F393}">
  <dimension ref="A1:C28"/>
  <sheetViews>
    <sheetView topLeftCell="A3" workbookViewId="0">
      <selection activeCell="C18" sqref="C18:C19"/>
    </sheetView>
  </sheetViews>
  <sheetFormatPr defaultRowHeight="15" x14ac:dyDescent="0.25"/>
  <cols>
    <col min="1" max="1" width="130.28515625" bestFit="1" customWidth="1"/>
  </cols>
  <sheetData>
    <row r="1" spans="1:3" x14ac:dyDescent="0.25">
      <c r="A1" s="1" t="s">
        <v>92</v>
      </c>
    </row>
    <row r="2" spans="1:3" x14ac:dyDescent="0.25">
      <c r="A2" s="6" t="s">
        <v>93</v>
      </c>
    </row>
    <row r="3" spans="1:3" x14ac:dyDescent="0.25">
      <c r="A3" s="6" t="s">
        <v>94</v>
      </c>
    </row>
    <row r="4" spans="1:3" x14ac:dyDescent="0.25">
      <c r="A4" s="6" t="s">
        <v>95</v>
      </c>
    </row>
    <row r="5" spans="1:3" x14ac:dyDescent="0.25">
      <c r="A5" s="6" t="s">
        <v>96</v>
      </c>
    </row>
    <row r="6" spans="1:3" x14ac:dyDescent="0.25">
      <c r="A6" s="6" t="s">
        <v>97</v>
      </c>
      <c r="C6" t="s">
        <v>186</v>
      </c>
    </row>
    <row r="7" spans="1:3" x14ac:dyDescent="0.25">
      <c r="A7" s="6" t="s">
        <v>98</v>
      </c>
    </row>
    <row r="8" spans="1:3" x14ac:dyDescent="0.25">
      <c r="A8" s="6" t="s">
        <v>99</v>
      </c>
    </row>
    <row r="9" spans="1:3" x14ac:dyDescent="0.25">
      <c r="A9" s="6" t="s">
        <v>100</v>
      </c>
      <c r="C9" t="s">
        <v>186</v>
      </c>
    </row>
    <row r="10" spans="1:3" x14ac:dyDescent="0.25">
      <c r="A10" s="6" t="s">
        <v>101</v>
      </c>
    </row>
    <row r="11" spans="1:3" x14ac:dyDescent="0.25">
      <c r="A11" s="6" t="s">
        <v>102</v>
      </c>
      <c r="C11" t="s">
        <v>186</v>
      </c>
    </row>
    <row r="12" spans="1:3" x14ac:dyDescent="0.25">
      <c r="A12" s="6" t="s">
        <v>103</v>
      </c>
      <c r="C12" t="s">
        <v>186</v>
      </c>
    </row>
    <row r="13" spans="1:3" x14ac:dyDescent="0.25">
      <c r="A13" s="6" t="s">
        <v>104</v>
      </c>
      <c r="C13" t="s">
        <v>186</v>
      </c>
    </row>
    <row r="14" spans="1:3" x14ac:dyDescent="0.25">
      <c r="A14" s="6" t="s">
        <v>105</v>
      </c>
    </row>
    <row r="15" spans="1:3" x14ac:dyDescent="0.25">
      <c r="A15" s="6" t="s">
        <v>106</v>
      </c>
    </row>
    <row r="16" spans="1:3" x14ac:dyDescent="0.25">
      <c r="A16" s="6" t="s">
        <v>107</v>
      </c>
    </row>
    <row r="17" spans="1:3" x14ac:dyDescent="0.25">
      <c r="A17" s="6" t="s">
        <v>108</v>
      </c>
    </row>
    <row r="18" spans="1:3" x14ac:dyDescent="0.25">
      <c r="A18" s="6" t="s">
        <v>109</v>
      </c>
      <c r="C18" t="s">
        <v>186</v>
      </c>
    </row>
    <row r="19" spans="1:3" x14ac:dyDescent="0.25">
      <c r="A19" s="6" t="s">
        <v>110</v>
      </c>
      <c r="C19" t="s">
        <v>186</v>
      </c>
    </row>
    <row r="20" spans="1:3" x14ac:dyDescent="0.25">
      <c r="A20" s="6" t="s">
        <v>111</v>
      </c>
    </row>
    <row r="21" spans="1:3" x14ac:dyDescent="0.25">
      <c r="A21" s="6" t="s">
        <v>112</v>
      </c>
      <c r="C21" t="s">
        <v>186</v>
      </c>
    </row>
    <row r="22" spans="1:3" x14ac:dyDescent="0.25">
      <c r="A22" s="6" t="s">
        <v>113</v>
      </c>
    </row>
    <row r="23" spans="1:3" x14ac:dyDescent="0.25">
      <c r="A23" s="6" t="s">
        <v>114</v>
      </c>
    </row>
    <row r="24" spans="1:3" x14ac:dyDescent="0.25">
      <c r="A24" s="6" t="s">
        <v>115</v>
      </c>
      <c r="C24" t="s">
        <v>186</v>
      </c>
    </row>
    <row r="25" spans="1:3" x14ac:dyDescent="0.25">
      <c r="A25" s="6" t="s">
        <v>116</v>
      </c>
    </row>
    <row r="26" spans="1:3" x14ac:dyDescent="0.25">
      <c r="A26" s="6" t="s">
        <v>117</v>
      </c>
    </row>
    <row r="27" spans="1:3" x14ac:dyDescent="0.25">
      <c r="A27" s="6" t="s">
        <v>118</v>
      </c>
    </row>
    <row r="28" spans="1:3" x14ac:dyDescent="0.25">
      <c r="A28" s="7" t="s">
        <v>119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811C-6F23-4DD8-9C8D-BA9CCA375C78}">
  <dimension ref="A1:I68"/>
  <sheetViews>
    <sheetView topLeftCell="A43" workbookViewId="0">
      <selection activeCell="I58" sqref="I58"/>
    </sheetView>
  </sheetViews>
  <sheetFormatPr defaultColWidth="22" defaultRowHeight="15.75" x14ac:dyDescent="0.25"/>
  <cols>
    <col min="1" max="16384" width="22" style="19"/>
  </cols>
  <sheetData>
    <row r="1" spans="1:6" ht="48" thickBot="1" x14ac:dyDescent="0.3">
      <c r="A1" s="20" t="s">
        <v>196</v>
      </c>
      <c r="B1" s="20" t="s">
        <v>188</v>
      </c>
      <c r="C1" s="20" t="s">
        <v>189</v>
      </c>
      <c r="D1" s="20" t="s">
        <v>190</v>
      </c>
      <c r="E1" s="20" t="s">
        <v>191</v>
      </c>
      <c r="F1" s="20" t="s">
        <v>187</v>
      </c>
    </row>
    <row r="2" spans="1:6" ht="17.25" thickTop="1" thickBot="1" x14ac:dyDescent="0.3">
      <c r="A2" s="21" t="s">
        <v>192</v>
      </c>
      <c r="B2" s="24">
        <v>0</v>
      </c>
      <c r="C2" s="24">
        <v>0</v>
      </c>
      <c r="D2" s="24">
        <v>0</v>
      </c>
      <c r="E2" s="24">
        <v>1610.28</v>
      </c>
      <c r="F2" s="24">
        <f>SUM(B2:E2)</f>
        <v>1610.28</v>
      </c>
    </row>
    <row r="3" spans="1:6" ht="17.25" thickTop="1" thickBot="1" x14ac:dyDescent="0.3">
      <c r="A3" s="22" t="s">
        <v>193</v>
      </c>
      <c r="B3" s="25">
        <v>6.4</v>
      </c>
      <c r="C3" s="25">
        <v>27.8</v>
      </c>
      <c r="D3" s="25">
        <v>0</v>
      </c>
      <c r="E3" s="25">
        <v>268.38</v>
      </c>
      <c r="F3" s="24">
        <f t="shared" ref="F3:F5" si="0">SUM(B3:E3)</f>
        <v>302.58</v>
      </c>
    </row>
    <row r="4" spans="1:6" ht="17.25" thickTop="1" thickBot="1" x14ac:dyDescent="0.3">
      <c r="A4" s="23" t="s">
        <v>194</v>
      </c>
      <c r="B4" s="26">
        <v>6.8</v>
      </c>
      <c r="C4" s="26">
        <v>17.399999999999999</v>
      </c>
      <c r="D4" s="26">
        <v>0</v>
      </c>
      <c r="E4" s="26">
        <v>191.7</v>
      </c>
      <c r="F4" s="24">
        <f t="shared" si="0"/>
        <v>215.89999999999998</v>
      </c>
    </row>
    <row r="5" spans="1:6" ht="17.25" thickTop="1" thickBot="1" x14ac:dyDescent="0.3">
      <c r="A5" s="22" t="s">
        <v>195</v>
      </c>
      <c r="B5" s="24">
        <v>8.4</v>
      </c>
      <c r="C5" s="24">
        <v>43.8</v>
      </c>
      <c r="D5" s="25">
        <v>0</v>
      </c>
      <c r="E5" s="25">
        <v>0</v>
      </c>
      <c r="F5" s="24">
        <f t="shared" si="0"/>
        <v>52.199999999999996</v>
      </c>
    </row>
    <row r="6" spans="1:6" x14ac:dyDescent="0.25">
      <c r="B6" s="19" t="s">
        <v>197</v>
      </c>
    </row>
    <row r="9" spans="1:6" x14ac:dyDescent="0.25">
      <c r="C9" s="19">
        <f>730/870</f>
        <v>0.83908045977011492</v>
      </c>
      <c r="D9" s="19">
        <f>38340</f>
        <v>38340</v>
      </c>
      <c r="E9" s="19">
        <v>42</v>
      </c>
      <c r="F9" s="19">
        <f>D9*E9</f>
        <v>1610280</v>
      </c>
    </row>
    <row r="10" spans="1:6" x14ac:dyDescent="0.25">
      <c r="C10" s="19">
        <f>261*0.84</f>
        <v>219.23999999999998</v>
      </c>
      <c r="E10" s="19">
        <v>7</v>
      </c>
      <c r="F10" s="19">
        <f>D9*E10</f>
        <v>268380</v>
      </c>
    </row>
    <row r="11" spans="1:6" x14ac:dyDescent="0.25">
      <c r="C11" s="19">
        <f>261-219</f>
        <v>42</v>
      </c>
      <c r="E11" s="19">
        <v>5</v>
      </c>
      <c r="F11" s="19">
        <f>D9*E11</f>
        <v>191700</v>
      </c>
    </row>
    <row r="12" spans="1:6" x14ac:dyDescent="0.25">
      <c r="C12" s="19">
        <f>42/261</f>
        <v>0.16091954022988506</v>
      </c>
      <c r="F12" s="19">
        <f>261*200</f>
        <v>52200</v>
      </c>
    </row>
    <row r="13" spans="1:6" x14ac:dyDescent="0.25">
      <c r="F13" s="19">
        <f>42*200</f>
        <v>8400</v>
      </c>
    </row>
    <row r="15" spans="1:6" x14ac:dyDescent="0.25">
      <c r="B15" s="19" t="s">
        <v>200</v>
      </c>
      <c r="C15" s="19" t="s">
        <v>199</v>
      </c>
      <c r="D15" s="19" t="s">
        <v>214</v>
      </c>
    </row>
    <row r="16" spans="1:6" x14ac:dyDescent="0.25">
      <c r="A16" s="19" t="s">
        <v>198</v>
      </c>
      <c r="B16" s="19">
        <v>200</v>
      </c>
      <c r="C16" s="19" t="s">
        <v>202</v>
      </c>
      <c r="D16" s="19" t="s">
        <v>213</v>
      </c>
      <c r="E16" s="19">
        <f>52200-D17</f>
        <v>13860</v>
      </c>
    </row>
    <row r="17" spans="1:6" x14ac:dyDescent="0.25">
      <c r="A17" s="19" t="s">
        <v>201</v>
      </c>
      <c r="B17" s="19">
        <v>38340</v>
      </c>
      <c r="C17" s="19">
        <v>1</v>
      </c>
      <c r="D17" s="19">
        <v>38340</v>
      </c>
      <c r="E17" s="19">
        <f>E16/200</f>
        <v>69.3</v>
      </c>
    </row>
    <row r="18" spans="1:6" x14ac:dyDescent="0.25">
      <c r="A18" s="19" t="s">
        <v>211</v>
      </c>
      <c r="B18" s="19">
        <v>0</v>
      </c>
      <c r="C18" s="19">
        <v>218</v>
      </c>
      <c r="D18" s="19">
        <v>0</v>
      </c>
      <c r="E18" s="19">
        <f>261-69-1</f>
        <v>191</v>
      </c>
    </row>
    <row r="19" spans="1:6" x14ac:dyDescent="0.25">
      <c r="B19" s="19" t="s">
        <v>204</v>
      </c>
      <c r="C19" s="19" t="s">
        <v>205</v>
      </c>
      <c r="E19" s="19">
        <f>28/261</f>
        <v>0.10727969348659004</v>
      </c>
    </row>
    <row r="20" spans="1:6" x14ac:dyDescent="0.25">
      <c r="A20" s="19" t="s">
        <v>204</v>
      </c>
      <c r="B20" s="19" t="s">
        <v>203</v>
      </c>
      <c r="C20" s="19" t="s">
        <v>206</v>
      </c>
      <c r="D20" s="19" t="s">
        <v>210</v>
      </c>
    </row>
    <row r="21" spans="1:6" x14ac:dyDescent="0.25">
      <c r="A21" s="19" t="s">
        <v>205</v>
      </c>
      <c r="B21" s="19" t="s">
        <v>207</v>
      </c>
      <c r="C21" s="19" t="s">
        <v>208</v>
      </c>
      <c r="D21" s="19" t="s">
        <v>212</v>
      </c>
    </row>
    <row r="22" spans="1:6" ht="16.5" thickBot="1" x14ac:dyDescent="0.3">
      <c r="B22" s="19" t="s">
        <v>209</v>
      </c>
    </row>
    <row r="23" spans="1:6" ht="24" thickBot="1" x14ac:dyDescent="0.3">
      <c r="C23" s="18">
        <v>35</v>
      </c>
      <c r="D23" s="18">
        <v>34</v>
      </c>
      <c r="E23" s="18">
        <v>218</v>
      </c>
      <c r="F23" s="18">
        <v>1</v>
      </c>
    </row>
    <row r="24" spans="1:6" ht="24.75" thickTop="1" thickBot="1" x14ac:dyDescent="0.3">
      <c r="C24" s="18">
        <v>34</v>
      </c>
      <c r="D24" s="18">
        <v>35</v>
      </c>
      <c r="E24" s="18">
        <v>191</v>
      </c>
      <c r="F24" s="18">
        <v>1</v>
      </c>
    </row>
    <row r="25" spans="1:6" ht="16.5" thickTop="1" x14ac:dyDescent="0.25">
      <c r="C25" s="19" t="s">
        <v>219</v>
      </c>
      <c r="D25" s="19">
        <f>200*69</f>
        <v>13800</v>
      </c>
    </row>
    <row r="26" spans="1:6" x14ac:dyDescent="0.25">
      <c r="C26" s="19" t="s">
        <v>220</v>
      </c>
      <c r="D26" s="19">
        <v>38340</v>
      </c>
    </row>
    <row r="27" spans="1:6" x14ac:dyDescent="0.25">
      <c r="D27" s="19">
        <f>SUM(D25:D26)</f>
        <v>52140</v>
      </c>
    </row>
    <row r="29" spans="1:6" x14ac:dyDescent="0.25">
      <c r="D29" s="19" t="s">
        <v>221</v>
      </c>
      <c r="E29" s="19" t="s">
        <v>224</v>
      </c>
      <c r="F29" s="19" t="s">
        <v>225</v>
      </c>
    </row>
    <row r="30" spans="1:6" x14ac:dyDescent="0.25">
      <c r="A30" s="19" t="s">
        <v>215</v>
      </c>
      <c r="D30" s="19" t="s">
        <v>222</v>
      </c>
      <c r="E30" s="19" t="s">
        <v>223</v>
      </c>
    </row>
    <row r="31" spans="1:6" x14ac:dyDescent="0.25">
      <c r="A31" s="19">
        <f>38340/200</f>
        <v>191.7</v>
      </c>
    </row>
    <row r="32" spans="1:6" x14ac:dyDescent="0.25">
      <c r="A32" s="19" t="s">
        <v>216</v>
      </c>
    </row>
    <row r="33" spans="1:9" x14ac:dyDescent="0.25">
      <c r="A33" s="19" t="s">
        <v>217</v>
      </c>
    </row>
    <row r="34" spans="1:9" x14ac:dyDescent="0.25">
      <c r="A34" s="19" t="s">
        <v>218</v>
      </c>
      <c r="B34" s="19">
        <f>261-70</f>
        <v>191</v>
      </c>
    </row>
    <row r="35" spans="1:9" x14ac:dyDescent="0.25">
      <c r="A35" s="19">
        <f>36/261</f>
        <v>0.13793103448275862</v>
      </c>
      <c r="B35" s="19">
        <f>1-A35</f>
        <v>0.86206896551724133</v>
      </c>
    </row>
    <row r="44" spans="1:9" x14ac:dyDescent="0.25">
      <c r="G44" s="19" t="s">
        <v>243</v>
      </c>
      <c r="H44" s="19" t="s">
        <v>244</v>
      </c>
    </row>
    <row r="45" spans="1:9" x14ac:dyDescent="0.25">
      <c r="B45" s="19" t="s">
        <v>203</v>
      </c>
      <c r="C45" s="19" t="s">
        <v>206</v>
      </c>
      <c r="D45" s="19" t="s">
        <v>208</v>
      </c>
      <c r="E45" s="19" t="s">
        <v>207</v>
      </c>
      <c r="F45" s="19" t="s">
        <v>232</v>
      </c>
      <c r="G45" s="19" t="s">
        <v>222</v>
      </c>
      <c r="H45" s="19" t="s">
        <v>221</v>
      </c>
    </row>
    <row r="46" spans="1:9" x14ac:dyDescent="0.25">
      <c r="A46" t="s">
        <v>196</v>
      </c>
      <c r="B46" t="s">
        <v>188</v>
      </c>
      <c r="C46" t="s">
        <v>189</v>
      </c>
      <c r="D46" t="s">
        <v>190</v>
      </c>
      <c r="E46" t="s">
        <v>191</v>
      </c>
      <c r="F46" t="s">
        <v>226</v>
      </c>
      <c r="G46" s="19" t="s">
        <v>231</v>
      </c>
      <c r="H46" s="19" t="s">
        <v>230</v>
      </c>
      <c r="I46" t="s">
        <v>187</v>
      </c>
    </row>
    <row r="47" spans="1:9" x14ac:dyDescent="0.25">
      <c r="A47" t="s">
        <v>192</v>
      </c>
      <c r="B47">
        <v>0</v>
      </c>
      <c r="C47">
        <v>0</v>
      </c>
      <c r="D47">
        <v>219</v>
      </c>
      <c r="E47">
        <v>42</v>
      </c>
      <c r="F47">
        <v>0.83899999999999997</v>
      </c>
      <c r="G47" s="19">
        <f>219/261</f>
        <v>0.83908045977011492</v>
      </c>
      <c r="H47" s="19" t="s">
        <v>229</v>
      </c>
      <c r="I47">
        <v>1610280</v>
      </c>
    </row>
    <row r="48" spans="1:9" x14ac:dyDescent="0.25">
      <c r="A48" t="s">
        <v>193</v>
      </c>
      <c r="B48">
        <v>32</v>
      </c>
      <c r="C48">
        <v>139</v>
      </c>
      <c r="D48">
        <v>83</v>
      </c>
      <c r="E48">
        <v>7</v>
      </c>
      <c r="F48">
        <v>0.68200000000000005</v>
      </c>
      <c r="G48" s="19">
        <f>83/(83+139)</f>
        <v>0.37387387387387389</v>
      </c>
      <c r="H48" s="19">
        <f>32/(32+7)</f>
        <v>0.82051282051282048</v>
      </c>
      <c r="I48">
        <v>302580</v>
      </c>
    </row>
    <row r="49" spans="1:9" x14ac:dyDescent="0.25">
      <c r="A49" t="s">
        <v>194</v>
      </c>
      <c r="B49">
        <v>10</v>
      </c>
      <c r="C49">
        <v>17</v>
      </c>
      <c r="D49">
        <v>67</v>
      </c>
      <c r="E49">
        <v>6</v>
      </c>
      <c r="F49">
        <v>0.65510000000000002</v>
      </c>
      <c r="G49" s="19">
        <f>34/(34+87)</f>
        <v>0.28099173553719009</v>
      </c>
      <c r="H49" s="19">
        <f>135/140</f>
        <v>0.9642857142857143</v>
      </c>
      <c r="I49">
        <v>215900</v>
      </c>
    </row>
    <row r="50" spans="1:9" s="28" customFormat="1" x14ac:dyDescent="0.25">
      <c r="A50" s="27" t="s">
        <v>227</v>
      </c>
      <c r="B50" s="27">
        <v>42</v>
      </c>
      <c r="C50" s="27">
        <v>0</v>
      </c>
      <c r="D50" s="27">
        <v>219</v>
      </c>
      <c r="E50" s="27">
        <v>0</v>
      </c>
      <c r="F50" s="27">
        <v>1</v>
      </c>
      <c r="G50" s="28">
        <f>219/(219)</f>
        <v>1</v>
      </c>
      <c r="H50" s="28">
        <v>1</v>
      </c>
      <c r="I50" s="27">
        <v>8400</v>
      </c>
    </row>
    <row r="51" spans="1:9" x14ac:dyDescent="0.25">
      <c r="A51" t="s">
        <v>228</v>
      </c>
      <c r="B51">
        <v>34</v>
      </c>
      <c r="C51">
        <v>35</v>
      </c>
      <c r="D51">
        <v>191</v>
      </c>
      <c r="E51">
        <v>1</v>
      </c>
      <c r="F51">
        <v>0.86199999999999999</v>
      </c>
      <c r="I51">
        <v>52140</v>
      </c>
    </row>
    <row r="52" spans="1:9" x14ac:dyDescent="0.25">
      <c r="A52" t="s">
        <v>195</v>
      </c>
      <c r="B52">
        <v>42</v>
      </c>
      <c r="C52">
        <v>219</v>
      </c>
      <c r="D52">
        <v>0</v>
      </c>
      <c r="E52">
        <v>0</v>
      </c>
      <c r="F52">
        <v>0.16</v>
      </c>
      <c r="I52">
        <v>52200</v>
      </c>
    </row>
    <row r="56" spans="1:9" x14ac:dyDescent="0.25">
      <c r="B56" s="19" t="s">
        <v>238</v>
      </c>
      <c r="C56" s="19" t="s">
        <v>239</v>
      </c>
      <c r="D56" s="19" t="s">
        <v>237</v>
      </c>
      <c r="E56" s="19" t="s">
        <v>240</v>
      </c>
      <c r="F56" s="19" t="s">
        <v>232</v>
      </c>
      <c r="G56" s="19" t="s">
        <v>222</v>
      </c>
      <c r="H56" s="19" t="s">
        <v>221</v>
      </c>
      <c r="I56" s="19" t="s">
        <v>234</v>
      </c>
    </row>
    <row r="57" spans="1:9" x14ac:dyDescent="0.25">
      <c r="A57" t="s">
        <v>233</v>
      </c>
      <c r="B57" t="s">
        <v>188</v>
      </c>
      <c r="C57" t="s">
        <v>189</v>
      </c>
      <c r="D57" t="s">
        <v>190</v>
      </c>
      <c r="E57" t="s">
        <v>191</v>
      </c>
      <c r="F57" t="s">
        <v>226</v>
      </c>
      <c r="G57" s="19" t="s">
        <v>231</v>
      </c>
      <c r="H57" s="19" t="s">
        <v>230</v>
      </c>
      <c r="I57" t="s">
        <v>187</v>
      </c>
    </row>
    <row r="58" spans="1:9" x14ac:dyDescent="0.25">
      <c r="A58" t="s">
        <v>192</v>
      </c>
      <c r="B58">
        <v>0</v>
      </c>
      <c r="C58">
        <v>0</v>
      </c>
      <c r="D58">
        <v>84</v>
      </c>
      <c r="E58">
        <v>16</v>
      </c>
      <c r="F58">
        <v>84</v>
      </c>
      <c r="G58" s="19">
        <v>1</v>
      </c>
      <c r="H58" s="19">
        <v>0</v>
      </c>
      <c r="I58" s="29">
        <f>40000*E58+200*(B58+C58)</f>
        <v>640000</v>
      </c>
    </row>
    <row r="59" spans="1:9" x14ac:dyDescent="0.25">
      <c r="A59" t="s">
        <v>193</v>
      </c>
      <c r="B59">
        <v>11</v>
      </c>
      <c r="C59">
        <v>27</v>
      </c>
      <c r="D59">
        <v>57</v>
      </c>
      <c r="E59">
        <v>5</v>
      </c>
      <c r="F59">
        <v>0.68200000000000005</v>
      </c>
      <c r="G59" s="30">
        <v>0.67920000000000003</v>
      </c>
      <c r="H59" s="30">
        <v>0.69399999999999995</v>
      </c>
      <c r="I59" s="29">
        <f>40000*E59+200*(B59+C59)</f>
        <v>207600</v>
      </c>
    </row>
    <row r="60" spans="1:9" x14ac:dyDescent="0.25">
      <c r="A60" t="s">
        <v>194</v>
      </c>
      <c r="B60">
        <v>10</v>
      </c>
      <c r="C60">
        <v>17</v>
      </c>
      <c r="D60">
        <v>67</v>
      </c>
      <c r="E60">
        <v>6</v>
      </c>
      <c r="F60">
        <v>0.65510000000000002</v>
      </c>
      <c r="G60" s="30">
        <v>0.79590000000000005</v>
      </c>
      <c r="H60" s="30">
        <v>0.62260000000000004</v>
      </c>
      <c r="I60" s="29">
        <f>40000*E60+200*(B60+C60)</f>
        <v>245400</v>
      </c>
    </row>
    <row r="61" spans="1:9" x14ac:dyDescent="0.25">
      <c r="A61" t="s">
        <v>227</v>
      </c>
      <c r="B61">
        <v>16</v>
      </c>
      <c r="C61">
        <v>0</v>
      </c>
      <c r="D61">
        <v>84</v>
      </c>
      <c r="E61">
        <v>0</v>
      </c>
      <c r="F61">
        <v>1</v>
      </c>
      <c r="G61" s="19">
        <f>219/(219)</f>
        <v>1</v>
      </c>
      <c r="H61" s="19">
        <v>1</v>
      </c>
      <c r="I61" s="29">
        <f t="shared" ref="I61" si="1">40000*E61+200*(B61*C61)</f>
        <v>0</v>
      </c>
    </row>
    <row r="62" spans="1:9" x14ac:dyDescent="0.25">
      <c r="A62" t="s">
        <v>228</v>
      </c>
      <c r="B62">
        <v>15.6</v>
      </c>
      <c r="C62">
        <v>4</v>
      </c>
      <c r="D62">
        <f>84-C62</f>
        <v>80</v>
      </c>
      <c r="E62">
        <f>16-B62</f>
        <v>0.40000000000000036</v>
      </c>
      <c r="F62">
        <f>(D62+B62)/SUM(B62:E62)</f>
        <v>0.95599999999999996</v>
      </c>
      <c r="G62" s="19">
        <f>D62/(D62+C62)</f>
        <v>0.95238095238095233</v>
      </c>
      <c r="H62" s="19">
        <f>B62/(B62+E62)</f>
        <v>0.97499999999999998</v>
      </c>
      <c r="I62" s="29">
        <f>40000*E62+200*(B62+C62)</f>
        <v>19920.000000000015</v>
      </c>
    </row>
    <row r="63" spans="1:9" x14ac:dyDescent="0.25">
      <c r="A63" t="s">
        <v>195</v>
      </c>
      <c r="B63">
        <v>16</v>
      </c>
      <c r="C63">
        <v>84</v>
      </c>
      <c r="D63">
        <v>0</v>
      </c>
      <c r="E63">
        <v>0</v>
      </c>
      <c r="F63" s="31">
        <v>0.16</v>
      </c>
      <c r="G63" s="19">
        <v>0</v>
      </c>
      <c r="H63" s="19">
        <v>1</v>
      </c>
      <c r="I63" s="29">
        <f>40000*E63+200*(B63+C63)</f>
        <v>20000</v>
      </c>
    </row>
    <row r="64" spans="1:9" x14ac:dyDescent="0.25">
      <c r="B64" s="19" t="s">
        <v>235</v>
      </c>
    </row>
    <row r="65" spans="2:8" x14ac:dyDescent="0.25">
      <c r="B65" s="19" t="s">
        <v>236</v>
      </c>
      <c r="F65" s="19" t="s">
        <v>203</v>
      </c>
      <c r="G65" s="19" t="s">
        <v>207</v>
      </c>
      <c r="H65" s="19" t="s">
        <v>241</v>
      </c>
    </row>
    <row r="66" spans="2:8" x14ac:dyDescent="0.25">
      <c r="F66" s="19">
        <f>16*H66</f>
        <v>9.9616000000000007</v>
      </c>
      <c r="G66" s="19">
        <f>16-F66</f>
        <v>6.0383999999999993</v>
      </c>
      <c r="H66" s="30">
        <v>0.62260000000000004</v>
      </c>
    </row>
    <row r="67" spans="2:8" x14ac:dyDescent="0.25">
      <c r="F67" s="19" t="s">
        <v>208</v>
      </c>
      <c r="G67" s="19" t="s">
        <v>206</v>
      </c>
      <c r="H67" s="19" t="s">
        <v>242</v>
      </c>
    </row>
    <row r="68" spans="2:8" x14ac:dyDescent="0.25">
      <c r="F68" s="19">
        <f>H68*84</f>
        <v>66.85560000000001</v>
      </c>
      <c r="G68" s="19">
        <f>84-F68</f>
        <v>17.14439999999999</v>
      </c>
      <c r="H68" s="30">
        <v>0.79590000000000005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3068-4D66-41E1-85A3-E0C1D7DCE8E7}">
  <dimension ref="A1:O17"/>
  <sheetViews>
    <sheetView tabSelected="1" topLeftCell="A4" workbookViewId="0">
      <selection activeCell="F17" sqref="F17"/>
    </sheetView>
  </sheetViews>
  <sheetFormatPr defaultRowHeight="15" x14ac:dyDescent="0.25"/>
  <cols>
    <col min="1" max="1" width="22" customWidth="1"/>
    <col min="3" max="3" width="19.28515625" customWidth="1"/>
    <col min="11" max="11" width="35.85546875" customWidth="1"/>
    <col min="12" max="12" width="22.85546875" bestFit="1" customWidth="1"/>
    <col min="13" max="13" width="13.28515625" bestFit="1" customWidth="1"/>
  </cols>
  <sheetData>
    <row r="1" spans="1:15" x14ac:dyDescent="0.25">
      <c r="A1" s="32" t="s">
        <v>245</v>
      </c>
      <c r="D1" t="s">
        <v>249</v>
      </c>
    </row>
    <row r="2" spans="1:15" x14ac:dyDescent="0.25">
      <c r="A2" s="32" t="s">
        <v>246</v>
      </c>
    </row>
    <row r="3" spans="1:15" x14ac:dyDescent="0.25">
      <c r="A3" s="32" t="s">
        <v>247</v>
      </c>
      <c r="C3" t="s">
        <v>252</v>
      </c>
      <c r="D3" t="s">
        <v>203</v>
      </c>
      <c r="E3" t="s">
        <v>206</v>
      </c>
      <c r="F3" t="s">
        <v>208</v>
      </c>
      <c r="G3" t="s">
        <v>207</v>
      </c>
      <c r="H3" t="s">
        <v>250</v>
      </c>
    </row>
    <row r="4" spans="1:15" x14ac:dyDescent="0.25">
      <c r="A4" s="33" t="s">
        <v>248</v>
      </c>
      <c r="C4">
        <v>218</v>
      </c>
      <c r="D4">
        <v>25</v>
      </c>
      <c r="E4">
        <v>106</v>
      </c>
      <c r="F4">
        <v>86</v>
      </c>
      <c r="G4">
        <v>1</v>
      </c>
      <c r="H4">
        <f>40000*G4 + 200*(D4+E4)</f>
        <v>66200</v>
      </c>
    </row>
    <row r="5" spans="1:15" x14ac:dyDescent="0.25">
      <c r="D5">
        <v>35</v>
      </c>
      <c r="E5">
        <v>0</v>
      </c>
      <c r="F5">
        <f>218-D5</f>
        <v>183</v>
      </c>
      <c r="G5">
        <v>0</v>
      </c>
      <c r="H5">
        <f>40000*G5 + 200*(D5+E5)</f>
        <v>7000</v>
      </c>
      <c r="I5" t="s">
        <v>251</v>
      </c>
    </row>
    <row r="10" spans="1:15" ht="15.75" thickBot="1" x14ac:dyDescent="0.3">
      <c r="C10" t="s">
        <v>250</v>
      </c>
    </row>
    <row r="11" spans="1:15" ht="45.75" thickBot="1" x14ac:dyDescent="0.4">
      <c r="C11" s="34">
        <v>1610280</v>
      </c>
      <c r="D11">
        <f>C11/261</f>
        <v>6169.6551724137935</v>
      </c>
      <c r="J11" s="42" t="s">
        <v>192</v>
      </c>
      <c r="K11" s="43">
        <v>6169</v>
      </c>
      <c r="L11" s="18"/>
      <c r="M11" s="18"/>
      <c r="N11" s="18"/>
      <c r="O11" s="35"/>
    </row>
    <row r="12" spans="1:15" ht="31.5" thickTop="1" thickBot="1" x14ac:dyDescent="0.4">
      <c r="C12" s="34">
        <v>302580</v>
      </c>
      <c r="D12">
        <f t="shared" ref="D12:D17" si="0">C12/261</f>
        <v>1159.3103448275863</v>
      </c>
      <c r="J12" s="44" t="s">
        <v>193</v>
      </c>
      <c r="K12" s="45">
        <v>1159</v>
      </c>
      <c r="L12" s="36">
        <f>1-(1159/6169)</f>
        <v>0.81212514183822337</v>
      </c>
      <c r="M12" s="50">
        <v>0.81</v>
      </c>
      <c r="N12" s="36"/>
      <c r="O12" s="37"/>
    </row>
    <row r="13" spans="1:15" ht="30.75" thickBot="1" x14ac:dyDescent="0.4">
      <c r="C13" s="34">
        <v>215900</v>
      </c>
      <c r="D13">
        <f t="shared" si="0"/>
        <v>827.20306513409957</v>
      </c>
      <c r="J13" s="46" t="s">
        <v>194</v>
      </c>
      <c r="K13" s="47">
        <v>827</v>
      </c>
      <c r="L13" s="38">
        <f>1-(827/6169)</f>
        <v>0.86594261630734315</v>
      </c>
      <c r="M13" s="39">
        <v>0.86499999999999999</v>
      </c>
      <c r="N13" s="38"/>
      <c r="O13" s="39"/>
    </row>
    <row r="14" spans="1:15" ht="30.75" thickBot="1" x14ac:dyDescent="0.4">
      <c r="C14" s="34">
        <v>52140</v>
      </c>
      <c r="D14">
        <f t="shared" si="0"/>
        <v>199.77011494252875</v>
      </c>
      <c r="J14" s="48" t="s">
        <v>227</v>
      </c>
      <c r="K14" s="49">
        <v>32</v>
      </c>
      <c r="L14" s="40">
        <f>1-(32/6169)</f>
        <v>0.99481277354514508</v>
      </c>
      <c r="M14" s="41">
        <v>0.99</v>
      </c>
      <c r="N14" s="40"/>
      <c r="O14" s="41"/>
    </row>
    <row r="15" spans="1:15" ht="45.75" thickBot="1" x14ac:dyDescent="0.4">
      <c r="C15" s="34">
        <v>8400</v>
      </c>
      <c r="D15">
        <f t="shared" si="0"/>
        <v>32.183908045977013</v>
      </c>
      <c r="J15" s="46" t="s">
        <v>228</v>
      </c>
      <c r="K15" s="47">
        <v>200</v>
      </c>
      <c r="L15" s="38">
        <f>1-(200/6169)</f>
        <v>0.9675798346571568</v>
      </c>
      <c r="M15" s="51">
        <v>0.97</v>
      </c>
      <c r="N15" s="38"/>
      <c r="O15" s="39"/>
    </row>
    <row r="16" spans="1:15" ht="45.75" thickBot="1" x14ac:dyDescent="0.3">
      <c r="D16">
        <f t="shared" si="0"/>
        <v>0</v>
      </c>
      <c r="F16">
        <f>191/192</f>
        <v>0.99479166666666663</v>
      </c>
      <c r="J16" s="48" t="s">
        <v>195</v>
      </c>
      <c r="K16" s="49">
        <v>200</v>
      </c>
      <c r="L16" s="40"/>
      <c r="M16" s="40"/>
      <c r="N16" s="40"/>
      <c r="O16" s="41"/>
    </row>
    <row r="17" spans="4:4" x14ac:dyDescent="0.25">
      <c r="D17">
        <f t="shared" si="0"/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4B0F-12CB-48E3-9E59-35BC66AE98CD}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s="9" t="s">
        <v>94</v>
      </c>
    </row>
    <row r="2" spans="1:1" x14ac:dyDescent="0.25">
      <c r="A2" s="8" t="s">
        <v>95</v>
      </c>
    </row>
    <row r="3" spans="1:1" x14ac:dyDescent="0.25">
      <c r="A3" s="9" t="s">
        <v>96</v>
      </c>
    </row>
    <row r="4" spans="1:1" x14ac:dyDescent="0.25">
      <c r="A4" s="8" t="s">
        <v>97</v>
      </c>
    </row>
    <row r="5" spans="1:1" x14ac:dyDescent="0.25">
      <c r="A5" s="9" t="s">
        <v>98</v>
      </c>
    </row>
    <row r="6" spans="1:1" x14ac:dyDescent="0.25">
      <c r="A6" s="9" t="s">
        <v>100</v>
      </c>
    </row>
    <row r="7" spans="1:1" x14ac:dyDescent="0.25">
      <c r="A7" s="8" t="s">
        <v>101</v>
      </c>
    </row>
    <row r="8" spans="1:1" x14ac:dyDescent="0.25">
      <c r="A8" s="9" t="s">
        <v>102</v>
      </c>
    </row>
    <row r="9" spans="1:1" x14ac:dyDescent="0.25">
      <c r="A9" s="8" t="s">
        <v>103</v>
      </c>
    </row>
    <row r="10" spans="1:1" x14ac:dyDescent="0.25">
      <c r="A10" s="9" t="s">
        <v>104</v>
      </c>
    </row>
    <row r="11" spans="1:1" x14ac:dyDescent="0.25">
      <c r="A11" s="8" t="s">
        <v>105</v>
      </c>
    </row>
    <row r="12" spans="1:1" x14ac:dyDescent="0.25">
      <c r="A12" s="9" t="s">
        <v>106</v>
      </c>
    </row>
    <row r="13" spans="1:1" x14ac:dyDescent="0.25">
      <c r="A13" s="8" t="s">
        <v>107</v>
      </c>
    </row>
    <row r="14" spans="1:1" x14ac:dyDescent="0.25">
      <c r="A14" s="9" t="s">
        <v>108</v>
      </c>
    </row>
    <row r="15" spans="1:1" x14ac:dyDescent="0.25">
      <c r="A15" s="8" t="s">
        <v>109</v>
      </c>
    </row>
    <row r="16" spans="1:1" x14ac:dyDescent="0.25">
      <c r="A16" s="9" t="s">
        <v>110</v>
      </c>
    </row>
    <row r="17" spans="1:1" x14ac:dyDescent="0.25">
      <c r="A17" s="9" t="s">
        <v>112</v>
      </c>
    </row>
    <row r="18" spans="1:1" x14ac:dyDescent="0.25">
      <c r="A18" s="8" t="s">
        <v>113</v>
      </c>
    </row>
    <row r="19" spans="1:1" x14ac:dyDescent="0.25">
      <c r="A19" s="9" t="s">
        <v>114</v>
      </c>
    </row>
    <row r="20" spans="1:1" x14ac:dyDescent="0.25">
      <c r="A20" s="8" t="s">
        <v>115</v>
      </c>
    </row>
    <row r="21" spans="1:1" x14ac:dyDescent="0.25">
      <c r="A21" s="9" t="s">
        <v>116</v>
      </c>
    </row>
    <row r="22" spans="1:1" x14ac:dyDescent="0.25">
      <c r="A22" s="8" t="s">
        <v>117</v>
      </c>
    </row>
    <row r="23" spans="1:1" x14ac:dyDescent="0.25">
      <c r="A23" s="9" t="s">
        <v>118</v>
      </c>
    </row>
    <row r="24" spans="1:1" x14ac:dyDescent="0.25">
      <c r="A24" s="10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B771-FDA0-467A-B727-BFC82E2E45C8}">
  <dimension ref="A1:L28"/>
  <sheetViews>
    <sheetView topLeftCell="A4" workbookViewId="0">
      <selection activeCell="J13" sqref="J13"/>
    </sheetView>
  </sheetViews>
  <sheetFormatPr defaultRowHeight="22.5" customHeight="1" x14ac:dyDescent="0.2"/>
  <cols>
    <col min="1" max="1" width="20.7109375" style="11" bestFit="1" customWidth="1"/>
    <col min="2" max="3" width="11.28515625" style="11" bestFit="1" customWidth="1"/>
    <col min="4" max="4" width="5.7109375" style="11" bestFit="1" customWidth="1"/>
    <col min="5" max="5" width="7" style="11" bestFit="1" customWidth="1"/>
    <col min="6" max="6" width="7.85546875" style="11" bestFit="1" customWidth="1"/>
    <col min="7" max="7" width="8.7109375" style="11" bestFit="1" customWidth="1"/>
    <col min="8" max="8" width="6.5703125" style="11" bestFit="1" customWidth="1"/>
    <col min="9" max="9" width="9.42578125" style="11" bestFit="1" customWidth="1"/>
    <col min="10" max="10" width="10.140625" style="11" customWidth="1"/>
    <col min="11" max="16384" width="9.140625" style="11"/>
  </cols>
  <sheetData>
    <row r="1" spans="1:12" ht="22.5" customHeight="1" thickBot="1" x14ac:dyDescent="0.25">
      <c r="A1" s="14" t="s">
        <v>177</v>
      </c>
      <c r="B1" s="15" t="s">
        <v>169</v>
      </c>
      <c r="C1" s="15" t="s">
        <v>170</v>
      </c>
      <c r="D1" s="15" t="s">
        <v>171</v>
      </c>
      <c r="E1" s="15" t="s">
        <v>172</v>
      </c>
      <c r="F1" s="15" t="s">
        <v>173</v>
      </c>
      <c r="G1" s="15" t="s">
        <v>174</v>
      </c>
      <c r="H1" s="15" t="s">
        <v>175</v>
      </c>
      <c r="I1" s="14" t="s">
        <v>176</v>
      </c>
      <c r="J1" s="14" t="s">
        <v>183</v>
      </c>
      <c r="K1" s="15" t="s">
        <v>178</v>
      </c>
      <c r="L1" s="15" t="s">
        <v>179</v>
      </c>
    </row>
    <row r="2" spans="1:12" ht="22.5" customHeight="1" thickBot="1" x14ac:dyDescent="0.25">
      <c r="A2" s="12" t="s">
        <v>120</v>
      </c>
      <c r="B2" s="13">
        <v>435.5</v>
      </c>
      <c r="C2" s="13">
        <v>251.29166319999999</v>
      </c>
      <c r="D2" s="13">
        <v>1</v>
      </c>
      <c r="E2" s="13">
        <v>218.25</v>
      </c>
      <c r="F2" s="13">
        <v>435.5</v>
      </c>
      <c r="G2" s="13">
        <v>652.75</v>
      </c>
      <c r="H2" s="13">
        <v>870</v>
      </c>
      <c r="I2" s="12" t="s">
        <v>121</v>
      </c>
      <c r="J2" s="17" t="s">
        <v>180</v>
      </c>
      <c r="K2" s="16">
        <v>0</v>
      </c>
      <c r="L2" s="16"/>
    </row>
    <row r="3" spans="1:12" ht="22.5" customHeight="1" thickBot="1" x14ac:dyDescent="0.25">
      <c r="A3" s="12" t="s">
        <v>122</v>
      </c>
      <c r="B3" s="13">
        <v>36.828735999999999</v>
      </c>
      <c r="C3" s="13">
        <v>8.9259503999999996</v>
      </c>
      <c r="D3" s="13">
        <v>18</v>
      </c>
      <c r="E3" s="13">
        <v>30</v>
      </c>
      <c r="F3" s="13">
        <v>35</v>
      </c>
      <c r="G3" s="13">
        <v>43</v>
      </c>
      <c r="H3" s="13">
        <v>60</v>
      </c>
      <c r="I3" s="12" t="s">
        <v>123</v>
      </c>
      <c r="J3" s="17" t="s">
        <v>182</v>
      </c>
      <c r="K3" s="16"/>
      <c r="L3" s="16"/>
    </row>
    <row r="4" spans="1:12" ht="22.5" customHeight="1" thickBot="1" x14ac:dyDescent="0.25">
      <c r="A4" s="12" t="s">
        <v>124</v>
      </c>
      <c r="B4" s="13">
        <v>815.22758599999997</v>
      </c>
      <c r="C4" s="13">
        <v>401.11628030000003</v>
      </c>
      <c r="D4" s="13">
        <v>103</v>
      </c>
      <c r="E4" s="13">
        <v>472.5</v>
      </c>
      <c r="F4" s="13">
        <v>817.5</v>
      </c>
      <c r="G4" s="13">
        <v>1165.75</v>
      </c>
      <c r="H4" s="13">
        <v>1499</v>
      </c>
      <c r="I4" s="12" t="s">
        <v>121</v>
      </c>
      <c r="J4" s="17" t="s">
        <v>180</v>
      </c>
      <c r="K4" s="16"/>
      <c r="L4" s="16"/>
    </row>
    <row r="5" spans="1:12" ht="22.5" customHeight="1" thickBot="1" x14ac:dyDescent="0.25">
      <c r="A5" s="12" t="s">
        <v>125</v>
      </c>
      <c r="B5" s="13">
        <v>9.3390799999999992</v>
      </c>
      <c r="C5" s="13">
        <v>8.1367039000000005</v>
      </c>
      <c r="D5" s="13">
        <v>1</v>
      </c>
      <c r="E5" s="13">
        <v>2</v>
      </c>
      <c r="F5" s="13">
        <v>7</v>
      </c>
      <c r="G5" s="13">
        <v>14</v>
      </c>
      <c r="H5" s="13">
        <v>29</v>
      </c>
      <c r="I5" s="12" t="s">
        <v>126</v>
      </c>
      <c r="J5" s="17" t="s">
        <v>181</v>
      </c>
      <c r="K5" s="16"/>
      <c r="L5" s="16"/>
    </row>
    <row r="6" spans="1:12" ht="22.5" customHeight="1" thickBot="1" x14ac:dyDescent="0.25">
      <c r="A6" s="12" t="s">
        <v>127</v>
      </c>
      <c r="B6" s="13">
        <v>2.9011490000000002</v>
      </c>
      <c r="C6" s="13">
        <v>1.0230366</v>
      </c>
      <c r="D6" s="13">
        <v>1</v>
      </c>
      <c r="E6" s="13">
        <v>2</v>
      </c>
      <c r="F6" s="13">
        <v>3</v>
      </c>
      <c r="G6" s="13">
        <v>4</v>
      </c>
      <c r="H6" s="13">
        <v>5</v>
      </c>
      <c r="I6" s="12" t="s">
        <v>128</v>
      </c>
      <c r="J6" s="17" t="s">
        <v>182</v>
      </c>
      <c r="K6" s="16"/>
      <c r="L6" s="16"/>
    </row>
    <row r="7" spans="1:12" ht="22.5" customHeight="1" thickBot="1" x14ac:dyDescent="0.25">
      <c r="A7" s="12" t="s">
        <v>129</v>
      </c>
      <c r="B7" s="13">
        <v>1</v>
      </c>
      <c r="C7" s="13">
        <v>0</v>
      </c>
      <c r="D7" s="13">
        <v>1</v>
      </c>
      <c r="E7" s="13">
        <v>1</v>
      </c>
      <c r="F7" s="13">
        <v>1</v>
      </c>
      <c r="G7" s="13">
        <v>1</v>
      </c>
      <c r="H7" s="13">
        <v>1</v>
      </c>
      <c r="I7" s="12" t="s">
        <v>130</v>
      </c>
      <c r="J7" s="17" t="s">
        <v>185</v>
      </c>
      <c r="K7" s="16">
        <v>0</v>
      </c>
      <c r="L7" s="16"/>
    </row>
    <row r="8" spans="1:12" ht="22.5" customHeight="1" thickBot="1" x14ac:dyDescent="0.25">
      <c r="A8" s="12" t="s">
        <v>131</v>
      </c>
      <c r="B8" s="13">
        <v>1029.8321840000001</v>
      </c>
      <c r="C8" s="13">
        <v>604.78929700000003</v>
      </c>
      <c r="D8" s="13">
        <v>1</v>
      </c>
      <c r="E8" s="13">
        <v>477.25</v>
      </c>
      <c r="F8" s="13">
        <v>1039</v>
      </c>
      <c r="G8" s="13">
        <v>1561.5</v>
      </c>
      <c r="H8" s="13">
        <v>2064</v>
      </c>
      <c r="I8" s="12" t="s">
        <v>121</v>
      </c>
      <c r="J8" s="17" t="s">
        <v>180</v>
      </c>
      <c r="K8" s="16">
        <v>0</v>
      </c>
      <c r="L8" s="16"/>
    </row>
    <row r="9" spans="1:12" ht="22.5" customHeight="1" thickBot="1" x14ac:dyDescent="0.25">
      <c r="A9" s="12" t="s">
        <v>132</v>
      </c>
      <c r="B9" s="13">
        <v>2.701149</v>
      </c>
      <c r="C9" s="13">
        <v>1.0993767999999999</v>
      </c>
      <c r="D9" s="13">
        <v>1</v>
      </c>
      <c r="E9" s="13">
        <v>2</v>
      </c>
      <c r="F9" s="13">
        <v>3</v>
      </c>
      <c r="G9" s="13">
        <v>4</v>
      </c>
      <c r="H9" s="13">
        <v>4</v>
      </c>
      <c r="I9" s="12" t="s">
        <v>133</v>
      </c>
      <c r="J9" s="17" t="s">
        <v>184</v>
      </c>
      <c r="K9" s="16"/>
      <c r="L9" s="16">
        <v>1</v>
      </c>
    </row>
    <row r="10" spans="1:12" ht="22.5" customHeight="1" thickBot="1" x14ac:dyDescent="0.25">
      <c r="A10" s="12" t="s">
        <v>134</v>
      </c>
      <c r="B10" s="13">
        <v>65.613793000000001</v>
      </c>
      <c r="C10" s="13">
        <v>20.127162899999998</v>
      </c>
      <c r="D10" s="13">
        <v>30</v>
      </c>
      <c r="E10" s="13">
        <v>48</v>
      </c>
      <c r="F10" s="13">
        <v>66</v>
      </c>
      <c r="G10" s="13">
        <v>83</v>
      </c>
      <c r="H10" s="13">
        <v>100</v>
      </c>
      <c r="I10" s="12" t="s">
        <v>135</v>
      </c>
      <c r="J10" s="17"/>
      <c r="K10" s="16"/>
      <c r="L10" s="16"/>
    </row>
    <row r="11" spans="1:12" ht="22.5" customHeight="1" thickBot="1" x14ac:dyDescent="0.25">
      <c r="A11" s="12" t="s">
        <v>136</v>
      </c>
      <c r="B11" s="13">
        <v>2.7229890000000001</v>
      </c>
      <c r="C11" s="13">
        <v>0.70363209999999998</v>
      </c>
      <c r="D11" s="13">
        <v>1</v>
      </c>
      <c r="E11" s="13">
        <v>2</v>
      </c>
      <c r="F11" s="13">
        <v>3</v>
      </c>
      <c r="G11" s="13">
        <v>3</v>
      </c>
      <c r="H11" s="13">
        <v>4</v>
      </c>
      <c r="I11" s="12" t="s">
        <v>137</v>
      </c>
      <c r="J11" s="17" t="s">
        <v>184</v>
      </c>
      <c r="K11" s="16"/>
      <c r="L11" s="16"/>
    </row>
    <row r="12" spans="1:12" ht="22.5" customHeight="1" thickBot="1" x14ac:dyDescent="0.25">
      <c r="A12" s="12" t="s">
        <v>138</v>
      </c>
      <c r="B12" s="13">
        <v>2.0390799999999998</v>
      </c>
      <c r="C12" s="13">
        <v>1.0901121</v>
      </c>
      <c r="D12" s="13">
        <v>1</v>
      </c>
      <c r="E12" s="13">
        <v>1</v>
      </c>
      <c r="F12" s="13">
        <v>2</v>
      </c>
      <c r="G12" s="13">
        <v>3</v>
      </c>
      <c r="H12" s="13">
        <v>5</v>
      </c>
      <c r="I12" s="12" t="s">
        <v>139</v>
      </c>
      <c r="J12" s="17" t="s">
        <v>181</v>
      </c>
      <c r="K12" s="16"/>
      <c r="L12" s="16"/>
    </row>
    <row r="13" spans="1:12" ht="22.5" customHeight="1" thickBot="1" x14ac:dyDescent="0.25">
      <c r="A13" s="12" t="s">
        <v>140</v>
      </c>
      <c r="B13" s="13">
        <v>2.7091949999999998</v>
      </c>
      <c r="C13" s="13">
        <v>1.1145168000000001</v>
      </c>
      <c r="D13" s="13">
        <v>1</v>
      </c>
      <c r="E13" s="13">
        <v>2</v>
      </c>
      <c r="F13" s="13">
        <v>3</v>
      </c>
      <c r="G13" s="13">
        <v>4</v>
      </c>
      <c r="H13" s="13">
        <v>4</v>
      </c>
      <c r="I13" s="12" t="s">
        <v>141</v>
      </c>
      <c r="J13" s="17"/>
      <c r="K13" s="16"/>
      <c r="L13" s="16"/>
    </row>
    <row r="14" spans="1:12" ht="22.5" customHeight="1" thickBot="1" x14ac:dyDescent="0.25">
      <c r="A14" s="12" t="s">
        <v>142</v>
      </c>
      <c r="B14" s="13">
        <v>6390.2643680000001</v>
      </c>
      <c r="C14" s="13">
        <v>4597.6959741000001</v>
      </c>
      <c r="D14" s="13">
        <v>1081</v>
      </c>
      <c r="E14" s="13">
        <v>2839.5</v>
      </c>
      <c r="F14" s="13">
        <v>4945.5</v>
      </c>
      <c r="G14" s="13">
        <v>8182</v>
      </c>
      <c r="H14" s="13">
        <v>19999</v>
      </c>
      <c r="I14" s="12" t="s">
        <v>143</v>
      </c>
      <c r="J14" s="17" t="s">
        <v>181</v>
      </c>
      <c r="K14" s="16"/>
      <c r="L14" s="16"/>
    </row>
    <row r="15" spans="1:12" ht="22.5" customHeight="1" thickBot="1" x14ac:dyDescent="0.25">
      <c r="A15" s="12" t="s">
        <v>144</v>
      </c>
      <c r="B15" s="13">
        <v>14325.62069</v>
      </c>
      <c r="C15" s="13">
        <v>7108.3819276000004</v>
      </c>
      <c r="D15" s="13">
        <v>2094</v>
      </c>
      <c r="E15" s="13">
        <v>8092</v>
      </c>
      <c r="F15" s="13">
        <v>14074.5</v>
      </c>
      <c r="G15" s="13">
        <v>20456.25</v>
      </c>
      <c r="H15" s="13">
        <v>26997</v>
      </c>
      <c r="I15" s="12" t="s">
        <v>121</v>
      </c>
      <c r="J15" s="17" t="s">
        <v>180</v>
      </c>
      <c r="K15" s="16"/>
      <c r="L15" s="16"/>
    </row>
    <row r="16" spans="1:12" ht="22.5" customHeight="1" thickBot="1" x14ac:dyDescent="0.25">
      <c r="A16" s="12" t="s">
        <v>145</v>
      </c>
      <c r="B16" s="13">
        <v>2.7275860000000001</v>
      </c>
      <c r="C16" s="13">
        <v>2.5204430000000002</v>
      </c>
      <c r="D16" s="13">
        <v>0</v>
      </c>
      <c r="E16" s="13">
        <v>1</v>
      </c>
      <c r="F16" s="13">
        <v>2</v>
      </c>
      <c r="G16" s="13">
        <v>4</v>
      </c>
      <c r="H16" s="13">
        <v>9</v>
      </c>
      <c r="I16" s="12" t="s">
        <v>146</v>
      </c>
      <c r="J16" s="17" t="s">
        <v>181</v>
      </c>
      <c r="K16" s="16"/>
      <c r="L16" s="16">
        <v>1</v>
      </c>
    </row>
    <row r="17" spans="1:12" ht="22.5" customHeight="1" thickBot="1" x14ac:dyDescent="0.25">
      <c r="A17" s="12" t="s">
        <v>147</v>
      </c>
      <c r="B17" s="13">
        <v>15.2</v>
      </c>
      <c r="C17" s="13">
        <v>3.6754402000000002</v>
      </c>
      <c r="D17" s="13">
        <v>11</v>
      </c>
      <c r="E17" s="13">
        <v>12</v>
      </c>
      <c r="F17" s="13">
        <v>14</v>
      </c>
      <c r="G17" s="13">
        <v>18</v>
      </c>
      <c r="H17" s="13">
        <v>25</v>
      </c>
      <c r="I17" s="12" t="s">
        <v>148</v>
      </c>
      <c r="J17" s="17" t="s">
        <v>181</v>
      </c>
      <c r="K17" s="16"/>
      <c r="L17" s="16"/>
    </row>
    <row r="18" spans="1:12" ht="22.5" customHeight="1" thickBot="1" x14ac:dyDescent="0.25">
      <c r="A18" s="12" t="s">
        <v>149</v>
      </c>
      <c r="B18" s="13">
        <v>3.1517240000000002</v>
      </c>
      <c r="C18" s="13">
        <v>0.35895959999999999</v>
      </c>
      <c r="D18" s="13">
        <v>3</v>
      </c>
      <c r="E18" s="13">
        <v>3</v>
      </c>
      <c r="F18" s="13">
        <v>3</v>
      </c>
      <c r="G18" s="13">
        <v>3</v>
      </c>
      <c r="H18" s="13">
        <v>4</v>
      </c>
      <c r="I18" s="12" t="s">
        <v>150</v>
      </c>
      <c r="J18" s="17" t="s">
        <v>181</v>
      </c>
      <c r="K18" s="16"/>
      <c r="L18" s="16"/>
    </row>
    <row r="19" spans="1:12" ht="22.5" customHeight="1" thickBot="1" x14ac:dyDescent="0.25">
      <c r="A19" s="12" t="s">
        <v>151</v>
      </c>
      <c r="B19" s="13">
        <v>2.7068970000000001</v>
      </c>
      <c r="C19" s="13">
        <v>1.1024915</v>
      </c>
      <c r="D19" s="13">
        <v>1</v>
      </c>
      <c r="E19" s="13">
        <v>2</v>
      </c>
      <c r="F19" s="13">
        <v>3</v>
      </c>
      <c r="G19" s="13">
        <v>4</v>
      </c>
      <c r="H19" s="13">
        <v>4</v>
      </c>
      <c r="I19" s="12" t="s">
        <v>141</v>
      </c>
      <c r="J19" s="17" t="s">
        <v>184</v>
      </c>
      <c r="K19" s="16"/>
      <c r="L19" s="16">
        <v>1</v>
      </c>
    </row>
    <row r="20" spans="1:12" ht="22.5" customHeight="1" thickBot="1" x14ac:dyDescent="0.25">
      <c r="A20" s="12" t="s">
        <v>152</v>
      </c>
      <c r="B20" s="13">
        <v>80</v>
      </c>
      <c r="C20" s="13">
        <v>0</v>
      </c>
      <c r="D20" s="13">
        <v>80</v>
      </c>
      <c r="E20" s="13">
        <v>80</v>
      </c>
      <c r="F20" s="13">
        <v>80</v>
      </c>
      <c r="G20" s="13">
        <v>80</v>
      </c>
      <c r="H20" s="13">
        <v>80</v>
      </c>
      <c r="I20" s="12" t="s">
        <v>130</v>
      </c>
      <c r="J20" s="17" t="s">
        <v>185</v>
      </c>
      <c r="K20" s="16">
        <v>0</v>
      </c>
      <c r="L20" s="16"/>
    </row>
    <row r="21" spans="1:12" ht="22.5" customHeight="1" thickBot="1" x14ac:dyDescent="0.25">
      <c r="A21" s="12" t="s">
        <v>153</v>
      </c>
      <c r="B21" s="13">
        <v>0.78390800000000005</v>
      </c>
      <c r="C21" s="13">
        <v>0.85776399999999997</v>
      </c>
      <c r="D21" s="13">
        <v>0</v>
      </c>
      <c r="E21" s="13">
        <v>0</v>
      </c>
      <c r="F21" s="13">
        <v>1</v>
      </c>
      <c r="G21" s="13">
        <v>1</v>
      </c>
      <c r="H21" s="13">
        <v>3</v>
      </c>
      <c r="I21" s="12" t="s">
        <v>154</v>
      </c>
      <c r="J21" s="17" t="s">
        <v>181</v>
      </c>
      <c r="K21" s="16"/>
      <c r="L21" s="16"/>
    </row>
    <row r="22" spans="1:12" ht="22.5" customHeight="1" thickBot="1" x14ac:dyDescent="0.25">
      <c r="A22" s="12" t="s">
        <v>155</v>
      </c>
      <c r="B22" s="13">
        <v>11.052873999999999</v>
      </c>
      <c r="C22" s="13">
        <v>7.5136675000000004</v>
      </c>
      <c r="D22" s="13">
        <v>0</v>
      </c>
      <c r="E22" s="13">
        <v>6</v>
      </c>
      <c r="F22" s="13">
        <v>10</v>
      </c>
      <c r="G22" s="13">
        <v>15</v>
      </c>
      <c r="H22" s="13">
        <v>40</v>
      </c>
      <c r="I22" s="12" t="s">
        <v>156</v>
      </c>
      <c r="J22" s="17" t="s">
        <v>181</v>
      </c>
      <c r="K22" s="16"/>
      <c r="L22" s="16"/>
    </row>
    <row r="23" spans="1:12" ht="22.5" customHeight="1" thickBot="1" x14ac:dyDescent="0.25">
      <c r="A23" s="12" t="s">
        <v>157</v>
      </c>
      <c r="B23" s="13">
        <v>2.8321839999999998</v>
      </c>
      <c r="C23" s="13">
        <v>1.2726651</v>
      </c>
      <c r="D23" s="13">
        <v>0</v>
      </c>
      <c r="E23" s="13">
        <v>2</v>
      </c>
      <c r="F23" s="13">
        <v>3</v>
      </c>
      <c r="G23" s="13">
        <v>3</v>
      </c>
      <c r="H23" s="13">
        <v>6</v>
      </c>
      <c r="I23" s="12" t="s">
        <v>158</v>
      </c>
      <c r="J23" s="17" t="s">
        <v>182</v>
      </c>
      <c r="K23" s="16"/>
      <c r="L23" s="16"/>
    </row>
    <row r="24" spans="1:12" ht="22.5" customHeight="1" thickBot="1" x14ac:dyDescent="0.25">
      <c r="A24" s="12" t="s">
        <v>159</v>
      </c>
      <c r="B24" s="13">
        <v>2.781609</v>
      </c>
      <c r="C24" s="13">
        <v>0.71197690000000002</v>
      </c>
      <c r="D24" s="13">
        <v>1</v>
      </c>
      <c r="E24" s="13">
        <v>2</v>
      </c>
      <c r="F24" s="13">
        <v>3</v>
      </c>
      <c r="G24" s="13">
        <v>3</v>
      </c>
      <c r="H24" s="13">
        <v>4</v>
      </c>
      <c r="I24" s="12" t="s">
        <v>160</v>
      </c>
      <c r="J24" s="17" t="s">
        <v>184</v>
      </c>
      <c r="K24" s="16"/>
      <c r="L24" s="16"/>
    </row>
    <row r="25" spans="1:12" ht="22.5" customHeight="1" thickBot="1" x14ac:dyDescent="0.25">
      <c r="A25" s="12" t="s">
        <v>161</v>
      </c>
      <c r="B25" s="13">
        <v>6.9620689999999996</v>
      </c>
      <c r="C25" s="13">
        <v>6.0210359999999996</v>
      </c>
      <c r="D25" s="13">
        <v>0</v>
      </c>
      <c r="E25" s="13">
        <v>3</v>
      </c>
      <c r="F25" s="13">
        <v>5</v>
      </c>
      <c r="G25" s="13">
        <v>10</v>
      </c>
      <c r="H25" s="13">
        <v>40</v>
      </c>
      <c r="I25" s="12" t="s">
        <v>162</v>
      </c>
      <c r="J25" s="17" t="s">
        <v>181</v>
      </c>
      <c r="K25" s="16"/>
      <c r="L25" s="16"/>
    </row>
    <row r="26" spans="1:12" ht="22.5" customHeight="1" thickBot="1" x14ac:dyDescent="0.25">
      <c r="A26" s="12" t="s">
        <v>163</v>
      </c>
      <c r="B26" s="13">
        <v>4.2045979999999998</v>
      </c>
      <c r="C26" s="13">
        <v>3.6393168999999999</v>
      </c>
      <c r="D26" s="13">
        <v>0</v>
      </c>
      <c r="E26" s="13">
        <v>2</v>
      </c>
      <c r="F26" s="13">
        <v>3</v>
      </c>
      <c r="G26" s="13">
        <v>7</v>
      </c>
      <c r="H26" s="13">
        <v>18</v>
      </c>
      <c r="I26" s="12" t="s">
        <v>164</v>
      </c>
      <c r="J26" s="17" t="s">
        <v>181</v>
      </c>
      <c r="K26" s="16"/>
      <c r="L26" s="16"/>
    </row>
    <row r="27" spans="1:12" ht="22.5" customHeight="1" thickBot="1" x14ac:dyDescent="0.25">
      <c r="A27" s="12" t="s">
        <v>165</v>
      </c>
      <c r="B27" s="13">
        <v>2.1689660000000002</v>
      </c>
      <c r="C27" s="13">
        <v>3.1858724999999999</v>
      </c>
      <c r="D27" s="13">
        <v>0</v>
      </c>
      <c r="E27" s="13">
        <v>0</v>
      </c>
      <c r="F27" s="13">
        <v>1</v>
      </c>
      <c r="G27" s="13">
        <v>3</v>
      </c>
      <c r="H27" s="13">
        <v>15</v>
      </c>
      <c r="I27" s="12" t="s">
        <v>166</v>
      </c>
      <c r="J27" s="17" t="s">
        <v>181</v>
      </c>
      <c r="K27" s="16"/>
      <c r="L27" s="16"/>
    </row>
    <row r="28" spans="1:12" ht="22.5" customHeight="1" x14ac:dyDescent="0.2">
      <c r="A28" s="12" t="s">
        <v>167</v>
      </c>
      <c r="B28" s="13">
        <v>4.1402299999999999</v>
      </c>
      <c r="C28" s="13">
        <v>3.5744413000000002</v>
      </c>
      <c r="D28" s="13">
        <v>0</v>
      </c>
      <c r="E28" s="13">
        <v>2</v>
      </c>
      <c r="F28" s="13">
        <v>3</v>
      </c>
      <c r="G28" s="13">
        <v>7</v>
      </c>
      <c r="H28" s="13">
        <v>17</v>
      </c>
      <c r="I28" s="12" t="s">
        <v>168</v>
      </c>
      <c r="J28" s="17" t="s">
        <v>184</v>
      </c>
      <c r="K28" s="16"/>
      <c r="L28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Sheet6</vt:lpstr>
      <vt:lpstr>cost model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Westlauer</dc:creator>
  <cp:lastModifiedBy>Westlauer, Isabella</cp:lastModifiedBy>
  <dcterms:created xsi:type="dcterms:W3CDTF">2015-06-05T18:17:20Z</dcterms:created>
  <dcterms:modified xsi:type="dcterms:W3CDTF">2026-03-09T04:46:22Z</dcterms:modified>
</cp:coreProperties>
</file>